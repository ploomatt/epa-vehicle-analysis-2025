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\Downloads\25data\"/>
    </mc:Choice>
  </mc:AlternateContent>
  <xr:revisionPtr revIDLastSave="0" documentId="13_ncr:1_{A4C90653-B00C-4278-AD60-A1731BDBDCE5}" xr6:coauthVersionLast="47" xr6:coauthVersionMax="47" xr10:uidLastSave="{00000000-0000-0000-0000-000000000000}"/>
  <bookViews>
    <workbookView xWindow="28680" yWindow="-60" windowWidth="29040" windowHeight="15840" activeTab="4" xr2:uid="{6A763929-BEF4-4B18-95C0-DBDD9B59604F}"/>
  </bookViews>
  <sheets>
    <sheet name="EV_Data" sheetId="2" r:id="rId1"/>
    <sheet name="EV_Pivot" sheetId="4" r:id="rId2"/>
    <sheet name="ICE_Data" sheetId="3" r:id="rId3"/>
    <sheet name="ICE_Pivot" sheetId="5" r:id="rId4"/>
    <sheet name="Comparison" sheetId="6" r:id="rId5"/>
    <sheet name="Cost_Model" sheetId="9" r:id="rId6"/>
  </sheets>
  <definedNames>
    <definedName name="ExternalData_1" localSheetId="0" hidden="1">EV_Data!$A$1:$Y$666</definedName>
    <definedName name="ExternalData_1" localSheetId="2" hidden="1">ICE_Data!$A$1:$X$869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9" l="1"/>
  <c r="B12" i="9"/>
  <c r="C5" i="9"/>
  <c r="C10" i="9" s="1"/>
  <c r="B5" i="9"/>
  <c r="B10" i="9" s="1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" i="6"/>
  <c r="E2" i="6"/>
  <c r="G3" i="6"/>
  <c r="G4" i="6"/>
  <c r="G5" i="6"/>
  <c r="G6" i="6"/>
  <c r="G9" i="6"/>
  <c r="G10" i="6"/>
  <c r="G11" i="6"/>
  <c r="G12" i="6"/>
  <c r="G14" i="6"/>
  <c r="G15" i="6"/>
  <c r="G16" i="6"/>
  <c r="G17" i="6"/>
  <c r="G18" i="6"/>
  <c r="G19" i="6"/>
  <c r="G20" i="6"/>
  <c r="G21" i="6"/>
  <c r="G2" i="6"/>
  <c r="D2" i="6"/>
  <c r="E3" i="6"/>
  <c r="E4" i="6"/>
  <c r="F4" i="6" s="1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C2" i="6"/>
  <c r="D3" i="6"/>
  <c r="D4" i="6"/>
  <c r="D5" i="6"/>
  <c r="D6" i="6"/>
  <c r="D9" i="6"/>
  <c r="D10" i="6"/>
  <c r="F10" i="6" s="1"/>
  <c r="D11" i="6"/>
  <c r="D12" i="6"/>
  <c r="D14" i="6"/>
  <c r="D15" i="6"/>
  <c r="D16" i="6"/>
  <c r="D17" i="6"/>
  <c r="D18" i="6"/>
  <c r="D19" i="6"/>
  <c r="D20" i="6"/>
  <c r="D21" i="6"/>
  <c r="B2" i="6"/>
  <c r="C20" i="6"/>
  <c r="C21" i="6"/>
  <c r="B20" i="6"/>
  <c r="B21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B3" i="6"/>
  <c r="B4" i="6"/>
  <c r="B5" i="6"/>
  <c r="B6" i="6"/>
  <c r="B9" i="6"/>
  <c r="B10" i="6"/>
  <c r="B11" i="6"/>
  <c r="B12" i="6"/>
  <c r="B14" i="6"/>
  <c r="B15" i="6"/>
  <c r="B16" i="6"/>
  <c r="B17" i="6"/>
  <c r="B18" i="6"/>
  <c r="B19" i="6"/>
  <c r="F11" i="6" l="1"/>
  <c r="F3" i="6"/>
  <c r="F16" i="6"/>
  <c r="F9" i="6"/>
  <c r="F21" i="6"/>
  <c r="F17" i="6"/>
  <c r="F14" i="6"/>
  <c r="F19" i="6"/>
  <c r="F20" i="6"/>
  <c r="F18" i="6"/>
  <c r="F2" i="6"/>
  <c r="F15" i="6"/>
  <c r="F12" i="6"/>
  <c r="F6" i="6"/>
  <c r="F5" i="6"/>
  <c r="B11" i="9"/>
  <c r="F8" i="6"/>
  <c r="G8" i="6"/>
  <c r="G7" i="6"/>
  <c r="F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F2B70D-4EFB-434A-9F79-CC89BAE09F83}" keepAlive="1" name="Query - EPA_EV_Clean" description="Connection to the 'EPA_EV_Clean' query in the workbook." type="5" refreshedVersion="8" background="1" saveData="1">
    <dbPr connection="Provider=Microsoft.Mashup.OleDb.1;Data Source=$Workbook$;Location=EPA_EV_Clean;Extended Properties=&quot;&quot;" command="SELECT * FROM [EPA_EV_Clean]"/>
  </connection>
  <connection id="2" xr16:uid="{D581290F-D817-4091-8A85-6799DBF57B68}" keepAlive="1" name="Query - EPA_FE_Ratings_Clean" description="Connection to the 'EPA_FE_Ratings_Clean' query in the workbook." type="5" refreshedVersion="8" background="1" saveData="1">
    <dbPr connection="Provider=Microsoft.Mashup.OleDb.1;Data Source=$Workbook$;Location=EPA_FE_Ratings_Clean;Extended Properties=&quot;&quot;" command="SELECT * FROM [EPA_FE_Ratings_Clean]"/>
  </connection>
</connections>
</file>

<file path=xl/sharedStrings.xml><?xml version="1.0" encoding="utf-8"?>
<sst xmlns="http://schemas.openxmlformats.org/spreadsheetml/2006/main" count="14619" uniqueCount="1295">
  <si>
    <t>Model_Year</t>
  </si>
  <si>
    <t>Manufacturer</t>
  </si>
  <si>
    <t>Brand</t>
  </si>
  <si>
    <t>Model</t>
  </si>
  <si>
    <t>Drive_Type</t>
  </si>
  <si>
    <t>Vehicle_Class</t>
  </si>
  <si>
    <t>City_MPGe</t>
  </si>
  <si>
    <t>Hwy_MPGe</t>
  </si>
  <si>
    <t>Combined_MPGe</t>
  </si>
  <si>
    <t>Annual_Fuel_Cost</t>
  </si>
  <si>
    <t>FE_Rating</t>
  </si>
  <si>
    <t>GHG_Rating</t>
  </si>
  <si>
    <t>Savings_5yr</t>
  </si>
  <si>
    <t>Extra_Spend_5yr</t>
  </si>
  <si>
    <t>City_CO2</t>
  </si>
  <si>
    <t>Hwy_CO2</t>
  </si>
  <si>
    <t>Combined_CO2</t>
  </si>
  <si>
    <t>Range_Miles_Combined</t>
  </si>
  <si>
    <t>Range_Miles_City</t>
  </si>
  <si>
    <t>Range_Miles_Hwy</t>
  </si>
  <si>
    <t>Charge_Time_240V_hrs</t>
  </si>
  <si>
    <t>Charge_Time_120V_hrs</t>
  </si>
  <si>
    <t>Motor_Power_kW</t>
  </si>
  <si>
    <t>Battery_Type</t>
  </si>
  <si>
    <t>Regen_Braking_Type</t>
  </si>
  <si>
    <t>Volkswagen Group of</t>
  </si>
  <si>
    <t>Audi</t>
  </si>
  <si>
    <t>Q8 e-tron quattro</t>
  </si>
  <si>
    <t>All Wheel Drive</t>
  </si>
  <si>
    <t>Standard SUV 4WD</t>
  </si>
  <si>
    <t/>
  </si>
  <si>
    <t>141 and 172</t>
  </si>
  <si>
    <t>Lithium Ion</t>
  </si>
  <si>
    <t>Electrical Regen Brake</t>
  </si>
  <si>
    <t>Q8 Sportback e-tron quattro</t>
  </si>
  <si>
    <t>S e-tron GT (20in. Wheels)</t>
  </si>
  <si>
    <t>Subcompact Cars</t>
  </si>
  <si>
    <t>176, 176 and 415</t>
  </si>
  <si>
    <t>RS e-tron GT Performance</t>
  </si>
  <si>
    <t>252 and 415</t>
  </si>
  <si>
    <t>SQ8 e-tron (20in wheels)</t>
  </si>
  <si>
    <t>138 and 157</t>
  </si>
  <si>
    <t>SQ8 Sportback e-tron (20in wheels)</t>
  </si>
  <si>
    <t>SQ8 e-tron (21/22in wheels)</t>
  </si>
  <si>
    <t>SQ8 Sportback e-tron (21/22in wheels)</t>
  </si>
  <si>
    <t>Q4 45 e-tron</t>
  </si>
  <si>
    <t>2-Wheel Drive, Rear</t>
  </si>
  <si>
    <t>Standard SUV 2WD</t>
  </si>
  <si>
    <t>210</t>
  </si>
  <si>
    <t>Q4 55 e-tron quattro</t>
  </si>
  <si>
    <t>80 and 170</t>
  </si>
  <si>
    <t>Q4 Sportback 55 e-tron quattro</t>
  </si>
  <si>
    <t>S e-tron GT (21in. Wheels)</t>
  </si>
  <si>
    <t>252, 252 and 415</t>
  </si>
  <si>
    <t>Q6 e-tron</t>
  </si>
  <si>
    <t>225</t>
  </si>
  <si>
    <t>Q6 e-tron ultra</t>
  </si>
  <si>
    <t>Q6 e-tron quattro</t>
  </si>
  <si>
    <t>140 and 280</t>
  </si>
  <si>
    <t>SQ6 e-tron</t>
  </si>
  <si>
    <t>140 and 140</t>
  </si>
  <si>
    <t>SQ6 Sportback e-tron</t>
  </si>
  <si>
    <t>Q6 Sportback e-tron quattro</t>
  </si>
  <si>
    <t>BMW</t>
  </si>
  <si>
    <t>iX xDrive40 (20'' Wheels)</t>
  </si>
  <si>
    <t>190 and 230</t>
  </si>
  <si>
    <t>iX xDrive40 (21'' Wheels)</t>
  </si>
  <si>
    <t>iX xDrive40 (22'' Wheels)</t>
  </si>
  <si>
    <t>iX xDrive50 (20'' Wheels)</t>
  </si>
  <si>
    <t>iX xDrive50 (21'' Wheels)</t>
  </si>
  <si>
    <t>iX xDrive50 (22'' Wheels)</t>
  </si>
  <si>
    <t>iX M60 (21'' Wheels)</t>
  </si>
  <si>
    <t>190 and 360</t>
  </si>
  <si>
    <t>iX M60 (22'' Wheels)</t>
  </si>
  <si>
    <t>i4 eDrive35 Gran Coupe (18'' Wheels)</t>
  </si>
  <si>
    <t>Compact Cars</t>
  </si>
  <si>
    <t>250</t>
  </si>
  <si>
    <t>i4 eDrive35 Gran Coupe (19'' Wheels)</t>
  </si>
  <si>
    <t>i4 eDrive40 Gran Coupe (18'' Wheels)</t>
  </si>
  <si>
    <t>i4 eDrive40 Gran Coupe (19'' Wheels)</t>
  </si>
  <si>
    <t>i4 xDrive40 Gran Coupe (18'' Wheels)</t>
  </si>
  <si>
    <t>i4 xDrive40 Gran Coupe (19'' Wheels)</t>
  </si>
  <si>
    <t>i4 M50 Gran Coupe (19'' Wheels)</t>
  </si>
  <si>
    <t>i4 M50 Gran Coupe (20'' Wheels)</t>
  </si>
  <si>
    <t>i5 eDrive40 Sedan (19'' Wheels)</t>
  </si>
  <si>
    <t>i5 eDrive40 Sedan (20'' Wheels)</t>
  </si>
  <si>
    <t>i5 eDrive40 Sedan (21'' Wheels)</t>
  </si>
  <si>
    <t>i5 xDrive40 Sedan (19'' Wheels)</t>
  </si>
  <si>
    <t>i5 xDrive40 Sedan (20'' Wheels)</t>
  </si>
  <si>
    <t>192 and 250</t>
  </si>
  <si>
    <t>i5 xDrive40 Sedan (21'' Wheels)</t>
  </si>
  <si>
    <t>i5 M60 xDrive Sedan (19'' Wheels)</t>
  </si>
  <si>
    <t>i5 M60 xDrive Sedan (20'' Wheels)</t>
  </si>
  <si>
    <t>i5 M60 xDrive Sedan (21'' Wheels)</t>
  </si>
  <si>
    <t>i7 eDrive50 Sedan (19'' Wheels)</t>
  </si>
  <si>
    <t>Large Cars</t>
  </si>
  <si>
    <t>335</t>
  </si>
  <si>
    <t>i7 eDrive50 Sedan (20'' Wheels)</t>
  </si>
  <si>
    <t>i7 eDrive50 Sedan (21'' Wheels)</t>
  </si>
  <si>
    <t>i7 xDrive60 Sedan (19'' Wheels)</t>
  </si>
  <si>
    <t>i7 xDrive60 Sedan (20'' Wheels)</t>
  </si>
  <si>
    <t>i7 xDrive60 Sedan (21'' Wheels)</t>
  </si>
  <si>
    <t>i7 M70 xDrive Sedan (20'' Wheels)</t>
  </si>
  <si>
    <t>i7 M70 xDrive Sedan (21'' Wheels)</t>
  </si>
  <si>
    <t>Bugatti Rimac LLC</t>
  </si>
  <si>
    <t>Bugatti Rimac</t>
  </si>
  <si>
    <t>Nevera R</t>
  </si>
  <si>
    <t>4-Wheel Drive</t>
  </si>
  <si>
    <t>Two Seaters</t>
  </si>
  <si>
    <t>226 and 500</t>
  </si>
  <si>
    <t>Nevera</t>
  </si>
  <si>
    <t>226, 226, 450 and 450</t>
  </si>
  <si>
    <t>General Motors</t>
  </si>
  <si>
    <t>Cadillac</t>
  </si>
  <si>
    <t>Lyriq RWD</t>
  </si>
  <si>
    <t>Small SUV 2WD</t>
  </si>
  <si>
    <t>255</t>
  </si>
  <si>
    <t>Lyriq AWD 11kW Charger</t>
  </si>
  <si>
    <t>Small SUV 4WD</t>
  </si>
  <si>
    <t>155 and 220</t>
  </si>
  <si>
    <t>LYRIQ AWD</t>
  </si>
  <si>
    <t>CELESTIQ</t>
  </si>
  <si>
    <t>Small Station Wagons</t>
  </si>
  <si>
    <t>Chevrolet</t>
  </si>
  <si>
    <t>BLAZER EV RWD</t>
  </si>
  <si>
    <t>BLAZER EV AWD</t>
  </si>
  <si>
    <t>67 and 180</t>
  </si>
  <si>
    <t>BLAZER EV FWD</t>
  </si>
  <si>
    <t>2-Wheel Drive, Front</t>
  </si>
  <si>
    <t>180</t>
  </si>
  <si>
    <t>BLAZER EV FWD, 22 inch tire</t>
  </si>
  <si>
    <t>BLAZER EV AWD SS</t>
  </si>
  <si>
    <t>EQUINOX EV FWD</t>
  </si>
  <si>
    <t>EQUINOX EV AWD</t>
  </si>
  <si>
    <t>SILVERADO EV 8WT</t>
  </si>
  <si>
    <t>Standard Pick-up Trucks 4WD</t>
  </si>
  <si>
    <t>189</t>
  </si>
  <si>
    <t>SILVERADO EV 5WT</t>
  </si>
  <si>
    <t>SILVERADO EV 11 kW Charger</t>
  </si>
  <si>
    <t>189 and 189</t>
  </si>
  <si>
    <t>SILVERADO EV 19kW Charger</t>
  </si>
  <si>
    <t>SILVERADO EV 5WT 11kW Charger</t>
  </si>
  <si>
    <t>SILVERADO EV 2WT</t>
  </si>
  <si>
    <t>FCA US LLC</t>
  </si>
  <si>
    <t>Dodge</t>
  </si>
  <si>
    <t>Charger Daytona R/T AWD 245/55ZR18</t>
  </si>
  <si>
    <t>250 and 250</t>
  </si>
  <si>
    <t>Charger Daytona R/T AWD 255/45R20</t>
  </si>
  <si>
    <t>Charger Daytona R/T AWD 275/40R20</t>
  </si>
  <si>
    <t>Charger Daytona R/T AWD 305/35ZR20</t>
  </si>
  <si>
    <t>Charger Daytona Scat Pack AWD 305/35ZR20</t>
  </si>
  <si>
    <t>Charger Daytona Scat Pack AWD 325/35ZR20 Rear</t>
  </si>
  <si>
    <t>Charger Daytona Scat Pack AWD 325/35ZR20 Rear A/S</t>
  </si>
  <si>
    <t>FIAT</t>
  </si>
  <si>
    <t>500e</t>
  </si>
  <si>
    <t>Minicompact Cars</t>
  </si>
  <si>
    <t>87</t>
  </si>
  <si>
    <t>500e All Season</t>
  </si>
  <si>
    <t>Ford Motor Company</t>
  </si>
  <si>
    <t>Ford</t>
  </si>
  <si>
    <t>F150 LIGHTNING 4WD ER1</t>
  </si>
  <si>
    <t>210 and 210</t>
  </si>
  <si>
    <t>F150 LIGHTNING 4WD PRO ER1</t>
  </si>
  <si>
    <t>F150 LIGHTNING PLATINUM 4WD</t>
  </si>
  <si>
    <t>F150 LIGHTNING 4WD SR</t>
  </si>
  <si>
    <t>358 and 358</t>
  </si>
  <si>
    <t>MUSTANG MACH-E GT</t>
  </si>
  <si>
    <t>MUSTANG MACH-E AWD EXTENDED</t>
  </si>
  <si>
    <t>258</t>
  </si>
  <si>
    <t>MUSTANG MACH-E AWD</t>
  </si>
  <si>
    <t>1 and 242</t>
  </si>
  <si>
    <t>MUSTANG MACH-E RWD</t>
  </si>
  <si>
    <t>197</t>
  </si>
  <si>
    <t>MUSTANG MACH-E RWD EXTENDED</t>
  </si>
  <si>
    <t>207</t>
  </si>
  <si>
    <t>MUSTANG MACH-E RALLY</t>
  </si>
  <si>
    <t>F150 LIGHTNING 4WD ER2</t>
  </si>
  <si>
    <t>Hyundai</t>
  </si>
  <si>
    <t>GENESIS</t>
  </si>
  <si>
    <t>GV60 RWD</t>
  </si>
  <si>
    <t>168</t>
  </si>
  <si>
    <t>GV60 AWD with 19''</t>
  </si>
  <si>
    <t>74 and 160</t>
  </si>
  <si>
    <t>GV60 AWD Advanced with 20''</t>
  </si>
  <si>
    <t>GV60 AWD Performance</t>
  </si>
  <si>
    <t>Electrified G80</t>
  </si>
  <si>
    <t>Midsize Cars</t>
  </si>
  <si>
    <t>136 and 136</t>
  </si>
  <si>
    <t>Electrified GV70</t>
  </si>
  <si>
    <t>GMC</t>
  </si>
  <si>
    <t>SIERRA EV</t>
  </si>
  <si>
    <t>HUMMER EV SUV</t>
  </si>
  <si>
    <t>195 and 215</t>
  </si>
  <si>
    <t>HUMMER EV PICKUP</t>
  </si>
  <si>
    <t>HUMMER EV SUV MT TIRES</t>
  </si>
  <si>
    <t>HUMMER EV PICKUP MT TIRES</t>
  </si>
  <si>
    <t>195, 195 and 215</t>
  </si>
  <si>
    <t>195, 195 and 195</t>
  </si>
  <si>
    <t>Vinfast Trading and</t>
  </si>
  <si>
    <t>Hai Phong manufacturing plant</t>
  </si>
  <si>
    <t>VF 7 Plus</t>
  </si>
  <si>
    <t>Special Purpose Vehicle 4WD</t>
  </si>
  <si>
    <t>260</t>
  </si>
  <si>
    <t>VF 8 Plus</t>
  </si>
  <si>
    <t>260 and 300</t>
  </si>
  <si>
    <t>VF 8 Eco</t>
  </si>
  <si>
    <t>VF 9 Plus</t>
  </si>
  <si>
    <t>VF 6 Plus</t>
  </si>
  <si>
    <t>Special Purpose Vehicle 2WD</t>
  </si>
  <si>
    <t>150</t>
  </si>
  <si>
    <t>Honda</t>
  </si>
  <si>
    <t>Prologue FWD</t>
  </si>
  <si>
    <t>Prologue AWD Touring</t>
  </si>
  <si>
    <t>Prologue AWD Elite</t>
  </si>
  <si>
    <t>HYUNDAI MOTOR COMPANY</t>
  </si>
  <si>
    <t>Ioniq 5 AWD (19inch Wheels)</t>
  </si>
  <si>
    <t>74 and 165</t>
  </si>
  <si>
    <t>Ioniq 5 RWD</t>
  </si>
  <si>
    <t>Ioniq 5 Standard range</t>
  </si>
  <si>
    <t>125</t>
  </si>
  <si>
    <t>Ioniq 6 Standard Range</t>
  </si>
  <si>
    <t>111</t>
  </si>
  <si>
    <t>IONIQ 6 RWD (18'' Wheels)</t>
  </si>
  <si>
    <t>IONIQ 6 RWD (20'' Wheels)</t>
  </si>
  <si>
    <t>IONIQ 6 AWD (18'' Wheels)</t>
  </si>
  <si>
    <t>IONIQ6 AWD (20'' Wheels)</t>
  </si>
  <si>
    <t>Kona Electric Standard Range</t>
  </si>
  <si>
    <t>99</t>
  </si>
  <si>
    <t>Kona Electric (17inch Wheels)</t>
  </si>
  <si>
    <t>Ioniq 5 N</t>
  </si>
  <si>
    <t>166 and 282</t>
  </si>
  <si>
    <t>Kona Electric (19inch Wheels)</t>
  </si>
  <si>
    <t>Ioniq 5 Robo taxi</t>
  </si>
  <si>
    <t>Ioniq 5 AWD XRT</t>
  </si>
  <si>
    <t>Ioniq 5 AWD (20inch Wheels)</t>
  </si>
  <si>
    <t>Jeep</t>
  </si>
  <si>
    <t>Wagoneer S AWD (Falken tire)</t>
  </si>
  <si>
    <t>Wagoneer S AWD (Pirelli tire)</t>
  </si>
  <si>
    <t>Kia</t>
  </si>
  <si>
    <t>KIA</t>
  </si>
  <si>
    <t>Niro Electric</t>
  </si>
  <si>
    <t>EV6 AWD GT</t>
  </si>
  <si>
    <t>175 and 303</t>
  </si>
  <si>
    <t>EV6 Long Range AWD (19'' Wheels)</t>
  </si>
  <si>
    <t>EV6 Long Range AWD (20'' Wheels)</t>
  </si>
  <si>
    <t>EV6 Standard Range RWD</t>
  </si>
  <si>
    <t>EV6 Long Range RWD</t>
  </si>
  <si>
    <t>EV9 Standard Range RWD</t>
  </si>
  <si>
    <t>160</t>
  </si>
  <si>
    <t>EV9 Long Range RWD</t>
  </si>
  <si>
    <t>EV9 Long Range AWD</t>
  </si>
  <si>
    <t>141 and 141</t>
  </si>
  <si>
    <t>EV9 Long Range AWD GT-Line</t>
  </si>
  <si>
    <t>Toyota</t>
  </si>
  <si>
    <t>LEXUS</t>
  </si>
  <si>
    <t>RZ 300e (18inch Wheels)</t>
  </si>
  <si>
    <t>RZ 450e AWD (18inch Wheels)</t>
  </si>
  <si>
    <t>80 and 150</t>
  </si>
  <si>
    <t>RZ 300e (20inch Wheels)</t>
  </si>
  <si>
    <t>RZ 450e AWD (20inch Wheels)</t>
  </si>
  <si>
    <t>Lucid USA, Inc</t>
  </si>
  <si>
    <t>Lucid</t>
  </si>
  <si>
    <t>Air G Touring XR AWD w/19" wheels</t>
  </si>
  <si>
    <t>178 and 433</t>
  </si>
  <si>
    <t>Air G Touring XR AWD w/20" wheels</t>
  </si>
  <si>
    <t>Air G Touring XR AWD w/21" wheels</t>
  </si>
  <si>
    <t>Air Touring AWD w/19" wheels</t>
  </si>
  <si>
    <t>Air Touring AWD w/20" wheels</t>
  </si>
  <si>
    <t>Air Touring AWD w/21" wheels</t>
  </si>
  <si>
    <t>Air Pure RWD w/19" wheels</t>
  </si>
  <si>
    <t>330</t>
  </si>
  <si>
    <t>Air Pure RWD w/20" wheels</t>
  </si>
  <si>
    <t>Air Sapphire AWD</t>
  </si>
  <si>
    <t>310, 310 and 310</t>
  </si>
  <si>
    <t>310</t>
  </si>
  <si>
    <t>Gravity GT w/20F21R wheels (2R)</t>
  </si>
  <si>
    <t>170 and 448</t>
  </si>
  <si>
    <t>Gravity GT w/21F22R wheels (2R)</t>
  </si>
  <si>
    <t>Gravity GT w/22F23R wheels (2R)</t>
  </si>
  <si>
    <t>Gravity GT w/20F21R wheels (3R)</t>
  </si>
  <si>
    <t>Gravity GT w/21F22R wheels (3R)</t>
  </si>
  <si>
    <t>Gravity GT w/22F23R wheels (3R)</t>
  </si>
  <si>
    <t>Maserati</t>
  </si>
  <si>
    <t>MASERATI</t>
  </si>
  <si>
    <t>Grecale Folgore (20" Wheel)</t>
  </si>
  <si>
    <t>205 and 205</t>
  </si>
  <si>
    <t>Grecale Folgore (21" Wheel)</t>
  </si>
  <si>
    <t>Granturismo Folgore</t>
  </si>
  <si>
    <t>275, 275 and 275</t>
  </si>
  <si>
    <t>Grancabrio Folgore</t>
  </si>
  <si>
    <t>Mercedes-Benz</t>
  </si>
  <si>
    <t>G 580 with EQ Technology</t>
  </si>
  <si>
    <t>108</t>
  </si>
  <si>
    <t>AMG EQS 4MATIC+</t>
  </si>
  <si>
    <t>174 and 310</t>
  </si>
  <si>
    <t>EQS 450+</t>
  </si>
  <si>
    <t>265</t>
  </si>
  <si>
    <t>EQS 580 4MATIC</t>
  </si>
  <si>
    <t>EQS 450+ (SUV)</t>
  </si>
  <si>
    <t>EQS 450 4MATIC</t>
  </si>
  <si>
    <t>EQB 250+</t>
  </si>
  <si>
    <t>140</t>
  </si>
  <si>
    <t>EQB 300 4MATIC</t>
  </si>
  <si>
    <t>72 and 96</t>
  </si>
  <si>
    <t>EQB 350 4MATIC</t>
  </si>
  <si>
    <t>AMG EQE 4MATIC+</t>
  </si>
  <si>
    <t>165 and 295</t>
  </si>
  <si>
    <t>EQE 350+</t>
  </si>
  <si>
    <t>215</t>
  </si>
  <si>
    <t>EQE 350 4MATIC</t>
  </si>
  <si>
    <t>71 and 144</t>
  </si>
  <si>
    <t>EQE 500 4MATIC</t>
  </si>
  <si>
    <t>EQE 350+ (SUV)</t>
  </si>
  <si>
    <t>Midsize Station Wagons</t>
  </si>
  <si>
    <t>EQE 350 4MATIC (SUV)</t>
  </si>
  <si>
    <t>EQS 450 4MATIC (SUV)</t>
  </si>
  <si>
    <t>EQS 580 4MATIC (SUV)</t>
  </si>
  <si>
    <t>EQE 500 4MATIC (SUV)</t>
  </si>
  <si>
    <t>EQS 680 4MATIC Maybach (SUV)</t>
  </si>
  <si>
    <t>AMG EQE 4MATIC+ (SUV)</t>
  </si>
  <si>
    <t>Mini</t>
  </si>
  <si>
    <t>Countryman SE ALL4 (18'' Wheels)</t>
  </si>
  <si>
    <t>Countryman SE ALL4 (19'' Wheels)</t>
  </si>
  <si>
    <t>Nissan</t>
  </si>
  <si>
    <t>NISSAN</t>
  </si>
  <si>
    <t>ARIYA ENGAGE+/EVOLVE+ e-4ORCE 87kWh</t>
  </si>
  <si>
    <t>160 and 160</t>
  </si>
  <si>
    <t>ARIYA PLATINUM+ e-4ORCE 87kWh 19in. Wheels</t>
  </si>
  <si>
    <t>ARIYA PLATINUM+ e-4ORCE 87kWh 20in. Wheels</t>
  </si>
  <si>
    <t>ARIYA EVOLVE+ FWD 87kWh</t>
  </si>
  <si>
    <t>178</t>
  </si>
  <si>
    <t>ARIYA FWD 63kWh</t>
  </si>
  <si>
    <t>ARIYA e-4ORCE 63kWh</t>
  </si>
  <si>
    <t>LEAF</t>
  </si>
  <si>
    <t>110</t>
  </si>
  <si>
    <t>Volvo</t>
  </si>
  <si>
    <t>Polestar Automotive USA Inc</t>
  </si>
  <si>
    <t>Polestar 2 Dual Motor (19 Inch Wheels)</t>
  </si>
  <si>
    <t>200 and 215</t>
  </si>
  <si>
    <t>Polestar 2 Single Motor (19 Inch Wheels)</t>
  </si>
  <si>
    <t>185 and 220</t>
  </si>
  <si>
    <t>Polestar 3 Long Range Dual Motor (21 Inch Wheels)</t>
  </si>
  <si>
    <t>127 and 180</t>
  </si>
  <si>
    <t>Polestar 3 Long Range Dual Motor (22 Inch Wheels)</t>
  </si>
  <si>
    <t>173 and 200</t>
  </si>
  <si>
    <t>Polestar 2 Dual Motor (20 Inch Wheels)</t>
  </si>
  <si>
    <t>190 and 215</t>
  </si>
  <si>
    <t>Polestar 2 Single Motor (20 Inch Wheels)</t>
  </si>
  <si>
    <t>Polestar 2 Dual Motor Performance Pack</t>
  </si>
  <si>
    <t>Polestar 3 Long Range Dual Motor Performance Pack</t>
  </si>
  <si>
    <t>127 and 200</t>
  </si>
  <si>
    <t>Polestar 3 Long Range Dual Motor (20 Inch Wheels)</t>
  </si>
  <si>
    <t>173 and 180</t>
  </si>
  <si>
    <t>Polestar 4 Long Range Dual Motor</t>
  </si>
  <si>
    <t>200</t>
  </si>
  <si>
    <t>Polestar 4 Long Range Single Motor</t>
  </si>
  <si>
    <t>Polestar 3 Long Range Single Motor 20 Inch Wheels</t>
  </si>
  <si>
    <t>220</t>
  </si>
  <si>
    <t>Polestar 3 Long Range Single Motor 21 Inch Wheels</t>
  </si>
  <si>
    <t>Polestar 3 Long Range Single Motor 22 Inch Wheels</t>
  </si>
  <si>
    <t>Porsche</t>
  </si>
  <si>
    <t>Macan Electric</t>
  </si>
  <si>
    <t>280</t>
  </si>
  <si>
    <t>Macan 4S Electric</t>
  </si>
  <si>
    <t>280,280 and 495</t>
  </si>
  <si>
    <t>Macan 4 Electric</t>
  </si>
  <si>
    <t>175, 280, and 495</t>
  </si>
  <si>
    <t>Macan Turbo Electric</t>
  </si>
  <si>
    <t>Taycan Performance Battery</t>
  </si>
  <si>
    <t>300 and 320</t>
  </si>
  <si>
    <t>Taycan Perf Battery Plus</t>
  </si>
  <si>
    <t>Taycan 4 Perf Battery Plus</t>
  </si>
  <si>
    <t>150, 175, 190, 201, 234, 235, 254, 415, and 503</t>
  </si>
  <si>
    <t>Taycan 4 Cross Turismo</t>
  </si>
  <si>
    <t>150 and 354</t>
  </si>
  <si>
    <t>Taycan 4S Performance Battery</t>
  </si>
  <si>
    <t>150 and 234</t>
  </si>
  <si>
    <t>Taycan 4S Perf Battery Plus</t>
  </si>
  <si>
    <t>201 and 234</t>
  </si>
  <si>
    <t>Taycan 4S Perf Battery Plus 19in All-Season (M+S)</t>
  </si>
  <si>
    <t>201 and 235</t>
  </si>
  <si>
    <t>Taycan 4S Cross Turismo</t>
  </si>
  <si>
    <t>150 and 175</t>
  </si>
  <si>
    <t>Taycan Turbo</t>
  </si>
  <si>
    <t>175 and 234</t>
  </si>
  <si>
    <t>Taycan Turbo 21in Aero-Design wheel (285/35)</t>
  </si>
  <si>
    <t>Taycan Turbo Cross Turismo</t>
  </si>
  <si>
    <t>190 and 201</t>
  </si>
  <si>
    <t>Taycan Turbo S</t>
  </si>
  <si>
    <t>Taycan Turbo S 21in Aero-Design wheel (285/35)</t>
  </si>
  <si>
    <t>234 and 254</t>
  </si>
  <si>
    <t>Taycan Turbo S Cross Turismo</t>
  </si>
  <si>
    <t>150 and 253</t>
  </si>
  <si>
    <t>Taycan Turbo GT</t>
  </si>
  <si>
    <t>Taycan Turbo GT with Weissach Package</t>
  </si>
  <si>
    <t>Taycan GTS</t>
  </si>
  <si>
    <t>Taycan GTS Sport Turismo</t>
  </si>
  <si>
    <t>Rivian Automotive L</t>
  </si>
  <si>
    <t>Rivian</t>
  </si>
  <si>
    <t>R1T Dual Standard (22in)</t>
  </si>
  <si>
    <t>Part-time 4-Wheel Drive</t>
  </si>
  <si>
    <t>208 and 208</t>
  </si>
  <si>
    <t>Other</t>
  </si>
  <si>
    <t>R1S Dual Standard (22in)</t>
  </si>
  <si>
    <t>R1T Dual Standard (20in)</t>
  </si>
  <si>
    <t>R1S Dual Standard (20in)</t>
  </si>
  <si>
    <t>R1T Dual Max (20in)</t>
  </si>
  <si>
    <t>264 and 264</t>
  </si>
  <si>
    <t>R1S Dual Max (20in)</t>
  </si>
  <si>
    <t>R1T Dual Max (22in)</t>
  </si>
  <si>
    <t>R1S Dual Max (22in)</t>
  </si>
  <si>
    <t>R1T All-Terrain Dual Max (20in)</t>
  </si>
  <si>
    <t>R1S All-Terrain Dual Max (20in)</t>
  </si>
  <si>
    <t>R1T Performance Dual Max (20in)</t>
  </si>
  <si>
    <t>R1S Performance Dual Max (20in)</t>
  </si>
  <si>
    <t>R1T Performance Dual Max (22in)</t>
  </si>
  <si>
    <t>R1S Performance Dual Max (22in)</t>
  </si>
  <si>
    <t>R1T All-Terrain Performance Dual Max (20in)</t>
  </si>
  <si>
    <t>R1S All-Terrain Performance  Dual Max (20in)</t>
  </si>
  <si>
    <t>R1T Dual Large Plus (22in)</t>
  </si>
  <si>
    <t>264</t>
  </si>
  <si>
    <t>R1S Dual Large Plus (22in)</t>
  </si>
  <si>
    <t>R1T All-Terrain Dual Large Plus (20in)</t>
  </si>
  <si>
    <t>R1S All-Terrain Dual Large Plus (20in)</t>
  </si>
  <si>
    <t>R1T Performance Dual Large Plus (22in)</t>
  </si>
  <si>
    <t>R1S Performance Dual Large Plus (22in)</t>
  </si>
  <si>
    <t>R1T All-Terrain Performance Dual Large Plus (20in)</t>
  </si>
  <si>
    <t>R1S All-Terrain Performance Dual Large Plus (20in)</t>
  </si>
  <si>
    <t>R1T Dual Large Plus (20in)</t>
  </si>
  <si>
    <t>R1S Dual Large Plus (20in)</t>
  </si>
  <si>
    <t>R1T Performance Dual Large Plus (20in)</t>
  </si>
  <si>
    <t>R1S Performance Dual Large Plus (20in)</t>
  </si>
  <si>
    <t>R1T Tri Max (22in)</t>
  </si>
  <si>
    <t>201 and 233</t>
  </si>
  <si>
    <t>R1S Tri Max (22in)</t>
  </si>
  <si>
    <t>R1T All-Terrain Tri Max (20in)</t>
  </si>
  <si>
    <t>201, 201 and 233</t>
  </si>
  <si>
    <t>R1S All-Terrain Tri Max (20in)</t>
  </si>
  <si>
    <t>R1T Dual Large (22in)</t>
  </si>
  <si>
    <t>R1S Dual Large (22in)</t>
  </si>
  <si>
    <t>R1T Dual Large (20in)</t>
  </si>
  <si>
    <t>R1S Dual Large (20in)</t>
  </si>
  <si>
    <t>R1T All-Terrain Dual Large (20in)</t>
  </si>
  <si>
    <t>R1S All-Terrain Dual Large (20in)</t>
  </si>
  <si>
    <t>R1T Performance Dual Large (22in)</t>
  </si>
  <si>
    <t>R1S Performance Dual Large (22in)</t>
  </si>
  <si>
    <t>R1T Performance Dual Large (20in)</t>
  </si>
  <si>
    <t>R1S Performance Dual Large (20in)</t>
  </si>
  <si>
    <t>R1T All-Terrain Performance Dual Large (20in)</t>
  </si>
  <si>
    <t>R1S All-Terrain Performance Dual Large (20in)</t>
  </si>
  <si>
    <t>Rolls-Royce</t>
  </si>
  <si>
    <t>Rolls-Royce Motor Cars Limited</t>
  </si>
  <si>
    <t>Spectre (22'' Wheels)</t>
  </si>
  <si>
    <t>Spectre (23'' Wheels)</t>
  </si>
  <si>
    <t>Black Badge Spectre (22'' Wheels)</t>
  </si>
  <si>
    <t>Black Badge Spectre (23'' Wheels)</t>
  </si>
  <si>
    <t>Subaru</t>
  </si>
  <si>
    <t>SOLTERRA AWD</t>
  </si>
  <si>
    <t>80</t>
  </si>
  <si>
    <t>SOLTERRA LIMITED/TOURING AWD</t>
  </si>
  <si>
    <t>Tesla</t>
  </si>
  <si>
    <t>Tesla Motors</t>
  </si>
  <si>
    <t>Cybertruck Long Range</t>
  </si>
  <si>
    <t>Standard Pick-up Trucks 2WD</t>
  </si>
  <si>
    <t>240</t>
  </si>
  <si>
    <t>Cybertruck Long Range (20" Cyber wheels)</t>
  </si>
  <si>
    <t>Cybertruck AWD</t>
  </si>
  <si>
    <t>224 and 239</t>
  </si>
  <si>
    <t>Model 3 Long Range RWD</t>
  </si>
  <si>
    <t>192 and 225</t>
  </si>
  <si>
    <t>Model 3 Long Range RWD-I (19" Wheels)</t>
  </si>
  <si>
    <t>192, 213, and 225</t>
  </si>
  <si>
    <t>Model 3 Long Range AWD</t>
  </si>
  <si>
    <t>85, 88, 98, 191, 208, and 282</t>
  </si>
  <si>
    <t>Model 3 Performance AWD</t>
  </si>
  <si>
    <t>Model Y Long Range RWD</t>
  </si>
  <si>
    <t>221</t>
  </si>
  <si>
    <t>Model Y Long Range AWD</t>
  </si>
  <si>
    <t>83, 91, 135, 183, 200, 202</t>
  </si>
  <si>
    <t>Model Y Performance AWD</t>
  </si>
  <si>
    <t>Model S</t>
  </si>
  <si>
    <t>243 and 248</t>
  </si>
  <si>
    <t>Model S Plaid (21in Wheels)</t>
  </si>
  <si>
    <t>Model S Plaid (19in Wheels)</t>
  </si>
  <si>
    <t>Model X</t>
  </si>
  <si>
    <t>Model X Plaid (22in Wheels)</t>
  </si>
  <si>
    <t>230</t>
  </si>
  <si>
    <t>Model X Plaid (20in Wheels)</t>
  </si>
  <si>
    <t>TOYOTA</t>
  </si>
  <si>
    <t>bZ4X</t>
  </si>
  <si>
    <t>bZ4X LIMITED AWD</t>
  </si>
  <si>
    <t>bZ4X LIMITED</t>
  </si>
  <si>
    <t>bZ4X AWD (18inch Wheels)</t>
  </si>
  <si>
    <t>bZ4X AWD (20inch Wheels)</t>
  </si>
  <si>
    <t>Volkswagen</t>
  </si>
  <si>
    <t>ID.4 AWD Pro S</t>
  </si>
  <si>
    <t>80 and 210</t>
  </si>
  <si>
    <t>ID.4 Pro S</t>
  </si>
  <si>
    <t>ID.4 AWD Pro</t>
  </si>
  <si>
    <t>ID.4 Pro</t>
  </si>
  <si>
    <t>ID.4 S</t>
  </si>
  <si>
    <t>ID.4</t>
  </si>
  <si>
    <t>ID. Buzz</t>
  </si>
  <si>
    <t>Special Purpose Vehicle, minivan 2WD</t>
  </si>
  <si>
    <t>ID. Buzz 4Motion</t>
  </si>
  <si>
    <t>Special Purpose Vehicle, minivan 4WD</t>
  </si>
  <si>
    <t>Volvo Cars of North America, LLC</t>
  </si>
  <si>
    <t>EX90 Twin Motor Performance (21 Inch Wheels)</t>
  </si>
  <si>
    <t>EX90 Twin Motor (21 Inch Wheels)</t>
  </si>
  <si>
    <t>127 and 173</t>
  </si>
  <si>
    <t>EX40 Twin</t>
  </si>
  <si>
    <t>190 and 210</t>
  </si>
  <si>
    <t>EC40 Twin</t>
  </si>
  <si>
    <t>135 and 215</t>
  </si>
  <si>
    <t>EX30 Twin Performance (19 Inch Wheels)</t>
  </si>
  <si>
    <t>115 and 185</t>
  </si>
  <si>
    <t>EX30 Single Motor extended range (18 Inch Wheels)</t>
  </si>
  <si>
    <t>185</t>
  </si>
  <si>
    <t>EX40</t>
  </si>
  <si>
    <t>EC40</t>
  </si>
  <si>
    <t>EX90 Twin Motor Performance 20 and 22 Inch Wheels</t>
  </si>
  <si>
    <t>EX90 Twin Motor (20 and 22 Inch Wheels)</t>
  </si>
  <si>
    <t>EX30 Single Motor extended range(19_20 Inch Wheel)</t>
  </si>
  <si>
    <t>EX30 Twin Performance (20 Inch Wheels)</t>
  </si>
  <si>
    <t>Yes</t>
  </si>
  <si>
    <t>Turbocharged+Supercharged</t>
  </si>
  <si>
    <t>Auto(S8)</t>
  </si>
  <si>
    <t>XC90 B6 AWD</t>
  </si>
  <si>
    <t>Turbocharged</t>
  </si>
  <si>
    <t>XC90 B5 AWD</t>
  </si>
  <si>
    <t>XC60 B5 AWD</t>
  </si>
  <si>
    <t>XC40 B5 AWD</t>
  </si>
  <si>
    <t>V90CC B6 AWD</t>
  </si>
  <si>
    <t>S90 B6 AWD</t>
  </si>
  <si>
    <t>S60 B5 AWD</t>
  </si>
  <si>
    <t>S60 B5</t>
  </si>
  <si>
    <t>Tiguan S</t>
  </si>
  <si>
    <t>Tiguan 4Motion</t>
  </si>
  <si>
    <t>Tiguan</t>
  </si>
  <si>
    <t>Taos 4Motion</t>
  </si>
  <si>
    <t>Taos</t>
  </si>
  <si>
    <t>Jetta Sport/SE/SEL</t>
  </si>
  <si>
    <t>Jetta</t>
  </si>
  <si>
    <t>Auto(AM-S7)</t>
  </si>
  <si>
    <t>GTI</t>
  </si>
  <si>
    <t>Golf R</t>
  </si>
  <si>
    <t>Manual(M6)</t>
  </si>
  <si>
    <t>GLI</t>
  </si>
  <si>
    <t>Atlas SEL 4Motion</t>
  </si>
  <si>
    <t>Atlas SE 4Motion</t>
  </si>
  <si>
    <t>Atlas Cross Sport 4Motion</t>
  </si>
  <si>
    <t>Atlas Cross Sport</t>
  </si>
  <si>
    <t>Atlas 4Motion Peak Edition</t>
  </si>
  <si>
    <t>Atlas</t>
  </si>
  <si>
    <t>Auto(S10)</t>
  </si>
  <si>
    <t>TUNDRA 4WD PRO</t>
  </si>
  <si>
    <t>TUNDRA 4WD</t>
  </si>
  <si>
    <t>TUNDRA 2WD</t>
  </si>
  <si>
    <t>Naturally Aspirated</t>
  </si>
  <si>
    <t>Auto(AV-S6)</t>
  </si>
  <si>
    <t>TOYOTA CROWN SIGNIA AWD</t>
  </si>
  <si>
    <t>TOYOTA CROWN AWD</t>
  </si>
  <si>
    <t>Auto(AV)</t>
  </si>
  <si>
    <t>Small Pick-up Trucks 2WD</t>
  </si>
  <si>
    <t>TACOMA SR5/SPORT/PRERUNNER 2WD</t>
  </si>
  <si>
    <t>No</t>
  </si>
  <si>
    <t>Small Pick-up Trucks 4WD</t>
  </si>
  <si>
    <t>TACOMA SR5/SPORT/OFFROAD/LIMITED 4WD</t>
  </si>
  <si>
    <t>TACOMA HYBRID 4WD</t>
  </si>
  <si>
    <t>TACOMA 4WD MT</t>
  </si>
  <si>
    <t>TACOMA 4WD</t>
  </si>
  <si>
    <t>TACOMA 2WD</t>
  </si>
  <si>
    <t>Supra 3.0</t>
  </si>
  <si>
    <t>Supra 2.0</t>
  </si>
  <si>
    <t>SIENNA AWD</t>
  </si>
  <si>
    <t>SIENNA</t>
  </si>
  <si>
    <t>SEQUOIA 4WD</t>
  </si>
  <si>
    <t>SEQUOIA 2WD</t>
  </si>
  <si>
    <t>RAV4 HYBRID AWD WOODLAND EDITION</t>
  </si>
  <si>
    <t>RAV4 HYBRID AWD</t>
  </si>
  <si>
    <t>RAV4 AWD LE</t>
  </si>
  <si>
    <t>RAV4 AWD</t>
  </si>
  <si>
    <t>RAV4</t>
  </si>
  <si>
    <t>PRIUS XLE/LTD</t>
  </si>
  <si>
    <t>PRIUS AWD XLE/LTD</t>
  </si>
  <si>
    <t>PRIUS AWD</t>
  </si>
  <si>
    <t>PRIUS</t>
  </si>
  <si>
    <t>LAND CRUISER</t>
  </si>
  <si>
    <t>HIGHLANDER HYBRID AWD LTD/PLAT</t>
  </si>
  <si>
    <t>HIGHLANDER HYBRID AWD</t>
  </si>
  <si>
    <t>HIGHLANDER AWD</t>
  </si>
  <si>
    <t>HIGHLANDER</t>
  </si>
  <si>
    <t>GRAND HIGHLANDER LIMITED</t>
  </si>
  <si>
    <t>GRAND HIGHLANDER LE/XLE</t>
  </si>
  <si>
    <t>Auto(S6)</t>
  </si>
  <si>
    <t>GRAND HIGHLANDER HYBRID AWD</t>
  </si>
  <si>
    <t>GRAND HIGHLANDER HYBRID</t>
  </si>
  <si>
    <t>GRAND HIGHLANDER AWD LIMITED/PLATINUM</t>
  </si>
  <si>
    <t>GRAND HIGHLANDER AWD LE/XLE</t>
  </si>
  <si>
    <t>GR86</t>
  </si>
  <si>
    <t>GR COROLLA</t>
  </si>
  <si>
    <t>COROLLA HYBRID AWD</t>
  </si>
  <si>
    <t>COROLLA HYBRID</t>
  </si>
  <si>
    <t>Auto(AV-S10)</t>
  </si>
  <si>
    <t>COROLLA HATCHBACK XSE</t>
  </si>
  <si>
    <t>COROLLA HATCHBACK</t>
  </si>
  <si>
    <t>COROLLA FX</t>
  </si>
  <si>
    <t>COROLLA CROSS HYBRID AWD</t>
  </si>
  <si>
    <t>COROLLA CROSS AWD</t>
  </si>
  <si>
    <t>COROLLA CROSS</t>
  </si>
  <si>
    <t>COROLLA</t>
  </si>
  <si>
    <t>CAMRY HEV FF SE/XLE/XSE</t>
  </si>
  <si>
    <t>CAMRY HEV FF LE</t>
  </si>
  <si>
    <t>CAMRY HEV AWD XSE</t>
  </si>
  <si>
    <t>CAMRY HEV AWD SE/XLE</t>
  </si>
  <si>
    <t>CAMRY HEV AWD LE</t>
  </si>
  <si>
    <t>4RUNNER 4WD</t>
  </si>
  <si>
    <t>4RUNNER 2WD</t>
  </si>
  <si>
    <t>Auto(AV-S8)</t>
  </si>
  <si>
    <t>WRX</t>
  </si>
  <si>
    <t>OUTBACK WILDERNESS AWD</t>
  </si>
  <si>
    <t>OUTBACK AWD</t>
  </si>
  <si>
    <t>LEGACY</t>
  </si>
  <si>
    <t>IMPREZA</t>
  </si>
  <si>
    <t>FORESTER WILDERNESS AWD</t>
  </si>
  <si>
    <t>FORESTER SPORT/TOURING AWD</t>
  </si>
  <si>
    <t>FORESTER HYBRID AWD</t>
  </si>
  <si>
    <t>FORESTER AWD</t>
  </si>
  <si>
    <t>CROSSTREK WILDERNESS AWD</t>
  </si>
  <si>
    <t>CROSSTREK AWD</t>
  </si>
  <si>
    <t>BRZ</t>
  </si>
  <si>
    <t>ASCENT LIMITED/TOURING/ONYX EDITION AWD</t>
  </si>
  <si>
    <t>ASCENT AWD</t>
  </si>
  <si>
    <t>G</t>
  </si>
  <si>
    <t>Phantom Extended</t>
  </si>
  <si>
    <t>Phantom</t>
  </si>
  <si>
    <t>Ghost Extended</t>
  </si>
  <si>
    <t>Ghost</t>
  </si>
  <si>
    <t>Cullinan</t>
  </si>
  <si>
    <t>Black Badge Ghost</t>
  </si>
  <si>
    <t>Black Badge Cullinan</t>
  </si>
  <si>
    <t>Auto(A8)</t>
  </si>
  <si>
    <t>1500 RHO 4x4</t>
  </si>
  <si>
    <t>RAM</t>
  </si>
  <si>
    <t>1500 HO 4x4</t>
  </si>
  <si>
    <t>1500 HFE 4X2</t>
  </si>
  <si>
    <t>1500 4X4</t>
  </si>
  <si>
    <t>1500 4X2</t>
  </si>
  <si>
    <t>Auto(AM-S8)</t>
  </si>
  <si>
    <t>Panamera GTS</t>
  </si>
  <si>
    <t>Panamera 4</t>
  </si>
  <si>
    <t>Panamera</t>
  </si>
  <si>
    <t>Macan T</t>
  </si>
  <si>
    <t>Macan S</t>
  </si>
  <si>
    <t>Macan GTS</t>
  </si>
  <si>
    <t>Macan</t>
  </si>
  <si>
    <t>Cayenne Turbo GT</t>
  </si>
  <si>
    <t>Cayenne S Coupe</t>
  </si>
  <si>
    <t>Cayenne S</t>
  </si>
  <si>
    <t>Cayenne GTS Coupe</t>
  </si>
  <si>
    <t>Cayenne GTS</t>
  </si>
  <si>
    <t>Cayenne Coupe</t>
  </si>
  <si>
    <t>Cayenne</t>
  </si>
  <si>
    <t>911 Turbo S Cabriolet</t>
  </si>
  <si>
    <t>911 Turbo S</t>
  </si>
  <si>
    <t>911 Turbo Cabriolet</t>
  </si>
  <si>
    <t>911 Turbo</t>
  </si>
  <si>
    <t>911 Targa 4 GTS</t>
  </si>
  <si>
    <t>911 Carrera T Cabriolet</t>
  </si>
  <si>
    <t>911 Carrera T</t>
  </si>
  <si>
    <t>911 Carrera S Cabriolet</t>
  </si>
  <si>
    <t>911 Carrera S</t>
  </si>
  <si>
    <t>911 Carrera GTS Cabriolet</t>
  </si>
  <si>
    <t>911 Carrera GTS</t>
  </si>
  <si>
    <t>911 Carrera Cabriolet</t>
  </si>
  <si>
    <t>911 Carrera 4 GTS Cabriolet</t>
  </si>
  <si>
    <t>911 Carrera 4 GTS</t>
  </si>
  <si>
    <t>911 Carrera</t>
  </si>
  <si>
    <t>718 Spyder RS</t>
  </si>
  <si>
    <t>718 GT4 RS</t>
  </si>
  <si>
    <t>718 Cayman S</t>
  </si>
  <si>
    <t>718 Cayman GTS 4.0</t>
  </si>
  <si>
    <t>718 Cayman</t>
  </si>
  <si>
    <t>718 Boxster S</t>
  </si>
  <si>
    <t>718 Boxster GTS 4.0</t>
  </si>
  <si>
    <t>718 Boxster</t>
  </si>
  <si>
    <t>Auto(S9)</t>
  </si>
  <si>
    <t>Z NISMO</t>
  </si>
  <si>
    <t>Z</t>
  </si>
  <si>
    <t>Manual(M5)</t>
  </si>
  <si>
    <t>VERSA</t>
  </si>
  <si>
    <t>SENTRA SR</t>
  </si>
  <si>
    <t>SENTRA</t>
  </si>
  <si>
    <t>ROGUE FWD SL/PLATINUM</t>
  </si>
  <si>
    <t>ROGUE FWD</t>
  </si>
  <si>
    <t>ROGUE AWD SL/PLATINUM</t>
  </si>
  <si>
    <t>ROGUE AWD ROCK CREEK</t>
  </si>
  <si>
    <t>ROGUE AWD</t>
  </si>
  <si>
    <t>PATHFINDER 4WD ROCK CREEK</t>
  </si>
  <si>
    <t>PATHFINDER 4WD PLATINUM</t>
  </si>
  <si>
    <t>PATHFINDER 4WD</t>
  </si>
  <si>
    <t>PATHFINDER 2WD</t>
  </si>
  <si>
    <t>MURANO FWD</t>
  </si>
  <si>
    <t>MURANO AWD</t>
  </si>
  <si>
    <t>KICKS PLAY</t>
  </si>
  <si>
    <t>KICKS AWD</t>
  </si>
  <si>
    <t>KICKS</t>
  </si>
  <si>
    <t>FRONTIER 4WD PRO-4X</t>
  </si>
  <si>
    <t>FRONTIER 4WD</t>
  </si>
  <si>
    <t>FRONTIER 2WD</t>
  </si>
  <si>
    <t>ARMADA 4WD PRO-4X</t>
  </si>
  <si>
    <t>ARMADA 4WD</t>
  </si>
  <si>
    <t>ARMADA 2WD</t>
  </si>
  <si>
    <t>ALTIMA SL/SR</t>
  </si>
  <si>
    <t>ALTIMA AWD</t>
  </si>
  <si>
    <t>ALTIMA</t>
  </si>
  <si>
    <t>Outlander Sport 4WD</t>
  </si>
  <si>
    <t>Mitsubishi Motors Corporation</t>
  </si>
  <si>
    <t>Mitsubishi Motors Co</t>
  </si>
  <si>
    <t>ECLIPSE CROSS ES 4WD</t>
  </si>
  <si>
    <t>ECLIPSE CROSS 4WD</t>
  </si>
  <si>
    <t>ECLIPSE CROSS 2WD</t>
  </si>
  <si>
    <t>Outlander 4WD</t>
  </si>
  <si>
    <t>MITSUBISHI MOTORS</t>
  </si>
  <si>
    <t>Outlander 2WD</t>
  </si>
  <si>
    <t>JCW Hardtop 2 Door</t>
  </si>
  <si>
    <t>JCW Countryman ALL4</t>
  </si>
  <si>
    <t>JCW Convertible</t>
  </si>
  <si>
    <t>Countryman S ALL4</t>
  </si>
  <si>
    <t>Cooper S Hardtop 4 Door</t>
  </si>
  <si>
    <t>COOPER S HARDTOP 2 DOOR</t>
  </si>
  <si>
    <t>Cooper S Convertible</t>
  </si>
  <si>
    <t>Cooper Hardtop 4 Door</t>
  </si>
  <si>
    <t>Cooper Hardtop 2 Door</t>
  </si>
  <si>
    <t>Cooper Convertible</t>
  </si>
  <si>
    <t>Auto(A9)</t>
  </si>
  <si>
    <t>S 680 4MATIC Maybach</t>
  </si>
  <si>
    <t>S 580 4MATIC Maybach</t>
  </si>
  <si>
    <t>S 580 4MATIC</t>
  </si>
  <si>
    <t>S 500 4MATIC</t>
  </si>
  <si>
    <t>GLS 600 4MATIC Maybach</t>
  </si>
  <si>
    <t>GLS 580 4MATIC</t>
  </si>
  <si>
    <t>GLS 450 4MATIC</t>
  </si>
  <si>
    <t>GLE 580 4MATIC</t>
  </si>
  <si>
    <t>GLE 450 4MATIC (coupe)</t>
  </si>
  <si>
    <t>GLE 450 4MATIC</t>
  </si>
  <si>
    <t>GLE 350 4MATIC</t>
  </si>
  <si>
    <t>GLE 350</t>
  </si>
  <si>
    <t>GLC 300 4MATIC (Coupe)</t>
  </si>
  <si>
    <t>GLC 300 4MATIC</t>
  </si>
  <si>
    <t>GLC 300</t>
  </si>
  <si>
    <t>Auto(AM8)</t>
  </si>
  <si>
    <t>GLB 250 4MATIC</t>
  </si>
  <si>
    <t>GLB 250</t>
  </si>
  <si>
    <t>GLA 250 4MATIC</t>
  </si>
  <si>
    <t>GLA 250</t>
  </si>
  <si>
    <t>G 550</t>
  </si>
  <si>
    <t>E 450 4MATIC All-Terrain Wagon</t>
  </si>
  <si>
    <t>E 450 4MATIC</t>
  </si>
  <si>
    <t>E 350 4MATIC</t>
  </si>
  <si>
    <t>E 350</t>
  </si>
  <si>
    <t>CLE 450 4MATIC (Coupe)</t>
  </si>
  <si>
    <t>CLE 450 4MATIC (Convertible)</t>
  </si>
  <si>
    <t>CLE 300 4MATIC (Coupe)</t>
  </si>
  <si>
    <t>CLE 300 4MATIC (convertible)</t>
  </si>
  <si>
    <t>CLA 250 4MATIC</t>
  </si>
  <si>
    <t>CLA 250</t>
  </si>
  <si>
    <t>C 300 4MATIC</t>
  </si>
  <si>
    <t>C 300</t>
  </si>
  <si>
    <t>AMG SL 63 4MATIC+</t>
  </si>
  <si>
    <t>AMG SL 55 4MATIC+</t>
  </si>
  <si>
    <t>AMG SL 43</t>
  </si>
  <si>
    <t>AMG GT 63 PRO 4MATIC+ (coupe)</t>
  </si>
  <si>
    <t>AMG GT 63 4MATIC+ (coupe)</t>
  </si>
  <si>
    <t>AMG GT 63 4MATIC+</t>
  </si>
  <si>
    <t>AMG GT 55 4MATIC+ (coupe)</t>
  </si>
  <si>
    <t>AMG GT 53 4MATIC+</t>
  </si>
  <si>
    <t>AMG GT 43 4MATIC+</t>
  </si>
  <si>
    <t>AMG GT 43 (coupe)</t>
  </si>
  <si>
    <t>AMG GLS 63 4MATIC+</t>
  </si>
  <si>
    <t>AMG GLE 63 S 4MATIC+ (coupe)</t>
  </si>
  <si>
    <t>AMG GLE 63 S 4MATIC+</t>
  </si>
  <si>
    <t>AMG GLE 53 4MATIC+ (coupe)</t>
  </si>
  <si>
    <t>AMG GLE 53 4MATIC+</t>
  </si>
  <si>
    <t>AMG GLC 43 4MATIC (coupe)</t>
  </si>
  <si>
    <t>AMG GLC 43 4MATIC</t>
  </si>
  <si>
    <t>AMG GLB 35 4MATIC</t>
  </si>
  <si>
    <t>AMG GLA 35 4MATIC</t>
  </si>
  <si>
    <t>AMG G 63</t>
  </si>
  <si>
    <t>AMG CLE 53 4MATIC+ (coupe)</t>
  </si>
  <si>
    <t>AMG CLE 53 4MATIC+ (convertible)</t>
  </si>
  <si>
    <t>AMG CLA 45 S 4MATIC</t>
  </si>
  <si>
    <t>AMG CLA 35 4MATIC</t>
  </si>
  <si>
    <t>AMG C 43 4MATIC</t>
  </si>
  <si>
    <t>MX-5</t>
  </si>
  <si>
    <t>MAZDA</t>
  </si>
  <si>
    <t>MAZDA3 5-Door 4WD</t>
  </si>
  <si>
    <t>MAZDA3 5-Door 2WD</t>
  </si>
  <si>
    <t>MAZDA3 4-Door 4WD</t>
  </si>
  <si>
    <t>MAZDA3 4-Door 2WD</t>
  </si>
  <si>
    <t>MAZDA CX-90 4WD</t>
  </si>
  <si>
    <t>MAZDA CX-70 4WD</t>
  </si>
  <si>
    <t>MAZDA CX-50 4WD</t>
  </si>
  <si>
    <t>CX-5 4WD</t>
  </si>
  <si>
    <t>CX-30 4WD</t>
  </si>
  <si>
    <t>MC20 Spyder</t>
  </si>
  <si>
    <t>MC20</t>
  </si>
  <si>
    <t>GT2 Stradale</t>
  </si>
  <si>
    <t>Grecale Trofeo</t>
  </si>
  <si>
    <t>Grecale Modena</t>
  </si>
  <si>
    <t>Grecale</t>
  </si>
  <si>
    <t>Granturismo Trofeo</t>
  </si>
  <si>
    <t>Granturismo</t>
  </si>
  <si>
    <t>Grancabrio Trofeo</t>
  </si>
  <si>
    <t>Grancabrio</t>
  </si>
  <si>
    <t>Supercharged</t>
  </si>
  <si>
    <t>Emira</t>
  </si>
  <si>
    <t>Lotus Cars Ltd</t>
  </si>
  <si>
    <t>Lotus</t>
  </si>
  <si>
    <t>NAVIGATOR 4WD</t>
  </si>
  <si>
    <t>Lincoln</t>
  </si>
  <si>
    <t>NAUTILUS HEV AWD</t>
  </si>
  <si>
    <t>NAUTILUS AWD</t>
  </si>
  <si>
    <t>CORSAIR FWD</t>
  </si>
  <si>
    <t>CORSAIR AWD</t>
  </si>
  <si>
    <t>AVIATOR RWD</t>
  </si>
  <si>
    <t>AVIATOR AWD</t>
  </si>
  <si>
    <t>UX 300h AWD</t>
  </si>
  <si>
    <t>UX 300h</t>
  </si>
  <si>
    <t>TX 500h AWD</t>
  </si>
  <si>
    <t>TX 350 AWD</t>
  </si>
  <si>
    <t>TX 350</t>
  </si>
  <si>
    <t>RX 500h AWD</t>
  </si>
  <si>
    <t>RX 350h AWD</t>
  </si>
  <si>
    <t>RX 350 AWD</t>
  </si>
  <si>
    <t>RX 350</t>
  </si>
  <si>
    <t>RC F</t>
  </si>
  <si>
    <t>RC 350 AWD</t>
  </si>
  <si>
    <t>RC 350</t>
  </si>
  <si>
    <t>RC 300 AWD</t>
  </si>
  <si>
    <t>RC 300</t>
  </si>
  <si>
    <t>NX 350h AWD</t>
  </si>
  <si>
    <t>NX 350 AWD F SPORT</t>
  </si>
  <si>
    <t>NX 350 AWD</t>
  </si>
  <si>
    <t>NX 250 AWD</t>
  </si>
  <si>
    <t>NX 250</t>
  </si>
  <si>
    <t>LX 700h</t>
  </si>
  <si>
    <t>LX 600</t>
  </si>
  <si>
    <t>LS 500h AWD</t>
  </si>
  <si>
    <t>LS 500 AWD</t>
  </si>
  <si>
    <t>LS 500</t>
  </si>
  <si>
    <t>LC 500h</t>
  </si>
  <si>
    <t>LC 500 CONVERTIBLE</t>
  </si>
  <si>
    <t>LC 500</t>
  </si>
  <si>
    <t>IS 500</t>
  </si>
  <si>
    <t>IS 350 AWD</t>
  </si>
  <si>
    <t>IS 350</t>
  </si>
  <si>
    <t>IS 300 AWD</t>
  </si>
  <si>
    <t>IS 300</t>
  </si>
  <si>
    <t>GX 550</t>
  </si>
  <si>
    <t>ES 350 F SPORT</t>
  </si>
  <si>
    <t>ES 350</t>
  </si>
  <si>
    <t>ES 300h</t>
  </si>
  <si>
    <t>ES 250 AWD</t>
  </si>
  <si>
    <t>Range Rover Velar P400 MHEV</t>
  </si>
  <si>
    <t>Land Rover</t>
  </si>
  <si>
    <t>Jaguar Land Rover L</t>
  </si>
  <si>
    <t>Range Rover Velar P340 MHEV</t>
  </si>
  <si>
    <t>Range Rover Velar</t>
  </si>
  <si>
    <t>Range Rover SV MHEV</t>
  </si>
  <si>
    <t>Range Rover SV LWB MHEV</t>
  </si>
  <si>
    <t>Range Rover Sport SVR MHEV</t>
  </si>
  <si>
    <t>Range Rover Sport P400 MHEV</t>
  </si>
  <si>
    <t>Range Rover Sport P360 MHEV</t>
  </si>
  <si>
    <t>Range Rover Sport MHEV</t>
  </si>
  <si>
    <t>Range Rover P400 MHEV</t>
  </si>
  <si>
    <t>Range Rover P400 LWB MHEV</t>
  </si>
  <si>
    <t>Range Rover MHEV</t>
  </si>
  <si>
    <t>Range Rover LWB MHEV</t>
  </si>
  <si>
    <t>Range Rover Evoque</t>
  </si>
  <si>
    <t>Discovery Sport</t>
  </si>
  <si>
    <t>Discovery</t>
  </si>
  <si>
    <t>Defender 90 MHEV</t>
  </si>
  <si>
    <t>Defender 90</t>
  </si>
  <si>
    <t>Defender 130 P400 MHEV</t>
  </si>
  <si>
    <t>Defender 130 P300 MHEV</t>
  </si>
  <si>
    <t>Defender 130 Outbound</t>
  </si>
  <si>
    <t>Defender 130</t>
  </si>
  <si>
    <t>Defender 110 MHEV</t>
  </si>
  <si>
    <t>Defender 110</t>
  </si>
  <si>
    <t>Telluride FWD</t>
  </si>
  <si>
    <t>Telluride AWD</t>
  </si>
  <si>
    <t>Sportage X-pro</t>
  </si>
  <si>
    <t>Auto(AM-S6)</t>
  </si>
  <si>
    <t>Sportage Hybrid FWD</t>
  </si>
  <si>
    <t>Sportage Hybrid AWD</t>
  </si>
  <si>
    <t>Sportage FWD</t>
  </si>
  <si>
    <t>Sportage AWD</t>
  </si>
  <si>
    <t>Soul Eco dynamics</t>
  </si>
  <si>
    <t>Soul</t>
  </si>
  <si>
    <t>Sorento Hybrid FWD</t>
  </si>
  <si>
    <t>Sorento Hybrid AWD</t>
  </si>
  <si>
    <t>Sorento FWD</t>
  </si>
  <si>
    <t>Sorento AWD</t>
  </si>
  <si>
    <t>Seltos FWD</t>
  </si>
  <si>
    <t>Seltos AWD</t>
  </si>
  <si>
    <t>Niro FE</t>
  </si>
  <si>
    <t>Niro</t>
  </si>
  <si>
    <t>K5 AWD</t>
  </si>
  <si>
    <t>K5</t>
  </si>
  <si>
    <t>K4</t>
  </si>
  <si>
    <t>Auto(AV-S1)</t>
  </si>
  <si>
    <t>Carnival Hybrid</t>
  </si>
  <si>
    <t>Carnival</t>
  </si>
  <si>
    <t>Wrangler 4dr 4X4</t>
  </si>
  <si>
    <t>Wrangler 2dr 4X4</t>
  </si>
  <si>
    <t>Wagoneer L 4x4</t>
  </si>
  <si>
    <t>Wagoneer L 4x2</t>
  </si>
  <si>
    <t>Wagoneer 4x4</t>
  </si>
  <si>
    <t>Wagoneer 4x2</t>
  </si>
  <si>
    <t>Grand Wagoneer L 4x4</t>
  </si>
  <si>
    <t>Grand Wagoneer 4x4</t>
  </si>
  <si>
    <t>Grand Cherokee L 4X4</t>
  </si>
  <si>
    <t>Grand Cherokee L 4X2</t>
  </si>
  <si>
    <t>Grand Cherokee 4X4</t>
  </si>
  <si>
    <t>Grand Cherokee 4X2</t>
  </si>
  <si>
    <t>Gladiator 4X4</t>
  </si>
  <si>
    <t>Compass 4X4</t>
  </si>
  <si>
    <t>F-PACE SVR</t>
  </si>
  <si>
    <t>Jaguar</t>
  </si>
  <si>
    <t>F-PACE MHEV</t>
  </si>
  <si>
    <t>F-PACE</t>
  </si>
  <si>
    <t>QX80 4WD</t>
  </si>
  <si>
    <t>INFINITI</t>
  </si>
  <si>
    <t>QX80 2WD</t>
  </si>
  <si>
    <t>QX60 FWD</t>
  </si>
  <si>
    <t>QX60 AWD</t>
  </si>
  <si>
    <t>QX50 AWD</t>
  </si>
  <si>
    <t>QX50</t>
  </si>
  <si>
    <t>Grenadier Trialmaster Edition</t>
  </si>
  <si>
    <t>INEOS Automotive Limited</t>
  </si>
  <si>
    <t>Ineos Automotive Li</t>
  </si>
  <si>
    <t>Grenadier Station Wagon</t>
  </si>
  <si>
    <t>Venue</t>
  </si>
  <si>
    <t>Tucson Hybrid Blue</t>
  </si>
  <si>
    <t>Tucson Hybrid</t>
  </si>
  <si>
    <t>Tucson FWD</t>
  </si>
  <si>
    <t>Tucson AWD</t>
  </si>
  <si>
    <t>Sonata Hybrid</t>
  </si>
  <si>
    <t>Sonata FWD</t>
  </si>
  <si>
    <t>Sonata AWD</t>
  </si>
  <si>
    <t>Santa Fe Hybrid FWD</t>
  </si>
  <si>
    <t>Santa Fe Hybrid AWD</t>
  </si>
  <si>
    <t>Santa Fe FWD</t>
  </si>
  <si>
    <t>Santa Fe AWD XRT</t>
  </si>
  <si>
    <t>Santa Fe AWD</t>
  </si>
  <si>
    <t>Santa Cruz XRT AWD</t>
  </si>
  <si>
    <t>Santa Cruz FWD</t>
  </si>
  <si>
    <t>Santa Cruz AWD</t>
  </si>
  <si>
    <t>Palisade FWD</t>
  </si>
  <si>
    <t>Palisade AWD</t>
  </si>
  <si>
    <t>Kona FWD</t>
  </si>
  <si>
    <t>Kona AWD</t>
  </si>
  <si>
    <t>Elantra N</t>
  </si>
  <si>
    <t>Elantra Hybrid Blue</t>
  </si>
  <si>
    <t>Elantra Hybrid</t>
  </si>
  <si>
    <t>Elantra</t>
  </si>
  <si>
    <t>RIDGELINE AWD TrailSport</t>
  </si>
  <si>
    <t>RIDGELINE AWD</t>
  </si>
  <si>
    <t>PILOT FWD</t>
  </si>
  <si>
    <t>Pilot AWD TRAILSPORT</t>
  </si>
  <si>
    <t>Pilot AWD Touring/Elite/Black</t>
  </si>
  <si>
    <t>PILOT AWD</t>
  </si>
  <si>
    <t>PASSPORT AWD</t>
  </si>
  <si>
    <t>ODYSSEY FWD</t>
  </si>
  <si>
    <t>HR-V FWD</t>
  </si>
  <si>
    <t>HR-V AWD</t>
  </si>
  <si>
    <t>CR-V FWD</t>
  </si>
  <si>
    <t>CR-V AWD</t>
  </si>
  <si>
    <t>CIVIC 5Dr</t>
  </si>
  <si>
    <t>Auto(AV-S7)</t>
  </si>
  <si>
    <t>CIVIC 4Dr</t>
  </si>
  <si>
    <t>ACCORD SPORT/TOURING</t>
  </si>
  <si>
    <t>ACCORD</t>
  </si>
  <si>
    <t>Auto(A10)</t>
  </si>
  <si>
    <t>YUKON XL 4WD</t>
  </si>
  <si>
    <t>YUKON XL 2WD</t>
  </si>
  <si>
    <t>YUKON 4WD</t>
  </si>
  <si>
    <t>YUKON 2WD</t>
  </si>
  <si>
    <t>TERRAIN FWD</t>
  </si>
  <si>
    <t>TERRAIN AWD</t>
  </si>
  <si>
    <t>SIERRA 4WD MUD TERRAIN TIRES</t>
  </si>
  <si>
    <t>Special Purpose Vehicle cab chassis</t>
  </si>
  <si>
    <t>SIERRA 4WD CAB CHASSIS</t>
  </si>
  <si>
    <t>SIERRA 4WD AT4X</t>
  </si>
  <si>
    <t>SIERRA 4WD</t>
  </si>
  <si>
    <t>SIERRA 2WD CAB CHASSIS</t>
  </si>
  <si>
    <t>SIERRA 2WD</t>
  </si>
  <si>
    <t>CANYON AT4X AEV 4WD</t>
  </si>
  <si>
    <t>CANYON AT4X 4WD</t>
  </si>
  <si>
    <t>CANYON 4WD</t>
  </si>
  <si>
    <t>CANYON 2WD</t>
  </si>
  <si>
    <t>ACADIA FWD</t>
  </si>
  <si>
    <t>ACADIA AWD</t>
  </si>
  <si>
    <t>GV80 MHEV</t>
  </si>
  <si>
    <t>GV80 AWD</t>
  </si>
  <si>
    <t>GV70 AWD</t>
  </si>
  <si>
    <t>G90 MHEV</t>
  </si>
  <si>
    <t>G90 AWD</t>
  </si>
  <si>
    <t>G80 AWD</t>
  </si>
  <si>
    <t>G70 RWD</t>
  </si>
  <si>
    <t>G70 AWD</t>
  </si>
  <si>
    <t>RANGER RAPTOR 4WD</t>
  </si>
  <si>
    <t>RANGER 4WD</t>
  </si>
  <si>
    <t>RANGER 2WD</t>
  </si>
  <si>
    <t>MUSTANG GTD</t>
  </si>
  <si>
    <t>MUSTANG DARK HORSE</t>
  </si>
  <si>
    <t>MUSTANG</t>
  </si>
  <si>
    <t>MAVERICK TREMOR AWD</t>
  </si>
  <si>
    <t>MAVERICK LOBO AWD</t>
  </si>
  <si>
    <t>MAVERICK HEV FWD</t>
  </si>
  <si>
    <t>MAVERICK HEV AWD</t>
  </si>
  <si>
    <t>MAVERICK AWD</t>
  </si>
  <si>
    <t>F150 RAPTOR R 4WD</t>
  </si>
  <si>
    <t>F150 RAPTOR 4WD</t>
  </si>
  <si>
    <t>F150 PICKUP TREMOR 4WD</t>
  </si>
  <si>
    <t>F150 PICKUP 4WD HEV</t>
  </si>
  <si>
    <t>F150 PICKUP 4WD</t>
  </si>
  <si>
    <t>F150 PICKUP 2WD</t>
  </si>
  <si>
    <t>EXPLORER RWD</t>
  </si>
  <si>
    <t>EXPLORER AWD</t>
  </si>
  <si>
    <t>EXPEDITION 4WD</t>
  </si>
  <si>
    <t>EXPEDITION 2WD</t>
  </si>
  <si>
    <t>ESCAPE FWD HEV</t>
  </si>
  <si>
    <t>ESCAPE FWD</t>
  </si>
  <si>
    <t>ESCAPE AWD HEV</t>
  </si>
  <si>
    <t>ESCAPE AWD</t>
  </si>
  <si>
    <t>BRONCO SPORT SASQUATCH</t>
  </si>
  <si>
    <t>BRONCO SPORT 4WD</t>
  </si>
  <si>
    <t>Manual(M7)</t>
  </si>
  <si>
    <t>BRONCO SASQUATCH 4WD</t>
  </si>
  <si>
    <t>BRONCO RAPTOR 4WD</t>
  </si>
  <si>
    <t>BRONCO OUTER BANKS 4WD</t>
  </si>
  <si>
    <t>BRONCO BADLANDS 4WD</t>
  </si>
  <si>
    <t>BRONCO 4WD</t>
  </si>
  <si>
    <t>Roma Spider</t>
  </si>
  <si>
    <t>Ferrari North America, Inc.</t>
  </si>
  <si>
    <t>Ferrari</t>
  </si>
  <si>
    <t>Auto(AM7)</t>
  </si>
  <si>
    <t>Ferrari Daytona SP3</t>
  </si>
  <si>
    <t>F167 ABA</t>
  </si>
  <si>
    <t>Hornet AWD</t>
  </si>
  <si>
    <t>Durango SRT AWD</t>
  </si>
  <si>
    <t>Durango RWD</t>
  </si>
  <si>
    <t>Durango AWD</t>
  </si>
  <si>
    <t>Voyager</t>
  </si>
  <si>
    <t>Chrysler</t>
  </si>
  <si>
    <t>Pacifica AWD</t>
  </si>
  <si>
    <t>Pacifica</t>
  </si>
  <si>
    <t>Auto(A6)</t>
  </si>
  <si>
    <t>TRAX</t>
  </si>
  <si>
    <t>TRAVERSE FWD</t>
  </si>
  <si>
    <t>TRAVERSE AWD</t>
  </si>
  <si>
    <t>TRAILBLAZER FWD</t>
  </si>
  <si>
    <t>TRAILBLAZER AWD</t>
  </si>
  <si>
    <t>TAHOE 4WD</t>
  </si>
  <si>
    <t>TAHOE 2WD</t>
  </si>
  <si>
    <t>SUBURBAN 4WD</t>
  </si>
  <si>
    <t>SUBURBAN 2WD</t>
  </si>
  <si>
    <t>SILVERADO 4WD ZR2</t>
  </si>
  <si>
    <t>SILVERADO 4WD MUD TERRAIN TIRES</t>
  </si>
  <si>
    <t>SILVERADO 4WD CAB CHASSIS</t>
  </si>
  <si>
    <t>SILVERADO 4WD</t>
  </si>
  <si>
    <t>SILVERADO 2WD CAB CHASSIS</t>
  </si>
  <si>
    <t>SILVERADO 2WD</t>
  </si>
  <si>
    <t>MALIBU</t>
  </si>
  <si>
    <t>EQUINOX FWD</t>
  </si>
  <si>
    <t>EQUINOX AWD</t>
  </si>
  <si>
    <t>CORVETTE ZR1</t>
  </si>
  <si>
    <t>CORVETTE Z06 CARBON AERO</t>
  </si>
  <si>
    <t>CORVETTE Z06</t>
  </si>
  <si>
    <t>CORVETTE E-RAY</t>
  </si>
  <si>
    <t>CORVETTE</t>
  </si>
  <si>
    <t>COLORADO ZR2 BISON 4WD</t>
  </si>
  <si>
    <t>COLORADO ZR2 4WD</t>
  </si>
  <si>
    <t>COLORADO 4WD MUD TERRAIN TIRES</t>
  </si>
  <si>
    <t>COLORADO 4WD</t>
  </si>
  <si>
    <t>COLORADO 2WD</t>
  </si>
  <si>
    <t>BLAZER FWD</t>
  </si>
  <si>
    <t>BLAZER AWD</t>
  </si>
  <si>
    <t>XT6 FWD</t>
  </si>
  <si>
    <t>XT6 AWD</t>
  </si>
  <si>
    <t>XT5 FWD</t>
  </si>
  <si>
    <t>XT5 AWD</t>
  </si>
  <si>
    <t>XT4 FWD</t>
  </si>
  <si>
    <t>XT4 AWD</t>
  </si>
  <si>
    <t>ESCALADE V AWD</t>
  </si>
  <si>
    <t>ESCALADE 4WD</t>
  </si>
  <si>
    <t>ESCALADE 2WD</t>
  </si>
  <si>
    <t>CT5 V AWD</t>
  </si>
  <si>
    <t>CT5 V</t>
  </si>
  <si>
    <t>CT5 AWD</t>
  </si>
  <si>
    <t>CT5</t>
  </si>
  <si>
    <t>CT4 V AWD</t>
  </si>
  <si>
    <t>CT4 V</t>
  </si>
  <si>
    <t>CT4 AWD</t>
  </si>
  <si>
    <t>CT4</t>
  </si>
  <si>
    <t>ENVISTA</t>
  </si>
  <si>
    <t>Buick</t>
  </si>
  <si>
    <t>ENVISION AWD</t>
  </si>
  <si>
    <t>ENCORE GX FWD</t>
  </si>
  <si>
    <t>ENCORE GX AWD</t>
  </si>
  <si>
    <t>ENCLAVE FWD</t>
  </si>
  <si>
    <t>ENCLAVE AWD</t>
  </si>
  <si>
    <t>Mistral</t>
  </si>
  <si>
    <t>Bugatti</t>
  </si>
  <si>
    <t>Z4 sDrive30i</t>
  </si>
  <si>
    <t>Z4 M40i</t>
  </si>
  <si>
    <t>X7 xDrive40i</t>
  </si>
  <si>
    <t>X7 M60i xDrive</t>
  </si>
  <si>
    <t>X6 xDrive40i</t>
  </si>
  <si>
    <t>X6 M60i xDrive</t>
  </si>
  <si>
    <t>X6 M Competition</t>
  </si>
  <si>
    <t>X5 xDrive40i</t>
  </si>
  <si>
    <t>X5 sDrive40i</t>
  </si>
  <si>
    <t>X5 M60i xDrive</t>
  </si>
  <si>
    <t>X5 M Competition</t>
  </si>
  <si>
    <t>X4 xDrive30i</t>
  </si>
  <si>
    <t>X4 M40i</t>
  </si>
  <si>
    <t>X4 M Competition</t>
  </si>
  <si>
    <t>X4 M</t>
  </si>
  <si>
    <t>X3 xDrive30i</t>
  </si>
  <si>
    <t>X3 M50i xDrive</t>
  </si>
  <si>
    <t>X2 xDrive28i</t>
  </si>
  <si>
    <t>X2 M35i</t>
  </si>
  <si>
    <t>X1 xDrive28i</t>
  </si>
  <si>
    <t>X1 M35i</t>
  </si>
  <si>
    <t>M850i xDrive Gran Coupe</t>
  </si>
  <si>
    <t>M850i xDrive Coupe</t>
  </si>
  <si>
    <t>M850i xDrive Convertible</t>
  </si>
  <si>
    <t>M8 Competition Gran Coupe</t>
  </si>
  <si>
    <t>M8 Competition Coupe</t>
  </si>
  <si>
    <t>M8 Competition Convertible</t>
  </si>
  <si>
    <t>M4CompetitionMxDriveConvertible</t>
  </si>
  <si>
    <t>M440i xDrive Gran Coupe</t>
  </si>
  <si>
    <t>M440i xDrive Coupe</t>
  </si>
  <si>
    <t>M440i xDrive Convertible</t>
  </si>
  <si>
    <t>M440i Gran Coupe</t>
  </si>
  <si>
    <t>M440i Coupe</t>
  </si>
  <si>
    <t>M440i Convertible</t>
  </si>
  <si>
    <t>M4 CS Coupe</t>
  </si>
  <si>
    <t>M4 Coupe</t>
  </si>
  <si>
    <t>M4 Competition M xDrive Coupe</t>
  </si>
  <si>
    <t>M4 Competition Coupe</t>
  </si>
  <si>
    <t>M340i xDrive Sedan</t>
  </si>
  <si>
    <t>M340i Sedan</t>
  </si>
  <si>
    <t>M3 Sedan</t>
  </si>
  <si>
    <t>M3 Competition Sedan</t>
  </si>
  <si>
    <t>M3 Competition M xDrive Sedan</t>
  </si>
  <si>
    <t>M240i xDrive Coupe</t>
  </si>
  <si>
    <t>M240i Coupe</t>
  </si>
  <si>
    <t>M235 xDrive Gran Coupe</t>
  </si>
  <si>
    <t>M2 Coupe</t>
  </si>
  <si>
    <t>ALPINA B8 Gran Coupe</t>
  </si>
  <si>
    <t>840i xDrive Gran Coupe</t>
  </si>
  <si>
    <t>840i xDrive Coupe</t>
  </si>
  <si>
    <t>840i xDrive Convertible</t>
  </si>
  <si>
    <t>840i Gran Coupe</t>
  </si>
  <si>
    <t>840i Coupe</t>
  </si>
  <si>
    <t>840i Convertible</t>
  </si>
  <si>
    <t>760i xDrive Sedan</t>
  </si>
  <si>
    <t>740i xDrive Sedan</t>
  </si>
  <si>
    <t>740i Sedan</t>
  </si>
  <si>
    <t>540i xDrive Sedan</t>
  </si>
  <si>
    <t>530i xDrive Sedan</t>
  </si>
  <si>
    <t>530i Sedan</t>
  </si>
  <si>
    <t>430i xDrive Gran Coupe</t>
  </si>
  <si>
    <t>430i xDrive Coupe</t>
  </si>
  <si>
    <t>430i xDrive Convertible</t>
  </si>
  <si>
    <t>430i Gran Coupe</t>
  </si>
  <si>
    <t>430i Coupe</t>
  </si>
  <si>
    <t>430i Convertible</t>
  </si>
  <si>
    <t>330i xDrive Sedan</t>
  </si>
  <si>
    <t>330i Sedan</t>
  </si>
  <si>
    <t>230i xDrive Coupe</t>
  </si>
  <si>
    <t>230i Coupe</t>
  </si>
  <si>
    <t>228 xDrive Gran Coupe</t>
  </si>
  <si>
    <t>Bentayga EWB</t>
  </si>
  <si>
    <t>Bentley</t>
  </si>
  <si>
    <t>Bentayga</t>
  </si>
  <si>
    <t>SQ8</t>
  </si>
  <si>
    <t>SQ7</t>
  </si>
  <si>
    <t>SQ5 Sportback</t>
  </si>
  <si>
    <t>SQ5</t>
  </si>
  <si>
    <t>S8</t>
  </si>
  <si>
    <t>S7</t>
  </si>
  <si>
    <t>S6</t>
  </si>
  <si>
    <t>S5 Sportback</t>
  </si>
  <si>
    <t>S5</t>
  </si>
  <si>
    <t>S4</t>
  </si>
  <si>
    <t>S3</t>
  </si>
  <si>
    <t>RS Q8 Performance</t>
  </si>
  <si>
    <t>RS 7</t>
  </si>
  <si>
    <t>RS 6 Avant</t>
  </si>
  <si>
    <t>RS 5 Sportback</t>
  </si>
  <si>
    <t>RS 3</t>
  </si>
  <si>
    <t>Q8 quattro</t>
  </si>
  <si>
    <t>Q7</t>
  </si>
  <si>
    <t>Q5 TFSI quattro</t>
  </si>
  <si>
    <t>Q5 Sportback TFSI quattro</t>
  </si>
  <si>
    <t>Q5 Sportback S line quattro</t>
  </si>
  <si>
    <t>Q5 S line quattro</t>
  </si>
  <si>
    <t>Q5 quattro</t>
  </si>
  <si>
    <t>Q3 S line</t>
  </si>
  <si>
    <t>Q3</t>
  </si>
  <si>
    <t>A8 quattro</t>
  </si>
  <si>
    <t>A7 quattro</t>
  </si>
  <si>
    <t>A6 quattro</t>
  </si>
  <si>
    <t>A6 allroad quattro</t>
  </si>
  <si>
    <t>A5 Sportback S line quattro</t>
  </si>
  <si>
    <t>A5 Sportback quattro</t>
  </si>
  <si>
    <t>A5 quattro</t>
  </si>
  <si>
    <t>A4 S line quattro</t>
  </si>
  <si>
    <t>A4 quattro</t>
  </si>
  <si>
    <t>A4 allroad quattro</t>
  </si>
  <si>
    <t>A3 quattro</t>
  </si>
  <si>
    <t>Vantage</t>
  </si>
  <si>
    <t>Aston Martin Lagonda Ltd</t>
  </si>
  <si>
    <t>aston martin</t>
  </si>
  <si>
    <t>Vanquish</t>
  </si>
  <si>
    <t>DBX 707</t>
  </si>
  <si>
    <t>DB12 V8</t>
  </si>
  <si>
    <t>Tonale AWD</t>
  </si>
  <si>
    <t>ALFA ROMEO</t>
  </si>
  <si>
    <t>Stelvio AWD</t>
  </si>
  <si>
    <t>Giulia AWD</t>
  </si>
  <si>
    <t>Giulia</t>
  </si>
  <si>
    <t>TLX Type-S</t>
  </si>
  <si>
    <t>Acura</t>
  </si>
  <si>
    <t>TLX FWD</t>
  </si>
  <si>
    <t>TLX AWD A-SPEC</t>
  </si>
  <si>
    <t>RDX AWD A-SPEC</t>
  </si>
  <si>
    <t>RDX AWD</t>
  </si>
  <si>
    <t>MDX FWD</t>
  </si>
  <si>
    <t>MDX AWD Type-S</t>
  </si>
  <si>
    <t>MDX AWD</t>
  </si>
  <si>
    <t>INTEGRA A-SPEC</t>
  </si>
  <si>
    <t>INTEGRA</t>
  </si>
  <si>
    <t>ADX FWD</t>
  </si>
  <si>
    <t>ADX AWD</t>
  </si>
  <si>
    <t>StopStart_System</t>
  </si>
  <si>
    <t>Air_Aspiration</t>
  </si>
  <si>
    <t>Gas_Guzzler</t>
  </si>
  <si>
    <t>Combined_MPG</t>
  </si>
  <si>
    <t>Hwy_MPG</t>
  </si>
  <si>
    <t>City_MPG</t>
  </si>
  <si>
    <t>Num_Gears</t>
  </si>
  <si>
    <t>Transmission</t>
  </si>
  <si>
    <t>Cylinders</t>
  </si>
  <si>
    <t>Engine_Displacement</t>
  </si>
  <si>
    <t>Row Labels</t>
  </si>
  <si>
    <t>Grand Total</t>
  </si>
  <si>
    <t>Avg Annual Fuel Cost</t>
  </si>
  <si>
    <t>Avg GHG Rating</t>
  </si>
  <si>
    <t>Avg Range(miles)</t>
  </si>
  <si>
    <t>Avg MPG</t>
  </si>
  <si>
    <t>Avg EV Fuel Cost</t>
  </si>
  <si>
    <t>Avg ICE MPG</t>
  </si>
  <si>
    <t>Avg ICE Fuel Cost</t>
  </si>
  <si>
    <t>Fuel Cost Difference</t>
  </si>
  <si>
    <t>Avg EV GHG</t>
  </si>
  <si>
    <t>Avg ICE GHG</t>
  </si>
  <si>
    <t>Avg EV MPGe</t>
  </si>
  <si>
    <t>Avg MPGe</t>
  </si>
  <si>
    <t>N/A</t>
  </si>
  <si>
    <t>ICE</t>
  </si>
  <si>
    <t>EV</t>
  </si>
  <si>
    <t>CALCULATIONS</t>
  </si>
  <si>
    <t>Years of Ownership</t>
  </si>
  <si>
    <t>Avg Annual Fuel Cost ($)</t>
  </si>
  <si>
    <t>INPUTS</t>
  </si>
  <si>
    <t>Note: Purchase price, maintenance, insurance and depreciation are outside the scope of this EPA dataset.</t>
  </si>
  <si>
    <t>EPA Savings_5yr column average</t>
  </si>
  <si>
    <t>Avg EPA 5yr Savings</t>
  </si>
  <si>
    <t>Total Fuel Savings choosing EV ($)</t>
  </si>
  <si>
    <t>Total Fuel Cost ($)</t>
  </si>
  <si>
    <t>5</t>
  </si>
  <si>
    <t>EPA 2025 dataset average</t>
  </si>
  <si>
    <t>Source</t>
  </si>
  <si>
    <t>EV vs ICE — 5 Year Fuel Cost Comparison</t>
  </si>
  <si>
    <t>User input; adjust as needed</t>
  </si>
  <si>
    <t>Average of Savings_5yr</t>
  </si>
  <si>
    <t>Average of Extra_Spend_5yr</t>
  </si>
  <si>
    <t>Avg 5yr Extra Spending</t>
  </si>
  <si>
    <t>Extra Spending 5yr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</si>
</sst>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0.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0"/>
      <color rgb="FF595959"/>
      <name val="Arial"/>
      <family val="2"/>
    </font>
    <font>
      <i/>
      <sz val="9"/>
      <color rgb="FF595959"/>
      <name val="Arial"/>
    </font>
    <font>
      <i/>
      <sz val="10"/>
      <color rgb="FF595959"/>
      <name val="Arial"/>
    </font>
    <font>
      <sz val="10"/>
      <color rgb="FF000000"/>
      <name val="Arial"/>
    </font>
    <font>
      <sz val="10"/>
      <name val="Arial"/>
    </font>
    <font>
      <b/>
      <sz val="10"/>
      <color rgb="FF000000"/>
      <name val="Arial"/>
    </font>
    <font>
      <b/>
      <sz val="10"/>
      <name val="Arial"/>
    </font>
    <font>
      <b/>
      <sz val="11"/>
      <color rgb="FFFFFFFF"/>
      <name val="Arial"/>
    </font>
    <font>
      <sz val="10"/>
      <color rgb="FF0000FF"/>
      <name val="Arial"/>
    </font>
    <font>
      <b/>
      <sz val="14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1F38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6" fontId="0" fillId="0" borderId="1" xfId="0" applyNumberFormat="1" applyBorder="1"/>
    <xf numFmtId="44" fontId="0" fillId="0" borderId="1" xfId="1" applyFont="1" applyBorder="1"/>
    <xf numFmtId="44" fontId="0" fillId="0" borderId="1" xfId="0" applyNumberFormat="1" applyBorder="1"/>
    <xf numFmtId="166" fontId="0" fillId="0" borderId="6" xfId="0" applyNumberFormat="1" applyBorder="1"/>
    <xf numFmtId="0" fontId="0" fillId="0" borderId="7" xfId="0" applyBorder="1"/>
    <xf numFmtId="166" fontId="0" fillId="0" borderId="8" xfId="0" applyNumberFormat="1" applyBorder="1"/>
    <xf numFmtId="44" fontId="0" fillId="0" borderId="8" xfId="1" applyFont="1" applyBorder="1"/>
    <xf numFmtId="44" fontId="0" fillId="0" borderId="8" xfId="0" applyNumberFormat="1" applyBorder="1"/>
    <xf numFmtId="166" fontId="0" fillId="0" borderId="9" xfId="0" applyNumberFormat="1" applyBorder="1"/>
    <xf numFmtId="0" fontId="2" fillId="2" borderId="0" xfId="0" applyFont="1" applyFill="1"/>
    <xf numFmtId="0" fontId="0" fillId="0" borderId="0" xfId="0"/>
    <xf numFmtId="0" fontId="3" fillId="0" borderId="0" xfId="0" applyFont="1" applyAlignment="1">
      <alignment wrapText="1"/>
    </xf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4" fillId="3" borderId="0" xfId="0" applyFont="1" applyFill="1"/>
    <xf numFmtId="0" fontId="5" fillId="3" borderId="0" xfId="0" applyFont="1" applyFill="1"/>
    <xf numFmtId="0" fontId="8" fillId="3" borderId="0" xfId="0" applyFont="1" applyFill="1"/>
    <xf numFmtId="0" fontId="8" fillId="4" borderId="0" xfId="0" applyFont="1" applyFill="1" applyAlignment="1">
      <alignment horizontal="center"/>
    </xf>
    <xf numFmtId="0" fontId="9" fillId="5" borderId="0" xfId="0" applyFont="1" applyFill="1" applyAlignment="1">
      <alignment horizontal="left" vertical="center" indent="1"/>
    </xf>
    <xf numFmtId="0" fontId="6" fillId="3" borderId="0" xfId="0" applyFont="1" applyFill="1"/>
    <xf numFmtId="0" fontId="11" fillId="6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/>
    </xf>
    <xf numFmtId="165" fontId="7" fillId="3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1" xfId="0" applyNumberFormat="1" applyBorder="1"/>
    <xf numFmtId="44" fontId="0" fillId="0" borderId="1" xfId="1" applyNumberFormat="1" applyFont="1" applyBorder="1"/>
    <xf numFmtId="44" fontId="0" fillId="0" borderId="8" xfId="1" applyNumberFormat="1" applyFont="1" applyBorder="1"/>
  </cellXfs>
  <cellStyles count="2">
    <cellStyle name="Currency" xfId="1" builtinId="4"/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0.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" refreshedDate="46140.774007986111" createdVersion="8" refreshedVersion="8" minRefreshableVersion="3" recordCount="665" xr:uid="{9817BD73-DB6C-4FB8-8CFF-03DD1811F92A}">
  <cacheSource type="worksheet">
    <worksheetSource name="EPA_EV_Clean"/>
  </cacheSource>
  <cacheFields count="25">
    <cacheField name="Model_Year" numFmtId="0">
      <sharedItems containsSemiMixedTypes="0" containsString="0" containsNumber="1" containsInteger="1" minValue="2025" maxValue="2025"/>
    </cacheField>
    <cacheField name="Manufacturer" numFmtId="0">
      <sharedItems/>
    </cacheField>
    <cacheField name="Brand" numFmtId="0">
      <sharedItems/>
    </cacheField>
    <cacheField name="Model" numFmtId="0">
      <sharedItems/>
    </cacheField>
    <cacheField name="Drive_Type" numFmtId="0">
      <sharedItems/>
    </cacheField>
    <cacheField name="Vehicle_Class" numFmtId="0">
      <sharedItems count="18">
        <s v="Standard SUV 4WD"/>
        <s v="Subcompact Cars"/>
        <s v="Standard SUV 2WD"/>
        <s v="Compact Cars"/>
        <s v="Large Cars"/>
        <s v="Two Seaters"/>
        <s v="Small SUV 2WD"/>
        <s v="Small SUV 4WD"/>
        <s v="Small Station Wagons"/>
        <s v="Standard Pick-up Trucks 4WD"/>
        <s v="Minicompact Cars"/>
        <s v="Midsize Cars"/>
        <s v="Special Purpose Vehicle 4WD"/>
        <s v="Special Purpose Vehicle 2WD"/>
        <s v="Midsize Station Wagons"/>
        <s v="Standard Pick-up Trucks 2WD"/>
        <s v="Special Purpose Vehicle, minivan 2WD"/>
        <s v="Special Purpose Vehicle, minivan 4WD"/>
      </sharedItems>
    </cacheField>
    <cacheField name="City_MPGe" numFmtId="0">
      <sharedItems containsSemiMixedTypes="0" containsString="0" containsNumber="1" containsInteger="1" minValue="22" maxValue="151"/>
    </cacheField>
    <cacheField name="Hwy_MPGe" numFmtId="0">
      <sharedItems containsSemiMixedTypes="0" containsString="0" containsNumber="1" containsInteger="1" minValue="24" maxValue="142"/>
    </cacheField>
    <cacheField name="Combined_MPGe" numFmtId="0">
      <sharedItems containsSemiMixedTypes="0" containsString="0" containsNumber="1" containsInteger="1" minValue="23" maxValue="146"/>
    </cacheField>
    <cacheField name="Annual_Fuel_Cost" numFmtId="0">
      <sharedItems containsSemiMixedTypes="0" containsString="0" containsNumber="1" containsInteger="1" minValue="550" maxValue="11000"/>
    </cacheField>
    <cacheField name="FE_Rating" numFmtId="0">
      <sharedItems containsSemiMixedTypes="0" containsString="0" containsNumber="1" containsInteger="1" minValue="7" maxValue="10"/>
    </cacheField>
    <cacheField name="GHG_Rating" numFmtId="0">
      <sharedItems containsSemiMixedTypes="0" containsString="0" containsNumber="1" containsInteger="1" minValue="9" maxValue="10"/>
    </cacheField>
    <cacheField name="Savings_5yr" numFmtId="0">
      <sharedItems containsSemiMixedTypes="0" containsString="0" containsNumber="1" containsInteger="1" minValue="250" maxValue="6750"/>
    </cacheField>
    <cacheField name="Extra_Spend_5yr" numFmtId="0">
      <sharedItems/>
    </cacheField>
    <cacheField name="City_CO2" numFmtId="0">
      <sharedItems containsSemiMixedTypes="0" containsString="0" containsNumber="1" containsInteger="1" minValue="0" maxValue="0"/>
    </cacheField>
    <cacheField name="Hwy_CO2" numFmtId="0">
      <sharedItems containsSemiMixedTypes="0" containsString="0" containsNumber="1" containsInteger="1" minValue="0" maxValue="0"/>
    </cacheField>
    <cacheField name="Combined_CO2" numFmtId="0">
      <sharedItems containsSemiMixedTypes="0" containsString="0" containsNumber="1" containsInteger="1" minValue="0" maxValue="0"/>
    </cacheField>
    <cacheField name="Range_Miles_Combined" numFmtId="0">
      <sharedItems containsSemiMixedTypes="0" containsString="0" containsNumber="1" containsInteger="1" minValue="141" maxValue="512"/>
    </cacheField>
    <cacheField name="Range_Miles_City" numFmtId="0">
      <sharedItems containsSemiMixedTypes="0" containsString="0" containsNumber="1" containsInteger="1" minValue="153" maxValue="531"/>
    </cacheField>
    <cacheField name="Range_Miles_Hwy" numFmtId="0">
      <sharedItems containsSemiMixedTypes="0" containsString="0" containsNumber="1" containsInteger="1" minValue="26" maxValue="507"/>
    </cacheField>
    <cacheField name="Charge_Time_240V_hrs" numFmtId="0">
      <sharedItems containsSemiMixedTypes="0" containsString="0" containsNumber="1" minValue="5.0999999999999996" maxValue="18.600000000000001"/>
    </cacheField>
    <cacheField name="Charge_Time_120V_hrs" numFmtId="0">
      <sharedItems/>
    </cacheField>
    <cacheField name="Motor_Power_kW" numFmtId="0">
      <sharedItems/>
    </cacheField>
    <cacheField name="Battery_Type" numFmtId="0">
      <sharedItems/>
    </cacheField>
    <cacheField name="Regen_Braking_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" refreshedDate="46140.780954166665" createdVersion="8" refreshedVersion="8" minRefreshableVersion="3" recordCount="868" xr:uid="{4BBB0A95-7B0D-426D-95F0-A8DA86C65A6A}">
  <cacheSource type="worksheet">
    <worksheetSource name="EPA_FE_Ratings_Clean"/>
  </cacheSource>
  <cacheFields count="24">
    <cacheField name="Model_Year" numFmtId="0">
      <sharedItems containsSemiMixedTypes="0" containsString="0" containsNumber="1" containsInteger="1" minValue="2025" maxValue="2025"/>
    </cacheField>
    <cacheField name="Manufacturer" numFmtId="0">
      <sharedItems/>
    </cacheField>
    <cacheField name="Brand" numFmtId="0">
      <sharedItems/>
    </cacheField>
    <cacheField name="Model" numFmtId="0">
      <sharedItems/>
    </cacheField>
    <cacheField name="Engine_Displacement" numFmtId="0">
      <sharedItems containsSemiMixedTypes="0" containsString="0" containsNumber="1" minValue="1.2" maxValue="8"/>
    </cacheField>
    <cacheField name="Cylinders" numFmtId="0">
      <sharedItems containsSemiMixedTypes="0" containsString="0" containsNumber="1" containsInteger="1" minValue="3" maxValue="16"/>
    </cacheField>
    <cacheField name="Transmission" numFmtId="0">
      <sharedItems/>
    </cacheField>
    <cacheField name="Num_Gears" numFmtId="0">
      <sharedItems containsSemiMixedTypes="0" containsString="0" containsNumber="1" containsInteger="1" minValue="1" maxValue="10"/>
    </cacheField>
    <cacheField name="Drive_Type" numFmtId="0">
      <sharedItems/>
    </cacheField>
    <cacheField name="City_MPG" numFmtId="0">
      <sharedItems containsSemiMixedTypes="0" containsString="0" containsNumber="1" containsInteger="1" minValue="8" maxValue="57"/>
    </cacheField>
    <cacheField name="Hwy_MPG" numFmtId="0">
      <sharedItems containsSemiMixedTypes="0" containsString="0" containsNumber="1" containsInteger="1" minValue="12" maxValue="58"/>
    </cacheField>
    <cacheField name="Combined_MPG" numFmtId="0">
      <sharedItems containsSemiMixedTypes="0" containsString="0" containsNumber="1" containsInteger="1" minValue="9" maxValue="57"/>
    </cacheField>
    <cacheField name="Vehicle_Class" numFmtId="0">
      <sharedItems count="20">
        <s v="Small Station Wagons"/>
        <s v="Large Cars"/>
        <s v="Small SUV 4WD"/>
        <s v="Standard SUV 4WD"/>
        <s v="Small SUV 2WD"/>
        <s v="Compact Cars"/>
        <s v="Midsize Cars"/>
        <s v="Minicompact Cars"/>
        <s v="Two Seaters"/>
        <s v="Subcompact Cars"/>
        <s v="Midsize Station Wagons"/>
        <s v="Standard SUV 2WD"/>
        <s v="Standard Pick-up Trucks 2WD"/>
        <s v="Standard Pick-up Trucks 4WD"/>
        <s v="Special Purpose Vehicle cab chassis"/>
        <s v="Special Purpose Vehicle, minivan 2WD"/>
        <s v="Special Purpose Vehicle, minivan 4WD"/>
        <s v="Small Pick-up Trucks 4WD"/>
        <s v="Small Pick-up Trucks 2WD"/>
        <s v="Special Purpose Vehicle 2WD"/>
      </sharedItems>
    </cacheField>
    <cacheField name="Annual_Fuel_Cost" numFmtId="0">
      <sharedItems containsSemiMixedTypes="0" containsString="0" containsNumber="1" containsInteger="1" minValue="900" maxValue="7100"/>
    </cacheField>
    <cacheField name="FE_Rating" numFmtId="0">
      <sharedItems containsSemiMixedTypes="0" containsString="0" containsNumber="1" containsInteger="1" minValue="1" maxValue="8"/>
    </cacheField>
    <cacheField name="GHG_Rating" numFmtId="0">
      <sharedItems containsSemiMixedTypes="0" containsString="0" containsNumber="1" containsInteger="1" minValue="1" maxValue="8"/>
    </cacheField>
    <cacheField name="City_CO2" numFmtId="0">
      <sharedItems containsSemiMixedTypes="0" containsString="0" containsNumber="1" containsInteger="1" minValue="154" maxValue="1121"/>
    </cacheField>
    <cacheField name="Hwy_CO2" numFmtId="0">
      <sharedItems containsSemiMixedTypes="0" containsString="0" containsNumber="1" containsInteger="1" minValue="154" maxValue="726"/>
    </cacheField>
    <cacheField name="Combined_CO2" numFmtId="0">
      <sharedItems containsSemiMixedTypes="0" containsString="0" containsNumber="1" containsInteger="1" minValue="155" maxValue="943"/>
    </cacheField>
    <cacheField name="Savings_5yr" numFmtId="0">
      <sharedItems containsString="0" containsBlank="1" containsNumber="1" containsInteger="1" minValue="0" maxValue="5000"/>
    </cacheField>
    <cacheField name="Extra_Spend_5yr" numFmtId="0">
      <sharedItems containsString="0" containsBlank="1" containsNumber="1" containsInteger="1" minValue="250" maxValue="26000"/>
    </cacheField>
    <cacheField name="Gas_Guzzler" numFmtId="0">
      <sharedItems/>
    </cacheField>
    <cacheField name="Air_Aspiration" numFmtId="0">
      <sharedItems/>
    </cacheField>
    <cacheField name="StopStart_Syste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5">
  <r>
    <n v="2025"/>
    <s v="Volkswagen Group of"/>
    <s v="Audi"/>
    <s v="Q8 e-tron quattro"/>
    <s v="All Wheel Drive"/>
    <x v="0"/>
    <n v="44"/>
    <n v="42"/>
    <n v="43"/>
    <n v="1050"/>
    <n v="9"/>
    <n v="10"/>
    <n v="4250"/>
    <s v=""/>
    <n v="0"/>
    <n v="0"/>
    <n v="0"/>
    <n v="272"/>
    <n v="267"/>
    <n v="278"/>
    <n v="16"/>
    <s v=""/>
    <s v="141 and 172"/>
    <s v="Lithium Ion"/>
    <s v="Electrical Regen Brake"/>
  </r>
  <r>
    <n v="2025"/>
    <s v="Volkswagen Group of"/>
    <s v="Audi"/>
    <s v="Q8 Sportback e-tron quattro"/>
    <s v="All Wheel Drive"/>
    <x v="0"/>
    <n v="77"/>
    <n v="80"/>
    <n v="78"/>
    <n v="1050"/>
    <n v="9"/>
    <n v="10"/>
    <n v="4250"/>
    <s v=""/>
    <n v="0"/>
    <n v="0"/>
    <n v="0"/>
    <n v="272"/>
    <n v="267"/>
    <n v="278"/>
    <n v="16"/>
    <s v=""/>
    <s v="141 and 172"/>
    <s v="Lithium Ion"/>
    <s v="Electrical Regen Brake"/>
  </r>
  <r>
    <n v="2025"/>
    <s v="Volkswagen Group of"/>
    <s v="Audi"/>
    <s v="Q8 Sportback e-tron quattro"/>
    <s v="All Wheel Drive"/>
    <x v="0"/>
    <n v="44"/>
    <n v="42"/>
    <n v="43"/>
    <n v="1050"/>
    <n v="9"/>
    <n v="10"/>
    <n v="4250"/>
    <s v=""/>
    <n v="0"/>
    <n v="0"/>
    <n v="0"/>
    <n v="272"/>
    <n v="267"/>
    <n v="278"/>
    <n v="16"/>
    <s v=""/>
    <s v="141 and 172"/>
    <s v="Lithium Ion"/>
    <s v="Electrical Regen Brake"/>
  </r>
  <r>
    <n v="2025"/>
    <s v="Volkswagen Group of"/>
    <s v="Audi"/>
    <s v="S e-tron GT (20in. Wheels)"/>
    <s v="All Wheel Drive"/>
    <x v="1"/>
    <n v="91"/>
    <n v="88"/>
    <n v="90"/>
    <n v="900"/>
    <n v="9"/>
    <n v="10"/>
    <n v="5000"/>
    <s v=""/>
    <n v="0"/>
    <n v="0"/>
    <n v="0"/>
    <n v="300"/>
    <n v="305"/>
    <n v="294"/>
    <n v="15.5"/>
    <s v=""/>
    <s v="176, 176 and 415"/>
    <s v="Lithium Ion"/>
    <s v="Electrical Regen Brake"/>
  </r>
  <r>
    <n v="2025"/>
    <s v="Volkswagen Group of"/>
    <s v="Audi"/>
    <s v="S e-tron GT (20in. Wheels)"/>
    <s v="All Wheel Drive"/>
    <x v="1"/>
    <n v="37"/>
    <n v="38"/>
    <n v="38"/>
    <n v="900"/>
    <n v="9"/>
    <n v="10"/>
    <n v="5000"/>
    <s v=""/>
    <n v="0"/>
    <n v="0"/>
    <n v="0"/>
    <n v="300"/>
    <n v="305"/>
    <n v="294"/>
    <n v="15.5"/>
    <s v=""/>
    <s v="176, 176 and 415"/>
    <s v="Lithium Ion"/>
    <s v="Electrical Regen Brake"/>
  </r>
  <r>
    <n v="2025"/>
    <s v="Volkswagen Group of"/>
    <s v="Audi"/>
    <s v="RS e-tron GT Performance"/>
    <s v="All Wheel Drive"/>
    <x v="1"/>
    <n v="85"/>
    <n v="82"/>
    <n v="84"/>
    <n v="950"/>
    <n v="9"/>
    <n v="10"/>
    <n v="4750"/>
    <s v=""/>
    <n v="0"/>
    <n v="0"/>
    <n v="0"/>
    <n v="278"/>
    <n v="283"/>
    <n v="272"/>
    <n v="15.5"/>
    <s v=""/>
    <s v="252 and 415"/>
    <s v="Lithium Ion"/>
    <s v="Electrical Regen Brake"/>
  </r>
  <r>
    <n v="2025"/>
    <s v="Volkswagen Group of"/>
    <s v="Audi"/>
    <s v="RS e-tron GT Performance"/>
    <s v="All Wheel Drive"/>
    <x v="1"/>
    <n v="39"/>
    <n v="41"/>
    <n v="40"/>
    <n v="950"/>
    <n v="9"/>
    <n v="10"/>
    <n v="4750"/>
    <s v=""/>
    <n v="0"/>
    <n v="0"/>
    <n v="0"/>
    <n v="278"/>
    <n v="283"/>
    <n v="272"/>
    <n v="15.5"/>
    <s v=""/>
    <s v="252 and 415"/>
    <s v="Lithium Ion"/>
    <s v="Electrical Regen Brake"/>
  </r>
  <r>
    <n v="2025"/>
    <s v="Volkswagen Group of"/>
    <s v="Audi"/>
    <s v="SQ8 e-tron (20in wheels)"/>
    <s v="All Wheel Drive"/>
    <x v="0"/>
    <n v="68"/>
    <n v="72"/>
    <n v="70"/>
    <n v="1150"/>
    <n v="9"/>
    <n v="10"/>
    <n v="3750"/>
    <s v=""/>
    <n v="0"/>
    <n v="0"/>
    <n v="0"/>
    <n v="242"/>
    <n v="237"/>
    <n v="249"/>
    <n v="16"/>
    <s v=""/>
    <s v="138 and 157"/>
    <s v="Lithium Ion"/>
    <s v="Electrical Regen Brake"/>
  </r>
  <r>
    <n v="2025"/>
    <s v="Volkswagen Group of"/>
    <s v="Audi"/>
    <s v="SQ8 e-tron (20in wheels)"/>
    <s v="All Wheel Drive"/>
    <x v="0"/>
    <n v="49"/>
    <n v="47"/>
    <n v="48"/>
    <n v="1150"/>
    <n v="9"/>
    <n v="10"/>
    <n v="3750"/>
    <s v=""/>
    <n v="0"/>
    <n v="0"/>
    <n v="0"/>
    <n v="242"/>
    <n v="237"/>
    <n v="249"/>
    <n v="16"/>
    <s v=""/>
    <s v="138 and 157"/>
    <s v="Lithium Ion"/>
    <s v="Electrical Regen Brake"/>
  </r>
  <r>
    <n v="2025"/>
    <s v="Volkswagen Group of"/>
    <s v="Audi"/>
    <s v="SQ8 Sportback e-tron (20in wheels)"/>
    <s v="All Wheel Drive"/>
    <x v="0"/>
    <n v="68"/>
    <n v="72"/>
    <n v="70"/>
    <n v="1150"/>
    <n v="9"/>
    <n v="10"/>
    <n v="3750"/>
    <s v=""/>
    <n v="0"/>
    <n v="0"/>
    <n v="0"/>
    <n v="242"/>
    <n v="237"/>
    <n v="249"/>
    <n v="16"/>
    <s v=""/>
    <s v="138 and 157"/>
    <s v="Lithium Ion"/>
    <s v="Electrical Regen Brake"/>
  </r>
  <r>
    <n v="2025"/>
    <s v="Volkswagen Group of"/>
    <s v="Audi"/>
    <s v="SQ8 Sportback e-tron (20in wheels)"/>
    <s v="All Wheel Drive"/>
    <x v="0"/>
    <n v="49"/>
    <n v="47"/>
    <n v="48"/>
    <n v="1150"/>
    <n v="9"/>
    <n v="10"/>
    <n v="3750"/>
    <s v=""/>
    <n v="0"/>
    <n v="0"/>
    <n v="0"/>
    <n v="242"/>
    <n v="237"/>
    <n v="249"/>
    <n v="16"/>
    <s v=""/>
    <s v="138 and 157"/>
    <s v="Lithium Ion"/>
    <s v="Electrical Regen Brake"/>
  </r>
  <r>
    <n v="2025"/>
    <s v="Volkswagen Group of"/>
    <s v="Audi"/>
    <s v="SQ8 e-tron (21/22in wheels)"/>
    <s v="All Wheel Drive"/>
    <x v="0"/>
    <n v="59"/>
    <n v="60"/>
    <n v="60"/>
    <n v="1350"/>
    <n v="10"/>
    <n v="10"/>
    <n v="2750"/>
    <s v=""/>
    <n v="0"/>
    <n v="0"/>
    <n v="0"/>
    <n v="208"/>
    <n v="206"/>
    <n v="210"/>
    <n v="16"/>
    <s v=""/>
    <s v="138 and 157"/>
    <s v="Lithium Ion"/>
    <s v="Electrical Regen Brake"/>
  </r>
  <r>
    <n v="2025"/>
    <s v="Volkswagen Group of"/>
    <s v="Audi"/>
    <s v="SQ8 e-tron (21/22in wheels)"/>
    <s v="All Wheel Drive"/>
    <x v="0"/>
    <n v="57"/>
    <n v="56"/>
    <n v="56"/>
    <n v="1350"/>
    <n v="10"/>
    <n v="10"/>
    <n v="2750"/>
    <s v=""/>
    <n v="0"/>
    <n v="0"/>
    <n v="0"/>
    <n v="208"/>
    <n v="206"/>
    <n v="210"/>
    <n v="16"/>
    <s v=""/>
    <s v="138 and 157"/>
    <s v="Lithium Ion"/>
    <s v="Electrical Regen Brake"/>
  </r>
  <r>
    <n v="2025"/>
    <s v="Volkswagen Group of"/>
    <s v="Audi"/>
    <s v="SQ8 Sportback e-tron (21/22in wheels)"/>
    <s v="All Wheel Drive"/>
    <x v="0"/>
    <n v="59"/>
    <n v="60"/>
    <n v="60"/>
    <n v="1350"/>
    <n v="10"/>
    <n v="10"/>
    <n v="2750"/>
    <s v=""/>
    <n v="0"/>
    <n v="0"/>
    <n v="0"/>
    <n v="208"/>
    <n v="206"/>
    <n v="210"/>
    <n v="16"/>
    <s v=""/>
    <s v="138 and 157"/>
    <s v="Lithium Ion"/>
    <s v="Electrical Regen Brake"/>
  </r>
  <r>
    <n v="2025"/>
    <s v="Volkswagen Group of"/>
    <s v="Audi"/>
    <s v="SQ8 Sportback e-tron (21/22in wheels)"/>
    <s v="All Wheel Drive"/>
    <x v="0"/>
    <n v="57"/>
    <n v="56"/>
    <n v="56"/>
    <n v="1350"/>
    <n v="10"/>
    <n v="10"/>
    <n v="2750"/>
    <s v=""/>
    <n v="0"/>
    <n v="0"/>
    <n v="0"/>
    <n v="208"/>
    <n v="206"/>
    <n v="210"/>
    <n v="16"/>
    <s v=""/>
    <s v="138 and 157"/>
    <s v="Lithium Ion"/>
    <s v="Electrical Regen Brake"/>
  </r>
  <r>
    <n v="2025"/>
    <s v="Volkswagen Group of"/>
    <s v="Audi"/>
    <s v="Q4 45 e-tron"/>
    <s v="2-Wheel Drive, Rear"/>
    <x v="2"/>
    <n v="125"/>
    <n v="104"/>
    <n v="115"/>
    <n v="700"/>
    <n v="9"/>
    <n v="10"/>
    <n v="6000"/>
    <s v=""/>
    <n v="0"/>
    <n v="0"/>
    <n v="0"/>
    <n v="288"/>
    <n v="265"/>
    <n v="317"/>
    <n v="12"/>
    <s v=""/>
    <s v="210"/>
    <s v="Lithium Ion"/>
    <s v="Electrical Regen Brake"/>
  </r>
  <r>
    <n v="2025"/>
    <s v="Volkswagen Group of"/>
    <s v="Audi"/>
    <s v="Q4 45 e-tron"/>
    <s v="2-Wheel Drive, Rear"/>
    <x v="2"/>
    <n v="27"/>
    <n v="32"/>
    <n v="29"/>
    <n v="700"/>
    <n v="9"/>
    <n v="10"/>
    <n v="6000"/>
    <s v=""/>
    <n v="0"/>
    <n v="0"/>
    <n v="0"/>
    <n v="288"/>
    <n v="265"/>
    <n v="317"/>
    <n v="12"/>
    <s v=""/>
    <s v="210"/>
    <s v="Lithium Ion"/>
    <s v="Electrical Regen Brake"/>
  </r>
  <r>
    <n v="2025"/>
    <s v="Volkswagen Group of"/>
    <s v="Audi"/>
    <s v="Q4 55 e-tron quattro"/>
    <s v="All Wheel Drive"/>
    <x v="0"/>
    <n v="107"/>
    <n v="92"/>
    <n v="100"/>
    <n v="800"/>
    <n v="9"/>
    <n v="10"/>
    <n v="5500"/>
    <s v=""/>
    <n v="0"/>
    <n v="0"/>
    <n v="0"/>
    <n v="258"/>
    <n v="275"/>
    <n v="237"/>
    <n v="12"/>
    <s v=""/>
    <s v="80 and 170"/>
    <s v="Lithium Ion"/>
    <s v="Electrical Regen Brake"/>
  </r>
  <r>
    <n v="2025"/>
    <s v="Volkswagen Group of"/>
    <s v="Audi"/>
    <s v="Q4 55 e-tron quattro"/>
    <s v="All Wheel Drive"/>
    <x v="0"/>
    <n v="31"/>
    <n v="37"/>
    <n v="34"/>
    <n v="800"/>
    <n v="9"/>
    <n v="10"/>
    <n v="5500"/>
    <s v=""/>
    <n v="0"/>
    <n v="0"/>
    <n v="0"/>
    <n v="258"/>
    <n v="275"/>
    <n v="237"/>
    <n v="12"/>
    <s v=""/>
    <s v="80 and 170"/>
    <s v="Lithium Ion"/>
    <s v="Electrical Regen Brake"/>
  </r>
  <r>
    <n v="2025"/>
    <s v="Volkswagen Group of"/>
    <s v="Audi"/>
    <s v="Q4 Sportback 55 e-tron quattro"/>
    <s v="All Wheel Drive"/>
    <x v="0"/>
    <n v="107"/>
    <n v="92"/>
    <n v="100"/>
    <n v="800"/>
    <n v="9"/>
    <n v="10"/>
    <n v="5500"/>
    <s v=""/>
    <n v="0"/>
    <n v="0"/>
    <n v="0"/>
    <n v="258"/>
    <n v="275"/>
    <n v="237"/>
    <n v="12"/>
    <s v=""/>
    <s v="80 and 170"/>
    <s v="Lithium Ion"/>
    <s v="Electrical Regen Brake"/>
  </r>
  <r>
    <n v="2025"/>
    <s v="Volkswagen Group of"/>
    <s v="Audi"/>
    <s v="Q4 Sportback 55 e-tron quattro"/>
    <s v="All Wheel Drive"/>
    <x v="0"/>
    <n v="31"/>
    <n v="37"/>
    <n v="34"/>
    <n v="800"/>
    <n v="9"/>
    <n v="10"/>
    <n v="5500"/>
    <s v=""/>
    <n v="0"/>
    <n v="0"/>
    <n v="0"/>
    <n v="258"/>
    <n v="275"/>
    <n v="237"/>
    <n v="12"/>
    <s v=""/>
    <s v="80 and 170"/>
    <s v="Lithium Ion"/>
    <s v="Electrical Regen Brake"/>
  </r>
  <r>
    <n v="2025"/>
    <s v="Volkswagen Group of"/>
    <s v="Audi"/>
    <s v="Q8 e-tron quattro"/>
    <s v="All Wheel Drive"/>
    <x v="0"/>
    <n v="73"/>
    <n v="75"/>
    <n v="74"/>
    <n v="1100"/>
    <n v="9"/>
    <n v="10"/>
    <n v="4000"/>
    <s v=""/>
    <n v="0"/>
    <n v="0"/>
    <n v="0"/>
    <n v="254"/>
    <n v="251"/>
    <n v="257"/>
    <n v="16"/>
    <s v=""/>
    <s v="141 and 172"/>
    <s v="Lithium Ion"/>
    <s v="Electrical Regen Brake"/>
  </r>
  <r>
    <n v="2025"/>
    <s v="Volkswagen Group of"/>
    <s v="Audi"/>
    <s v="Q8 e-tron quattro"/>
    <s v="All Wheel Drive"/>
    <x v="0"/>
    <n v="46"/>
    <n v="45"/>
    <n v="46"/>
    <n v="1100"/>
    <n v="9"/>
    <n v="10"/>
    <n v="4000"/>
    <s v=""/>
    <n v="0"/>
    <n v="0"/>
    <n v="0"/>
    <n v="254"/>
    <n v="251"/>
    <n v="257"/>
    <n v="16"/>
    <s v=""/>
    <s v="141 and 172"/>
    <s v="Lithium Ion"/>
    <s v="Electrical Regen Brake"/>
  </r>
  <r>
    <n v="2025"/>
    <s v="Volkswagen Group of"/>
    <s v="Audi"/>
    <s v="Q8 Sportback e-tron quattro"/>
    <s v="All Wheel Drive"/>
    <x v="0"/>
    <n v="73"/>
    <n v="75"/>
    <n v="74"/>
    <n v="1100"/>
    <n v="9"/>
    <n v="10"/>
    <n v="4000"/>
    <s v=""/>
    <n v="0"/>
    <n v="0"/>
    <n v="0"/>
    <n v="254"/>
    <n v="251"/>
    <n v="257"/>
    <n v="16"/>
    <s v=""/>
    <s v="141 and 172"/>
    <s v="Lithium Ion"/>
    <s v="Electrical Regen Brake"/>
  </r>
  <r>
    <n v="2025"/>
    <s v="Volkswagen Group of"/>
    <s v="Audi"/>
    <s v="Q8 Sportback e-tron quattro"/>
    <s v="All Wheel Drive"/>
    <x v="0"/>
    <n v="46"/>
    <n v="45"/>
    <n v="46"/>
    <n v="1100"/>
    <n v="9"/>
    <n v="10"/>
    <n v="4000"/>
    <s v=""/>
    <n v="0"/>
    <n v="0"/>
    <n v="0"/>
    <n v="254"/>
    <n v="251"/>
    <n v="257"/>
    <n v="16"/>
    <s v=""/>
    <s v="141 and 172"/>
    <s v="Lithium Ion"/>
    <s v="Electrical Regen Brake"/>
  </r>
  <r>
    <n v="2025"/>
    <s v="Volkswagen Group of"/>
    <s v="Audi"/>
    <s v="S e-tron GT (21in. Wheels)"/>
    <s v="All Wheel Drive"/>
    <x v="1"/>
    <n v="89"/>
    <n v="85"/>
    <n v="88"/>
    <n v="900"/>
    <n v="9"/>
    <n v="10"/>
    <n v="5000"/>
    <s v=""/>
    <n v="0"/>
    <n v="0"/>
    <n v="0"/>
    <n v="294"/>
    <n v="300"/>
    <n v="287"/>
    <n v="15.5"/>
    <s v=""/>
    <s v="252, 252 and 415"/>
    <s v="Lithium Ion"/>
    <s v="Electrical Regen Brake"/>
  </r>
  <r>
    <n v="2025"/>
    <s v="Volkswagen Group of"/>
    <s v="Audi"/>
    <s v="S e-tron GT (21in. Wheels)"/>
    <s v="All Wheel Drive"/>
    <x v="1"/>
    <n v="38"/>
    <n v="39"/>
    <n v="38"/>
    <n v="900"/>
    <n v="9"/>
    <n v="10"/>
    <n v="5000"/>
    <s v=""/>
    <n v="0"/>
    <n v="0"/>
    <n v="0"/>
    <n v="294"/>
    <n v="300"/>
    <n v="287"/>
    <n v="15.5"/>
    <s v=""/>
    <s v="252, 252 and 415"/>
    <s v="Lithium Ion"/>
    <s v="Electrical Regen Brake"/>
  </r>
  <r>
    <n v="2025"/>
    <s v="Volkswagen Group of"/>
    <s v="Audi"/>
    <s v="Q6 e-tron"/>
    <s v="2-Wheel Drive, Rear"/>
    <x v="2"/>
    <n v="106"/>
    <n v="93"/>
    <n v="100"/>
    <n v="800"/>
    <n v="9"/>
    <n v="10"/>
    <n v="5500"/>
    <s v=""/>
    <n v="0"/>
    <n v="0"/>
    <n v="0"/>
    <n v="310"/>
    <n v="329"/>
    <n v="287"/>
    <n v="14"/>
    <s v=""/>
    <s v="225"/>
    <s v="Lithium Ion"/>
    <s v="Electrical Regen Brake"/>
  </r>
  <r>
    <n v="2025"/>
    <s v="Volkswagen Group of"/>
    <s v="Audi"/>
    <s v="Q6 e-tron"/>
    <s v="2-Wheel Drive, Rear"/>
    <x v="2"/>
    <n v="32"/>
    <n v="36"/>
    <n v="34"/>
    <n v="800"/>
    <n v="9"/>
    <n v="10"/>
    <n v="5500"/>
    <s v=""/>
    <n v="0"/>
    <n v="0"/>
    <n v="0"/>
    <n v="310"/>
    <n v="329"/>
    <n v="287"/>
    <n v="14"/>
    <s v=""/>
    <s v="225"/>
    <s v="Lithium Ion"/>
    <s v="Electrical Regen Brake"/>
  </r>
  <r>
    <n v="2025"/>
    <s v="Volkswagen Group of"/>
    <s v="Audi"/>
    <s v="Q6 e-tron ultra"/>
    <s v="2-Wheel Drive, Rear"/>
    <x v="2"/>
    <n v="112"/>
    <n v="96"/>
    <n v="104"/>
    <n v="800"/>
    <n v="9"/>
    <n v="10"/>
    <n v="5750"/>
    <s v=""/>
    <n v="0"/>
    <n v="0"/>
    <n v="0"/>
    <n v="321"/>
    <n v="343"/>
    <n v="294"/>
    <n v="14"/>
    <s v=""/>
    <s v="225"/>
    <s v="Lithium Ion"/>
    <s v="Electrical Regen Brake"/>
  </r>
  <r>
    <n v="2025"/>
    <s v="Volkswagen Group of"/>
    <s v="Audi"/>
    <s v="Q6 e-tron ultra"/>
    <s v="2-Wheel Drive, Rear"/>
    <x v="2"/>
    <n v="30"/>
    <n v="35"/>
    <n v="32"/>
    <n v="750"/>
    <n v="9"/>
    <n v="10"/>
    <n v="5750"/>
    <s v=""/>
    <n v="0"/>
    <n v="0"/>
    <n v="0"/>
    <n v="321"/>
    <n v="343"/>
    <n v="294"/>
    <n v="14"/>
    <s v=""/>
    <s v="225"/>
    <s v="Lithium Ion"/>
    <s v="Electrical Regen Brake"/>
  </r>
  <r>
    <n v="2025"/>
    <s v="Volkswagen Group of"/>
    <s v="Audi"/>
    <s v="Q6 e-tron quattro"/>
    <s v="All Wheel Drive"/>
    <x v="0"/>
    <n v="105"/>
    <n v="93"/>
    <n v="99"/>
    <n v="800"/>
    <n v="9"/>
    <n v="10"/>
    <n v="5500"/>
    <s v=""/>
    <n v="0"/>
    <n v="0"/>
    <n v="0"/>
    <n v="307"/>
    <n v="323"/>
    <n v="287"/>
    <n v="14"/>
    <s v=""/>
    <s v="140 and 280"/>
    <s v="Lithium Ion"/>
    <s v="Electrical Regen Brake"/>
  </r>
  <r>
    <n v="2025"/>
    <s v="Volkswagen Group of"/>
    <s v="Audi"/>
    <s v="Q6 e-tron quattro"/>
    <s v="All Wheel Drive"/>
    <x v="0"/>
    <n v="32"/>
    <n v="36"/>
    <n v="34"/>
    <n v="800"/>
    <n v="9"/>
    <n v="10"/>
    <n v="5500"/>
    <s v=""/>
    <n v="0"/>
    <n v="0"/>
    <n v="0"/>
    <n v="307"/>
    <n v="323"/>
    <n v="287"/>
    <n v="14"/>
    <s v=""/>
    <s v="140 and 280"/>
    <s v="Lithium Ion"/>
    <s v="Electrical Regen Brake"/>
  </r>
  <r>
    <n v="2025"/>
    <s v="Volkswagen Group of"/>
    <s v="Audi"/>
    <s v="SQ6 e-tron"/>
    <s v="All Wheel Drive"/>
    <x v="0"/>
    <n v="96"/>
    <n v="82"/>
    <n v="89"/>
    <n v="900"/>
    <n v="9"/>
    <n v="10"/>
    <n v="5000"/>
    <s v=""/>
    <n v="0"/>
    <n v="0"/>
    <n v="0"/>
    <n v="275"/>
    <n v="294"/>
    <n v="251"/>
    <n v="14"/>
    <s v=""/>
    <s v="140 and 140"/>
    <s v="Lithium Ion"/>
    <s v="Electrical Regen Brake"/>
  </r>
  <r>
    <n v="2025"/>
    <s v="Volkswagen Group of"/>
    <s v="Audi"/>
    <s v="SQ6 e-tron"/>
    <s v="All Wheel Drive"/>
    <x v="0"/>
    <n v="35"/>
    <n v="41"/>
    <n v="38"/>
    <n v="900"/>
    <n v="9"/>
    <n v="10"/>
    <n v="5000"/>
    <s v=""/>
    <n v="0"/>
    <n v="0"/>
    <n v="0"/>
    <n v="275"/>
    <n v="294"/>
    <n v="251"/>
    <n v="14"/>
    <s v=""/>
    <s v="140 and 140"/>
    <s v="Lithium Ion"/>
    <s v="Electrical Regen Brake"/>
  </r>
  <r>
    <n v="2025"/>
    <s v="Volkswagen Group of"/>
    <s v="Audi"/>
    <s v="SQ6 Sportback e-tron"/>
    <s v="All Wheel Drive"/>
    <x v="0"/>
    <n v="97"/>
    <n v="85"/>
    <n v="91"/>
    <n v="900"/>
    <n v="9"/>
    <n v="10"/>
    <n v="5000"/>
    <s v=""/>
    <n v="0"/>
    <n v="0"/>
    <n v="0"/>
    <n v="283"/>
    <n v="300"/>
    <n v="262"/>
    <n v="14"/>
    <s v=""/>
    <s v="140 and 280"/>
    <s v="Lithium Ion"/>
    <s v="Electrical Regen Brake"/>
  </r>
  <r>
    <n v="2025"/>
    <s v="Volkswagen Group of"/>
    <s v="Audi"/>
    <s v="SQ6 Sportback e-tron"/>
    <s v="All Wheel Drive"/>
    <x v="0"/>
    <n v="35"/>
    <n v="40"/>
    <n v="37"/>
    <n v="900"/>
    <n v="9"/>
    <n v="10"/>
    <n v="5000"/>
    <s v=""/>
    <n v="0"/>
    <n v="0"/>
    <n v="0"/>
    <n v="283"/>
    <n v="300"/>
    <n v="262"/>
    <n v="14"/>
    <s v=""/>
    <s v="140 and 280"/>
    <s v="Lithium Ion"/>
    <s v="Electrical Regen Brake"/>
  </r>
  <r>
    <n v="2025"/>
    <s v="Volkswagen Group of"/>
    <s v="Audi"/>
    <s v="Q6 Sportback e-tron quattro"/>
    <s v="All Wheel Drive"/>
    <x v="0"/>
    <n v="109"/>
    <n v="97"/>
    <n v="103"/>
    <n v="800"/>
    <n v="9"/>
    <n v="10"/>
    <n v="5500"/>
    <s v=""/>
    <n v="0"/>
    <n v="0"/>
    <n v="0"/>
    <n v="319"/>
    <n v="336"/>
    <n v="299"/>
    <n v="14"/>
    <s v=""/>
    <s v="140 and 280"/>
    <s v="Lithium Ion"/>
    <s v="Electrical Regen Brake"/>
  </r>
  <r>
    <n v="2025"/>
    <s v="Volkswagen Group of"/>
    <s v="Audi"/>
    <s v="Q6 Sportback e-tron quattro"/>
    <s v="All Wheel Drive"/>
    <x v="0"/>
    <n v="31"/>
    <n v="35"/>
    <n v="33"/>
    <n v="800"/>
    <n v="9"/>
    <n v="10"/>
    <n v="5500"/>
    <s v=""/>
    <n v="0"/>
    <n v="0"/>
    <n v="0"/>
    <n v="319"/>
    <n v="336"/>
    <n v="299"/>
    <n v="14"/>
    <s v=""/>
    <s v="140 and 280"/>
    <s v="Lithium Ion"/>
    <s v="Electrical Regen Brake"/>
  </r>
  <r>
    <n v="2025"/>
    <s v="Volkswagen Group of"/>
    <s v="Audi"/>
    <s v="Q6 e-tron"/>
    <s v="2-Wheel Drive, Rear"/>
    <x v="2"/>
    <n v="103"/>
    <n v="88"/>
    <n v="96"/>
    <n v="850"/>
    <n v="9"/>
    <n v="10"/>
    <n v="5250"/>
    <s v=""/>
    <n v="0"/>
    <n v="0"/>
    <n v="0"/>
    <n v="298"/>
    <n v="319"/>
    <n v="273"/>
    <n v="14"/>
    <s v=""/>
    <s v="225"/>
    <s v="Lithium Ion"/>
    <s v="Electrical Regen Brake"/>
  </r>
  <r>
    <n v="2025"/>
    <s v="Volkswagen Group of"/>
    <s v="Audi"/>
    <s v="Q6 e-tron"/>
    <s v="2-Wheel Drive, Rear"/>
    <x v="2"/>
    <n v="33"/>
    <n v="38"/>
    <n v="35"/>
    <n v="850"/>
    <n v="9"/>
    <n v="10"/>
    <n v="5250"/>
    <s v=""/>
    <n v="0"/>
    <n v="0"/>
    <n v="0"/>
    <n v="298"/>
    <n v="319"/>
    <n v="273"/>
    <n v="14"/>
    <s v=""/>
    <s v="225"/>
    <s v="Lithium Ion"/>
    <s v="Electrical Regen Brake"/>
  </r>
  <r>
    <n v="2025"/>
    <s v="Volkswagen Group of"/>
    <s v="Audi"/>
    <s v="Q6 e-tron quattro"/>
    <s v="All Wheel Drive"/>
    <x v="0"/>
    <n v="102"/>
    <n v="89"/>
    <n v="95"/>
    <n v="850"/>
    <n v="9"/>
    <n v="10"/>
    <n v="5250"/>
    <s v=""/>
    <n v="0"/>
    <n v="0"/>
    <n v="0"/>
    <n v="295"/>
    <n v="313"/>
    <n v="273"/>
    <n v="14"/>
    <s v=""/>
    <s v="140 and 280"/>
    <s v="Lithium Ion"/>
    <s v="Electrical Regen Brake"/>
  </r>
  <r>
    <n v="2025"/>
    <s v="Volkswagen Group of"/>
    <s v="Audi"/>
    <s v="Q6 e-tron quattro"/>
    <s v="All Wheel Drive"/>
    <x v="0"/>
    <n v="33"/>
    <n v="38"/>
    <n v="35"/>
    <n v="850"/>
    <n v="9"/>
    <n v="10"/>
    <n v="5250"/>
    <s v=""/>
    <n v="0"/>
    <n v="0"/>
    <n v="0"/>
    <n v="295"/>
    <n v="313"/>
    <n v="273"/>
    <n v="14"/>
    <s v=""/>
    <s v="140 and 280"/>
    <s v="Lithium Ion"/>
    <s v="Electrical Regen Brake"/>
  </r>
  <r>
    <n v="2025"/>
    <s v="Volkswagen Group of"/>
    <s v="Audi"/>
    <s v="Q6 Sportback e-tron quattro"/>
    <s v="All Wheel Drive"/>
    <x v="0"/>
    <n v="104"/>
    <n v="92"/>
    <n v="98"/>
    <n v="800"/>
    <n v="9"/>
    <n v="10"/>
    <n v="5500"/>
    <s v=""/>
    <n v="0"/>
    <n v="0"/>
    <n v="0"/>
    <n v="305"/>
    <n v="322"/>
    <n v="284"/>
    <n v="14"/>
    <s v=""/>
    <s v="140 and 280"/>
    <s v="Lithium Ion"/>
    <s v="Electrical Regen Brake"/>
  </r>
  <r>
    <n v="2025"/>
    <s v="Volkswagen Group of"/>
    <s v="Audi"/>
    <s v="Q6 Sportback e-tron quattro"/>
    <s v="All Wheel Drive"/>
    <x v="0"/>
    <n v="32"/>
    <n v="37"/>
    <n v="34"/>
    <n v="800"/>
    <n v="9"/>
    <n v="10"/>
    <n v="5500"/>
    <s v=""/>
    <n v="0"/>
    <n v="0"/>
    <n v="0"/>
    <n v="305"/>
    <n v="322"/>
    <n v="284"/>
    <n v="14"/>
    <s v=""/>
    <s v="140 and 280"/>
    <s v="Lithium Ion"/>
    <s v="Electrical Regen Brake"/>
  </r>
  <r>
    <n v="2025"/>
    <s v="BMW"/>
    <s v="BMW"/>
    <s v="iX xDrive40 (20'' Wheels)"/>
    <s v="All Wheel Drive"/>
    <x v="0"/>
    <n v="87"/>
    <n v="85"/>
    <n v="86"/>
    <n v="950"/>
    <n v="9"/>
    <n v="10"/>
    <n v="4750"/>
    <s v=""/>
    <n v="0"/>
    <n v="0"/>
    <n v="0"/>
    <n v="217"/>
    <n v="219"/>
    <n v="215"/>
    <n v="9"/>
    <s v=""/>
    <s v="190 and 230"/>
    <s v="Lithium Ion"/>
    <s v="Electrical Regen Brake"/>
  </r>
  <r>
    <n v="2025"/>
    <s v="BMW"/>
    <s v="BMW"/>
    <s v="iX xDrive40 (20'' Wheels)"/>
    <s v="All Wheel Drive"/>
    <x v="0"/>
    <n v="39"/>
    <n v="40"/>
    <n v="39"/>
    <n v="950"/>
    <n v="9"/>
    <n v="10"/>
    <n v="4750"/>
    <s v=""/>
    <n v="0"/>
    <n v="0"/>
    <n v="0"/>
    <n v="217"/>
    <n v="219"/>
    <n v="215"/>
    <n v="9"/>
    <s v=""/>
    <s v="190 and 230"/>
    <s v="Lithium Ion"/>
    <s v="Electrical Regen Brake"/>
  </r>
  <r>
    <n v="2025"/>
    <s v="BMW"/>
    <s v="BMW"/>
    <s v="iX xDrive40 (21'' Wheels)"/>
    <s v="All Wheel Drive"/>
    <x v="0"/>
    <n v="84"/>
    <n v="81"/>
    <n v="83"/>
    <n v="1000"/>
    <n v="9"/>
    <n v="10"/>
    <n v="4500"/>
    <s v=""/>
    <n v="0"/>
    <n v="0"/>
    <n v="0"/>
    <n v="211"/>
    <n v="214"/>
    <n v="207"/>
    <n v="9"/>
    <s v=""/>
    <s v="190 and 230"/>
    <s v="Lithium Ion"/>
    <s v="Electrical Regen Brake"/>
  </r>
  <r>
    <n v="2025"/>
    <s v="BMW"/>
    <s v="BMW"/>
    <s v="iX xDrive40 (21'' Wheels)"/>
    <s v="All Wheel Drive"/>
    <x v="0"/>
    <n v="40"/>
    <n v="41"/>
    <n v="41"/>
    <n v="1000"/>
    <n v="9"/>
    <n v="10"/>
    <n v="4500"/>
    <s v=""/>
    <n v="0"/>
    <n v="0"/>
    <n v="0"/>
    <n v="211"/>
    <n v="214"/>
    <n v="207"/>
    <n v="9"/>
    <s v=""/>
    <s v="190 and 230"/>
    <s v="Lithium Ion"/>
    <s v="Electrical Regen Brake"/>
  </r>
  <r>
    <n v="2025"/>
    <s v="BMW"/>
    <s v="BMW"/>
    <s v="iX xDrive40 (22'' Wheels)"/>
    <s v="All Wheel Drive"/>
    <x v="0"/>
    <n v="89"/>
    <n v="85"/>
    <n v="87"/>
    <n v="950"/>
    <n v="9"/>
    <n v="10"/>
    <n v="4750"/>
    <s v=""/>
    <n v="0"/>
    <n v="0"/>
    <n v="0"/>
    <n v="219"/>
    <n v="223"/>
    <n v="214"/>
    <n v="9"/>
    <s v=""/>
    <s v="190 and 230"/>
    <s v="Lithium Ion"/>
    <s v="Electrical Regen Brake"/>
  </r>
  <r>
    <n v="2025"/>
    <s v="BMW"/>
    <s v="BMW"/>
    <s v="iX xDrive40 (22'' Wheels)"/>
    <s v="All Wheel Drive"/>
    <x v="0"/>
    <n v="38"/>
    <n v="39"/>
    <n v="39"/>
    <n v="950"/>
    <n v="9"/>
    <n v="10"/>
    <n v="4750"/>
    <s v=""/>
    <n v="0"/>
    <n v="0"/>
    <n v="0"/>
    <n v="219"/>
    <n v="223"/>
    <n v="214"/>
    <n v="9"/>
    <s v=""/>
    <s v="190 and 230"/>
    <s v="Lithium Ion"/>
    <s v="Electrical Regen Brake"/>
  </r>
  <r>
    <n v="2025"/>
    <s v="BMW"/>
    <s v="BMW"/>
    <s v="iX xDrive50 (20'' Wheels)"/>
    <s v="All Wheel Drive"/>
    <x v="0"/>
    <n v="82"/>
    <n v="84"/>
    <n v="83"/>
    <n v="950"/>
    <n v="9"/>
    <n v="10"/>
    <n v="4750"/>
    <s v=""/>
    <n v="0"/>
    <n v="0"/>
    <n v="0"/>
    <n v="309"/>
    <n v="306"/>
    <n v="313"/>
    <n v="13"/>
    <s v=""/>
    <s v="190 and 230"/>
    <s v="Lithium Ion"/>
    <s v="Electrical Regen Brake"/>
  </r>
  <r>
    <n v="2025"/>
    <s v="BMW"/>
    <s v="BMW"/>
    <s v="iX xDrive50 (20'' Wheels)"/>
    <s v="All Wheel Drive"/>
    <x v="0"/>
    <n v="41"/>
    <n v="40"/>
    <n v="41"/>
    <n v="950"/>
    <n v="9"/>
    <n v="10"/>
    <n v="4750"/>
    <s v=""/>
    <n v="0"/>
    <n v="0"/>
    <n v="0"/>
    <n v="309"/>
    <n v="306"/>
    <n v="313"/>
    <n v="13"/>
    <s v=""/>
    <s v="190 and 230"/>
    <s v="Lithium Ion"/>
    <s v="Electrical Regen Brake"/>
  </r>
  <r>
    <n v="2025"/>
    <s v="BMW"/>
    <s v="BMW"/>
    <s v="iX xDrive50 (21'' Wheels)"/>
    <s v="All Wheel Drive"/>
    <x v="0"/>
    <n v="82"/>
    <n v="81"/>
    <n v="81"/>
    <n v="1000"/>
    <n v="9"/>
    <n v="10"/>
    <n v="4500"/>
    <s v=""/>
    <n v="0"/>
    <n v="0"/>
    <n v="0"/>
    <n v="303"/>
    <n v="304"/>
    <n v="302"/>
    <n v="13"/>
    <s v=""/>
    <s v="190 and 230"/>
    <s v="Lithium Ion"/>
    <s v="Electrical Regen Brake"/>
  </r>
  <r>
    <n v="2025"/>
    <s v="BMW"/>
    <s v="BMW"/>
    <s v="iX xDrive50 (21'' Wheels)"/>
    <s v="All Wheel Drive"/>
    <x v="0"/>
    <n v="41"/>
    <n v="42"/>
    <n v="41"/>
    <n v="1000"/>
    <n v="9"/>
    <n v="10"/>
    <n v="4500"/>
    <s v=""/>
    <n v="0"/>
    <n v="0"/>
    <n v="0"/>
    <n v="303"/>
    <n v="304"/>
    <n v="302"/>
    <n v="13"/>
    <s v=""/>
    <s v="190 and 230"/>
    <s v="Lithium Ion"/>
    <s v="Electrical Regen Brake"/>
  </r>
  <r>
    <n v="2025"/>
    <s v="BMW"/>
    <s v="BMW"/>
    <s v="iX xDrive50 (22'' Wheels)"/>
    <s v="All Wheel Drive"/>
    <x v="0"/>
    <n v="82"/>
    <n v="81"/>
    <n v="81"/>
    <n v="1000"/>
    <n v="9"/>
    <n v="10"/>
    <n v="4500"/>
    <s v=""/>
    <n v="0"/>
    <n v="0"/>
    <n v="0"/>
    <n v="302"/>
    <n v="303"/>
    <n v="301"/>
    <n v="13"/>
    <s v=""/>
    <s v="190 and 230"/>
    <s v="Lithium Ion"/>
    <s v="Electrical Regen Brake"/>
  </r>
  <r>
    <n v="2025"/>
    <s v="BMW"/>
    <s v="BMW"/>
    <s v="iX xDrive50 (22'' Wheels)"/>
    <s v="All Wheel Drive"/>
    <x v="0"/>
    <n v="41"/>
    <n v="42"/>
    <n v="41"/>
    <n v="1000"/>
    <n v="9"/>
    <n v="10"/>
    <n v="4500"/>
    <s v=""/>
    <n v="0"/>
    <n v="0"/>
    <n v="0"/>
    <n v="302"/>
    <n v="303"/>
    <n v="301"/>
    <n v="13"/>
    <s v=""/>
    <s v="190 and 230"/>
    <s v="Lithium Ion"/>
    <s v="Electrical Regen Brake"/>
  </r>
  <r>
    <n v="2025"/>
    <s v="BMW"/>
    <s v="BMW"/>
    <s v="iX M60 (21'' Wheels)"/>
    <s v="All Wheel Drive"/>
    <x v="0"/>
    <n v="75"/>
    <n v="77"/>
    <n v="76"/>
    <n v="1050"/>
    <n v="9"/>
    <n v="10"/>
    <n v="4250"/>
    <s v=""/>
    <n v="0"/>
    <n v="0"/>
    <n v="0"/>
    <n v="284"/>
    <n v="280"/>
    <n v="289"/>
    <n v="13"/>
    <s v=""/>
    <s v="190 and 360"/>
    <s v="Lithium Ion"/>
    <s v="Electrical Regen Brake"/>
  </r>
  <r>
    <n v="2025"/>
    <s v="BMW"/>
    <s v="BMW"/>
    <s v="iX M60 (21'' Wheels)"/>
    <s v="All Wheel Drive"/>
    <x v="0"/>
    <n v="45"/>
    <n v="44"/>
    <n v="44"/>
    <n v="1050"/>
    <n v="9"/>
    <n v="10"/>
    <n v="4250"/>
    <s v=""/>
    <n v="0"/>
    <n v="0"/>
    <n v="0"/>
    <n v="284"/>
    <n v="280"/>
    <n v="289"/>
    <n v="13"/>
    <s v=""/>
    <s v="190 and 360"/>
    <s v="Lithium Ion"/>
    <s v="Electrical Regen Brake"/>
  </r>
  <r>
    <n v="2025"/>
    <s v="BMW"/>
    <s v="BMW"/>
    <s v="iX M60 (22'' Wheels)"/>
    <s v="All Wheel Drive"/>
    <x v="0"/>
    <n v="75"/>
    <n v="79"/>
    <n v="77"/>
    <n v="1050"/>
    <n v="9"/>
    <n v="10"/>
    <n v="4250"/>
    <s v=""/>
    <n v="0"/>
    <n v="0"/>
    <n v="0"/>
    <n v="285"/>
    <n v="278"/>
    <n v="293"/>
    <n v="13"/>
    <s v=""/>
    <s v="190 and 360"/>
    <s v="Lithium Ion"/>
    <s v="Electrical Regen Brake"/>
  </r>
  <r>
    <n v="2025"/>
    <s v="BMW"/>
    <s v="BMW"/>
    <s v="iX M60 (22'' Wheels)"/>
    <s v="All Wheel Drive"/>
    <x v="0"/>
    <n v="45"/>
    <n v="42"/>
    <n v="44"/>
    <n v="1050"/>
    <n v="9"/>
    <n v="10"/>
    <n v="4250"/>
    <s v=""/>
    <n v="0"/>
    <n v="0"/>
    <n v="0"/>
    <n v="285"/>
    <n v="278"/>
    <n v="293"/>
    <n v="13"/>
    <s v=""/>
    <s v="190 and 360"/>
    <s v="Lithium Ion"/>
    <s v="Electrical Regen Brake"/>
  </r>
  <r>
    <n v="2025"/>
    <s v="BMW"/>
    <s v="BMW"/>
    <s v="i4 eDrive35 Gran Coupe (18'' Wheels)"/>
    <s v="2-Wheel Drive, Rear"/>
    <x v="3"/>
    <n v="117"/>
    <n v="114"/>
    <n v="116"/>
    <n v="700"/>
    <n v="9"/>
    <n v="10"/>
    <n v="6000"/>
    <s v=""/>
    <n v="0"/>
    <n v="0"/>
    <n v="0"/>
    <n v="266"/>
    <n v="269"/>
    <n v="262"/>
    <n v="8"/>
    <s v=""/>
    <s v="250"/>
    <s v="Lithium Ion"/>
    <s v="Electrical Regen Brake"/>
  </r>
  <r>
    <n v="2025"/>
    <s v="BMW"/>
    <s v="BMW"/>
    <s v="i4 eDrive35 Gran Coupe (18'' Wheels)"/>
    <s v="2-Wheel Drive, Rear"/>
    <x v="3"/>
    <n v="29"/>
    <n v="30"/>
    <n v="29"/>
    <n v="700"/>
    <n v="9"/>
    <n v="10"/>
    <n v="6000"/>
    <s v=""/>
    <n v="0"/>
    <n v="0"/>
    <n v="0"/>
    <n v="266"/>
    <n v="269"/>
    <n v="262"/>
    <n v="8"/>
    <s v=""/>
    <s v="250"/>
    <s v="Lithium Ion"/>
    <s v="Electrical Regen Brake"/>
  </r>
  <r>
    <n v="2025"/>
    <s v="BMW"/>
    <s v="BMW"/>
    <s v="i4 eDrive35 Gran Coupe (19'' Wheels)"/>
    <s v="2-Wheel Drive, Rear"/>
    <x v="3"/>
    <n v="108"/>
    <n v="104"/>
    <n v="106"/>
    <n v="750"/>
    <n v="9"/>
    <n v="10"/>
    <n v="5750"/>
    <s v=""/>
    <n v="0"/>
    <n v="0"/>
    <n v="0"/>
    <n v="244"/>
    <n v="248"/>
    <n v="239"/>
    <n v="8"/>
    <s v=""/>
    <s v="250"/>
    <s v="Lithium Ion"/>
    <s v="Electrical Regen Brake"/>
  </r>
  <r>
    <n v="2025"/>
    <s v="BMW"/>
    <s v="BMW"/>
    <s v="i4 eDrive35 Gran Coupe (19'' Wheels)"/>
    <s v="2-Wheel Drive, Rear"/>
    <x v="3"/>
    <n v="31"/>
    <n v="32"/>
    <n v="32"/>
    <n v="750"/>
    <n v="9"/>
    <n v="10"/>
    <n v="5750"/>
    <s v=""/>
    <n v="0"/>
    <n v="0"/>
    <n v="0"/>
    <n v="244"/>
    <n v="248"/>
    <n v="239"/>
    <n v="8"/>
    <s v=""/>
    <s v="250"/>
    <s v="Lithium Ion"/>
    <s v="Electrical Regen Brake"/>
  </r>
  <r>
    <n v="2025"/>
    <s v="BMW"/>
    <s v="BMW"/>
    <s v="i4 eDrive40 Gran Coupe (18'' Wheels)"/>
    <s v="2-Wheel Drive, Rear"/>
    <x v="3"/>
    <n v="113"/>
    <n v="111"/>
    <n v="112"/>
    <n v="700"/>
    <n v="9"/>
    <n v="10"/>
    <n v="6000"/>
    <s v=""/>
    <n v="0"/>
    <n v="0"/>
    <n v="0"/>
    <n v="318"/>
    <n v="320"/>
    <n v="315"/>
    <n v="10"/>
    <s v=""/>
    <s v="250"/>
    <s v="Lithium Ion"/>
    <s v="Electrical Regen Brake"/>
  </r>
  <r>
    <n v="2025"/>
    <s v="BMW"/>
    <s v="BMW"/>
    <s v="i4 eDrive40 Gran Coupe (18'' Wheels)"/>
    <s v="2-Wheel Drive, Rear"/>
    <x v="3"/>
    <n v="30"/>
    <n v="30"/>
    <n v="30"/>
    <n v="700"/>
    <n v="9"/>
    <n v="10"/>
    <n v="6000"/>
    <s v=""/>
    <n v="0"/>
    <n v="0"/>
    <n v="0"/>
    <n v="318"/>
    <n v="320"/>
    <n v="315"/>
    <n v="10"/>
    <s v=""/>
    <s v="250"/>
    <s v="Lithium Ion"/>
    <s v="Electrical Regen Brake"/>
  </r>
  <r>
    <n v="2025"/>
    <s v="BMW"/>
    <s v="BMW"/>
    <s v="i4 eDrive40 Gran Coupe (19'' Wheels)"/>
    <s v="2-Wheel Drive, Rear"/>
    <x v="3"/>
    <n v="106"/>
    <n v="103"/>
    <n v="104"/>
    <n v="800"/>
    <n v="9"/>
    <n v="10"/>
    <n v="5500"/>
    <s v=""/>
    <n v="0"/>
    <n v="0"/>
    <n v="0"/>
    <n v="295"/>
    <n v="298"/>
    <n v="291"/>
    <n v="10"/>
    <s v=""/>
    <s v="250"/>
    <s v="Lithium Ion"/>
    <s v="Electrical Regen Brake"/>
  </r>
  <r>
    <n v="2025"/>
    <s v="BMW"/>
    <s v="BMW"/>
    <s v="i4 eDrive40 Gran Coupe (19'' Wheels)"/>
    <s v="2-Wheel Drive, Rear"/>
    <x v="3"/>
    <n v="32"/>
    <n v="33"/>
    <n v="32"/>
    <n v="800"/>
    <n v="9"/>
    <n v="10"/>
    <n v="5500"/>
    <s v=""/>
    <n v="0"/>
    <n v="0"/>
    <n v="0"/>
    <n v="295"/>
    <n v="298"/>
    <n v="291"/>
    <n v="10"/>
    <s v=""/>
    <s v="250"/>
    <s v="Lithium Ion"/>
    <s v="Electrical Regen Brake"/>
  </r>
  <r>
    <n v="2025"/>
    <s v="BMW"/>
    <s v="BMW"/>
    <s v="i4 xDrive40 Gran Coupe (18'' Wheels)"/>
    <s v="All Wheel Drive"/>
    <x v="3"/>
    <n v="99"/>
    <n v="103"/>
    <n v="101"/>
    <n v="800"/>
    <n v="9"/>
    <n v="10"/>
    <n v="5500"/>
    <s v=""/>
    <n v="0"/>
    <n v="0"/>
    <n v="0"/>
    <n v="287"/>
    <n v="282"/>
    <n v="293"/>
    <n v="10"/>
    <s v=""/>
    <s v="190 and 230"/>
    <s v="Lithium Ion"/>
    <s v="Electrical Regen Brake"/>
  </r>
  <r>
    <n v="2025"/>
    <s v="BMW"/>
    <s v="BMW"/>
    <s v="i4 xDrive40 Gran Coupe (18'' Wheels)"/>
    <s v="All Wheel Drive"/>
    <x v="3"/>
    <n v="34"/>
    <n v="33"/>
    <n v="33"/>
    <n v="800"/>
    <n v="9"/>
    <n v="10"/>
    <n v="5500"/>
    <s v=""/>
    <n v="0"/>
    <n v="0"/>
    <n v="0"/>
    <n v="287"/>
    <n v="282"/>
    <n v="293"/>
    <n v="10"/>
    <s v=""/>
    <s v="190 and 230"/>
    <s v="Lithium Ion"/>
    <s v="Electrical Regen Brake"/>
  </r>
  <r>
    <n v="2025"/>
    <s v="BMW"/>
    <s v="BMW"/>
    <s v="i4 xDrive40 Gran Coupe (19'' Wheels)"/>
    <s v="All Wheel Drive"/>
    <x v="3"/>
    <n v="93"/>
    <n v="95"/>
    <n v="94"/>
    <n v="850"/>
    <n v="9"/>
    <n v="10"/>
    <n v="5250"/>
    <s v=""/>
    <n v="0"/>
    <n v="0"/>
    <n v="0"/>
    <n v="268"/>
    <n v="266"/>
    <n v="271"/>
    <n v="10"/>
    <s v=""/>
    <s v="190 and 230"/>
    <s v="Lithium Ion"/>
    <s v="Electrical Regen Brake"/>
  </r>
  <r>
    <n v="2025"/>
    <s v="BMW"/>
    <s v="BMW"/>
    <s v="i4 xDrive40 Gran Coupe (19'' Wheels)"/>
    <s v="All Wheel Drive"/>
    <x v="3"/>
    <n v="36"/>
    <n v="36"/>
    <n v="36"/>
    <n v="850"/>
    <n v="9"/>
    <n v="10"/>
    <n v="5250"/>
    <s v=""/>
    <n v="0"/>
    <n v="0"/>
    <n v="0"/>
    <n v="268"/>
    <n v="266"/>
    <n v="271"/>
    <n v="10"/>
    <s v=""/>
    <s v="190 and 230"/>
    <s v="Lithium Ion"/>
    <s v="Electrical Regen Brake"/>
  </r>
  <r>
    <n v="2025"/>
    <s v="BMW"/>
    <s v="BMW"/>
    <s v="i4 M50 Gran Coupe (19'' Wheels)"/>
    <s v="All Wheel Drive"/>
    <x v="3"/>
    <n v="93"/>
    <n v="96"/>
    <n v="94"/>
    <n v="850"/>
    <n v="9"/>
    <n v="10"/>
    <n v="5250"/>
    <s v=""/>
    <n v="0"/>
    <n v="0"/>
    <n v="0"/>
    <n v="267"/>
    <n v="263"/>
    <n v="272"/>
    <n v="10"/>
    <s v=""/>
    <s v="190 and 230"/>
    <s v="Lithium Ion"/>
    <s v="Electrical Regen Brake"/>
  </r>
  <r>
    <n v="2025"/>
    <s v="BMW"/>
    <s v="BMW"/>
    <s v="i4 M50 Gran Coupe (19'' Wheels)"/>
    <s v="All Wheel Drive"/>
    <x v="3"/>
    <n v="36"/>
    <n v="35"/>
    <n v="36"/>
    <n v="850"/>
    <n v="9"/>
    <n v="10"/>
    <n v="5250"/>
    <s v=""/>
    <n v="0"/>
    <n v="0"/>
    <n v="0"/>
    <n v="267"/>
    <n v="263"/>
    <n v="272"/>
    <n v="10"/>
    <s v=""/>
    <s v="190 and 230"/>
    <s v="Lithium Ion"/>
    <s v="Electrical Regen Brake"/>
  </r>
  <r>
    <n v="2025"/>
    <s v="BMW"/>
    <s v="BMW"/>
    <s v="i4 M50 Gran Coupe (20'' Wheels)"/>
    <s v="All Wheel Drive"/>
    <x v="3"/>
    <n v="80"/>
    <n v="80"/>
    <n v="80"/>
    <n v="1000"/>
    <n v="9"/>
    <n v="10"/>
    <n v="4500"/>
    <s v=""/>
    <n v="0"/>
    <n v="0"/>
    <n v="0"/>
    <n v="227"/>
    <n v="227"/>
    <n v="228"/>
    <n v="10"/>
    <s v=""/>
    <s v="190 and 230"/>
    <s v="Lithium Ion"/>
    <s v="Electrical Regen Brake"/>
  </r>
  <r>
    <n v="2025"/>
    <s v="BMW"/>
    <s v="BMW"/>
    <s v="i4 M50 Gran Coupe (20'' Wheels)"/>
    <s v="All Wheel Drive"/>
    <x v="3"/>
    <n v="42"/>
    <n v="42"/>
    <n v="42"/>
    <n v="1000"/>
    <n v="9"/>
    <n v="10"/>
    <n v="4500"/>
    <s v=""/>
    <n v="0"/>
    <n v="0"/>
    <n v="0"/>
    <n v="227"/>
    <n v="227"/>
    <n v="228"/>
    <n v="10"/>
    <s v=""/>
    <s v="190 and 230"/>
    <s v="Lithium Ion"/>
    <s v="Electrical Regen Brake"/>
  </r>
  <r>
    <n v="2025"/>
    <s v="BMW"/>
    <s v="BMW"/>
    <s v="i5 eDrive40 Sedan (19'' Wheels)"/>
    <s v="2-Wheel Drive, Rear"/>
    <x v="3"/>
    <n v="104"/>
    <n v="105"/>
    <n v="105"/>
    <n v="750"/>
    <n v="9"/>
    <n v="10"/>
    <n v="5750"/>
    <s v=""/>
    <n v="0"/>
    <n v="0"/>
    <n v="0"/>
    <n v="295"/>
    <n v="294"/>
    <n v="296"/>
    <n v="10"/>
    <s v=""/>
    <s v="250"/>
    <s v="Lithium Ion"/>
    <s v="Electrical Regen Brake"/>
  </r>
  <r>
    <n v="2025"/>
    <s v="BMW"/>
    <s v="BMW"/>
    <s v="i5 eDrive40 Sedan (19'' Wheels)"/>
    <s v="2-Wheel Drive, Rear"/>
    <x v="3"/>
    <n v="32"/>
    <n v="32"/>
    <n v="32"/>
    <n v="750"/>
    <n v="9"/>
    <n v="10"/>
    <n v="5750"/>
    <s v=""/>
    <n v="0"/>
    <n v="0"/>
    <n v="0"/>
    <n v="295"/>
    <n v="294"/>
    <n v="296"/>
    <n v="10"/>
    <s v=""/>
    <s v="250"/>
    <s v="Lithium Ion"/>
    <s v="Electrical Regen Brake"/>
  </r>
  <r>
    <n v="2025"/>
    <s v="BMW"/>
    <s v="BMW"/>
    <s v="i5 eDrive40 Sedan (20'' Wheels)"/>
    <s v="2-Wheel Drive, Rear"/>
    <x v="3"/>
    <n v="99"/>
    <n v="98"/>
    <n v="99"/>
    <n v="800"/>
    <n v="9"/>
    <n v="10"/>
    <n v="5500"/>
    <s v=""/>
    <n v="0"/>
    <n v="0"/>
    <n v="0"/>
    <n v="278"/>
    <n v="280"/>
    <n v="276"/>
    <n v="10"/>
    <s v=""/>
    <s v="250"/>
    <s v="Lithium Ion"/>
    <s v="Electrical Regen Brake"/>
  </r>
  <r>
    <n v="2025"/>
    <s v="BMW"/>
    <s v="BMW"/>
    <s v="i5 eDrive40 Sedan (20'' Wheels)"/>
    <s v="2-Wheel Drive, Rear"/>
    <x v="3"/>
    <n v="34"/>
    <n v="35"/>
    <n v="34"/>
    <n v="800"/>
    <n v="9"/>
    <n v="10"/>
    <n v="5500"/>
    <s v=""/>
    <n v="0"/>
    <n v="0"/>
    <n v="0"/>
    <n v="278"/>
    <n v="280"/>
    <n v="276"/>
    <n v="10"/>
    <s v=""/>
    <s v="250"/>
    <s v="Lithium Ion"/>
    <s v="Electrical Regen Brake"/>
  </r>
  <r>
    <n v="2025"/>
    <s v="BMW"/>
    <s v="BMW"/>
    <s v="i5 eDrive40 Sedan (21'' Wheels)"/>
    <s v="2-Wheel Drive, Rear"/>
    <x v="3"/>
    <n v="97"/>
    <n v="94"/>
    <n v="96"/>
    <n v="850"/>
    <n v="9"/>
    <n v="10"/>
    <n v="5250"/>
    <s v=""/>
    <n v="0"/>
    <n v="0"/>
    <n v="0"/>
    <n v="271"/>
    <n v="275"/>
    <n v="266"/>
    <n v="10"/>
    <s v=""/>
    <s v="250"/>
    <s v="Lithium Ion"/>
    <s v="Electrical Regen Brake"/>
  </r>
  <r>
    <n v="2025"/>
    <s v="BMW"/>
    <s v="BMW"/>
    <s v="i5 eDrive40 Sedan (21'' Wheels)"/>
    <s v="2-Wheel Drive, Rear"/>
    <x v="3"/>
    <n v="35"/>
    <n v="36"/>
    <n v="35"/>
    <n v="850"/>
    <n v="9"/>
    <n v="10"/>
    <n v="5250"/>
    <s v=""/>
    <n v="0"/>
    <n v="0"/>
    <n v="0"/>
    <n v="271"/>
    <n v="275"/>
    <n v="266"/>
    <n v="10"/>
    <s v=""/>
    <s v="250"/>
    <s v="Lithium Ion"/>
    <s v="Electrical Regen Brake"/>
  </r>
  <r>
    <n v="2025"/>
    <s v="BMW"/>
    <s v="BMW"/>
    <s v="i5 xDrive40 Sedan (19'' Wheels)"/>
    <s v="All Wheel Drive"/>
    <x v="3"/>
    <n v="92"/>
    <n v="95"/>
    <n v="93"/>
    <n v="850"/>
    <n v="9"/>
    <n v="10"/>
    <n v="5250"/>
    <s v=""/>
    <n v="0"/>
    <n v="0"/>
    <n v="0"/>
    <n v="266"/>
    <n v="263"/>
    <n v="270"/>
    <n v="10"/>
    <s v=""/>
    <s v="190 and 230"/>
    <s v="Lithium Ion"/>
    <s v="Electrical Regen Brake"/>
  </r>
  <r>
    <n v="2025"/>
    <s v="BMW"/>
    <s v="BMW"/>
    <s v="i5 xDrive40 Sedan (19'' Wheels)"/>
    <s v="All Wheel Drive"/>
    <x v="3"/>
    <n v="37"/>
    <n v="36"/>
    <n v="36"/>
    <n v="850"/>
    <n v="9"/>
    <n v="10"/>
    <n v="5250"/>
    <s v=""/>
    <n v="0"/>
    <n v="0"/>
    <n v="0"/>
    <n v="266"/>
    <n v="263"/>
    <n v="270"/>
    <n v="10"/>
    <s v=""/>
    <s v="190 and 230"/>
    <s v="Lithium Ion"/>
    <s v="Electrical Regen Brake"/>
  </r>
  <r>
    <n v="2025"/>
    <s v="BMW"/>
    <s v="BMW"/>
    <s v="i5 xDrive40 Sedan (20'' Wheels)"/>
    <s v="All Wheel Drive"/>
    <x v="3"/>
    <n v="92"/>
    <n v="94"/>
    <n v="93"/>
    <n v="850"/>
    <n v="9"/>
    <n v="10"/>
    <n v="5250"/>
    <s v=""/>
    <n v="0"/>
    <n v="0"/>
    <n v="0"/>
    <n v="262"/>
    <n v="259"/>
    <n v="265"/>
    <n v="10"/>
    <s v=""/>
    <s v="192 and 250"/>
    <s v="Lithium Ion"/>
    <s v="Electrical Regen Brake"/>
  </r>
  <r>
    <n v="2025"/>
    <s v="BMW"/>
    <s v="BMW"/>
    <s v="i5 xDrive40 Sedan (20'' Wheels)"/>
    <s v="All Wheel Drive"/>
    <x v="3"/>
    <n v="37"/>
    <n v="36"/>
    <n v="36"/>
    <n v="850"/>
    <n v="9"/>
    <n v="10"/>
    <n v="5250"/>
    <s v=""/>
    <n v="0"/>
    <n v="0"/>
    <n v="0"/>
    <n v="262"/>
    <n v="259"/>
    <n v="265"/>
    <n v="10"/>
    <s v=""/>
    <s v="192 and 250"/>
    <s v="Lithium Ion"/>
    <s v="Electrical Regen Brake"/>
  </r>
  <r>
    <n v="2025"/>
    <s v="BMW"/>
    <s v="BMW"/>
    <s v="i5 xDrive40 Sedan (21'' Wheels)"/>
    <s v="All Wheel Drive"/>
    <x v="3"/>
    <n v="86"/>
    <n v="87"/>
    <n v="87"/>
    <n v="950"/>
    <n v="9"/>
    <n v="10"/>
    <n v="4750"/>
    <s v=""/>
    <n v="0"/>
    <n v="0"/>
    <n v="0"/>
    <n v="248"/>
    <n v="247"/>
    <n v="249"/>
    <n v="10"/>
    <s v=""/>
    <s v="192 and 250"/>
    <s v="Lithium Ion"/>
    <s v="Electrical Regen Brake"/>
  </r>
  <r>
    <n v="2025"/>
    <s v="BMW"/>
    <s v="BMW"/>
    <s v="i5 xDrive40 Sedan (21'' Wheels)"/>
    <s v="All Wheel Drive"/>
    <x v="3"/>
    <n v="39"/>
    <n v="39"/>
    <n v="39"/>
    <n v="950"/>
    <n v="9"/>
    <n v="10"/>
    <n v="4750"/>
    <s v=""/>
    <n v="0"/>
    <n v="0"/>
    <n v="0"/>
    <n v="248"/>
    <n v="247"/>
    <n v="249"/>
    <n v="10"/>
    <s v=""/>
    <s v="192 and 250"/>
    <s v="Lithium Ion"/>
    <s v="Electrical Regen Brake"/>
  </r>
  <r>
    <n v="2025"/>
    <s v="BMW"/>
    <s v="BMW"/>
    <s v="i5 M60 xDrive Sedan (19'' Wheels)"/>
    <s v="All Wheel Drive"/>
    <x v="3"/>
    <n v="89"/>
    <n v="91"/>
    <n v="90"/>
    <n v="900"/>
    <n v="9"/>
    <n v="10"/>
    <n v="5000"/>
    <s v=""/>
    <n v="0"/>
    <n v="0"/>
    <n v="0"/>
    <n v="253"/>
    <n v="249"/>
    <n v="257"/>
    <n v="10"/>
    <s v=""/>
    <s v="190 and 230"/>
    <s v="Lithium Ion"/>
    <s v="Electrical Regen Brake"/>
  </r>
  <r>
    <n v="2025"/>
    <s v="BMW"/>
    <s v="BMW"/>
    <s v="i5 M60 xDrive Sedan (19'' Wheels)"/>
    <s v="All Wheel Drive"/>
    <x v="3"/>
    <n v="38"/>
    <n v="37"/>
    <n v="38"/>
    <n v="900"/>
    <n v="9"/>
    <n v="10"/>
    <n v="5000"/>
    <s v=""/>
    <n v="0"/>
    <n v="0"/>
    <n v="0"/>
    <n v="253"/>
    <n v="249"/>
    <n v="257"/>
    <n v="10"/>
    <s v=""/>
    <s v="190 and 230"/>
    <s v="Lithium Ion"/>
    <s v="Electrical Regen Brake"/>
  </r>
  <r>
    <n v="2025"/>
    <s v="BMW"/>
    <s v="BMW"/>
    <s v="i5 M60 xDrive Sedan (20'' Wheels)"/>
    <s v="All Wheel Drive"/>
    <x v="3"/>
    <n v="88"/>
    <n v="88"/>
    <n v="88"/>
    <n v="900"/>
    <n v="9"/>
    <n v="10"/>
    <n v="5000"/>
    <s v=""/>
    <n v="0"/>
    <n v="0"/>
    <n v="0"/>
    <n v="250"/>
    <n v="249"/>
    <n v="251"/>
    <n v="10"/>
    <s v=""/>
    <s v="190 and 230"/>
    <s v="Lithium Ion"/>
    <s v="Electrical Regen Brake"/>
  </r>
  <r>
    <n v="2025"/>
    <s v="BMW"/>
    <s v="BMW"/>
    <s v="i5 M60 xDrive Sedan (20'' Wheels)"/>
    <s v="All Wheel Drive"/>
    <x v="3"/>
    <n v="38"/>
    <n v="38"/>
    <n v="38"/>
    <n v="900"/>
    <n v="9"/>
    <n v="10"/>
    <n v="5000"/>
    <s v=""/>
    <n v="0"/>
    <n v="0"/>
    <n v="0"/>
    <n v="250"/>
    <n v="249"/>
    <n v="251"/>
    <n v="10"/>
    <s v=""/>
    <s v="190 and 230"/>
    <s v="Lithium Ion"/>
    <s v="Electrical Regen Brake"/>
  </r>
  <r>
    <n v="2025"/>
    <s v="BMW"/>
    <s v="BMW"/>
    <s v="i5 M60 xDrive Sedan (21'' Wheels)"/>
    <s v="All Wheel Drive"/>
    <x v="3"/>
    <n v="83"/>
    <n v="85"/>
    <n v="84"/>
    <n v="950"/>
    <n v="9"/>
    <n v="10"/>
    <n v="4750"/>
    <s v=""/>
    <n v="0"/>
    <n v="0"/>
    <n v="0"/>
    <n v="239"/>
    <n v="237"/>
    <n v="241"/>
    <n v="10"/>
    <s v=""/>
    <s v="190 and 230"/>
    <s v="Lithium Ion"/>
    <s v="Electrical Regen Brake"/>
  </r>
  <r>
    <n v="2025"/>
    <s v="BMW"/>
    <s v="BMW"/>
    <s v="i5 M60 xDrive Sedan (21'' Wheels)"/>
    <s v="All Wheel Drive"/>
    <x v="3"/>
    <n v="40"/>
    <n v="40"/>
    <n v="40"/>
    <n v="950"/>
    <n v="9"/>
    <n v="10"/>
    <n v="4750"/>
    <s v=""/>
    <n v="0"/>
    <n v="0"/>
    <n v="0"/>
    <n v="239"/>
    <n v="237"/>
    <n v="241"/>
    <n v="10"/>
    <s v=""/>
    <s v="190 and 230"/>
    <s v="Lithium Ion"/>
    <s v="Electrical Regen Brake"/>
  </r>
  <r>
    <n v="2025"/>
    <s v="BMW"/>
    <s v="BMW"/>
    <s v="i7 eDrive50 Sedan (19'' Wheels)"/>
    <s v="2-Wheel Drive, Rear"/>
    <x v="4"/>
    <n v="85"/>
    <n v="93"/>
    <n v="88"/>
    <n v="900"/>
    <n v="9"/>
    <n v="10"/>
    <n v="5000"/>
    <s v=""/>
    <n v="0"/>
    <n v="0"/>
    <n v="0"/>
    <n v="314"/>
    <n v="300"/>
    <n v="331"/>
    <n v="12"/>
    <s v=""/>
    <s v="335"/>
    <s v="Lithium Ion"/>
    <s v="Electrical Regen Brake"/>
  </r>
  <r>
    <n v="2025"/>
    <s v="BMW"/>
    <s v="BMW"/>
    <s v="i7 eDrive50 Sedan (19'' Wheels)"/>
    <s v="2-Wheel Drive, Rear"/>
    <x v="4"/>
    <n v="40"/>
    <n v="36"/>
    <n v="38"/>
    <n v="900"/>
    <n v="9"/>
    <n v="10"/>
    <n v="5000"/>
    <s v=""/>
    <n v="0"/>
    <n v="0"/>
    <n v="0"/>
    <n v="314"/>
    <n v="300"/>
    <n v="331"/>
    <n v="12"/>
    <s v=""/>
    <s v="335"/>
    <s v="Lithium Ion"/>
    <s v="Electrical Regen Brake"/>
  </r>
  <r>
    <n v="2025"/>
    <s v="BMW"/>
    <s v="BMW"/>
    <s v="i7 eDrive50 Sedan (20'' Wheels)"/>
    <s v="2-Wheel Drive, Rear"/>
    <x v="4"/>
    <n v="82"/>
    <n v="88"/>
    <n v="85"/>
    <n v="950"/>
    <n v="9"/>
    <n v="10"/>
    <n v="4750"/>
    <s v=""/>
    <n v="0"/>
    <n v="0"/>
    <n v="0"/>
    <n v="301"/>
    <n v="290"/>
    <n v="315"/>
    <n v="12"/>
    <s v=""/>
    <s v="335"/>
    <s v="Lithium Ion"/>
    <s v="Electrical Regen Brake"/>
  </r>
  <r>
    <n v="2025"/>
    <s v="BMW"/>
    <s v="BMW"/>
    <s v="i7 eDrive50 Sedan (20'' Wheels)"/>
    <s v="2-Wheel Drive, Rear"/>
    <x v="4"/>
    <n v="41"/>
    <n v="38"/>
    <n v="40"/>
    <n v="950"/>
    <n v="9"/>
    <n v="10"/>
    <n v="4750"/>
    <s v=""/>
    <n v="0"/>
    <n v="0"/>
    <n v="0"/>
    <n v="301"/>
    <n v="290"/>
    <n v="315"/>
    <n v="12"/>
    <s v=""/>
    <s v="335"/>
    <s v="Lithium Ion"/>
    <s v="Electrical Regen Brake"/>
  </r>
  <r>
    <n v="2025"/>
    <s v="BMW"/>
    <s v="BMW"/>
    <s v="i7 eDrive50 Sedan (21'' Wheels)"/>
    <s v="2-Wheel Drive, Rear"/>
    <x v="4"/>
    <n v="84"/>
    <n v="90"/>
    <n v="87"/>
    <n v="950"/>
    <n v="9"/>
    <n v="10"/>
    <n v="4750"/>
    <s v=""/>
    <n v="0"/>
    <n v="0"/>
    <n v="0"/>
    <n v="307"/>
    <n v="297"/>
    <n v="319"/>
    <n v="12"/>
    <s v=""/>
    <s v="335"/>
    <s v="Lithium Ion"/>
    <s v="Electrical Regen Brake"/>
  </r>
  <r>
    <n v="2025"/>
    <s v="BMW"/>
    <s v="BMW"/>
    <s v="i7 eDrive50 Sedan (21'' Wheels)"/>
    <s v="2-Wheel Drive, Rear"/>
    <x v="4"/>
    <n v="40"/>
    <n v="37"/>
    <n v="39"/>
    <n v="950"/>
    <n v="9"/>
    <n v="10"/>
    <n v="4750"/>
    <s v=""/>
    <n v="0"/>
    <n v="0"/>
    <n v="0"/>
    <n v="307"/>
    <n v="297"/>
    <n v="319"/>
    <n v="12"/>
    <s v=""/>
    <s v="335"/>
    <s v="Lithium Ion"/>
    <s v="Electrical Regen Brake"/>
  </r>
  <r>
    <n v="2025"/>
    <s v="BMW"/>
    <s v="BMW"/>
    <s v="i7 xDrive60 Sedan (19'' Wheels)"/>
    <s v="All Wheel Drive"/>
    <x v="4"/>
    <n v="85"/>
    <n v="91"/>
    <n v="88"/>
    <n v="900"/>
    <n v="9"/>
    <n v="10"/>
    <n v="5000"/>
    <s v=""/>
    <n v="0"/>
    <n v="0"/>
    <n v="0"/>
    <n v="311"/>
    <n v="302"/>
    <n v="321"/>
    <n v="12"/>
    <s v=""/>
    <s v="190 and 230"/>
    <s v="Lithium Ion"/>
    <s v="Electrical Regen Brake"/>
  </r>
  <r>
    <n v="2025"/>
    <s v="BMW"/>
    <s v="BMW"/>
    <s v="i7 xDrive60 Sedan (19'' Wheels)"/>
    <s v="All Wheel Drive"/>
    <x v="4"/>
    <n v="39"/>
    <n v="37"/>
    <n v="38"/>
    <n v="900"/>
    <n v="9"/>
    <n v="10"/>
    <n v="5000"/>
    <s v=""/>
    <n v="0"/>
    <n v="0"/>
    <n v="0"/>
    <n v="311"/>
    <n v="302"/>
    <n v="321"/>
    <n v="12"/>
    <s v=""/>
    <s v="190 and 230"/>
    <s v="Lithium Ion"/>
    <s v="Electrical Regen Brake"/>
  </r>
  <r>
    <n v="2025"/>
    <s v="BMW"/>
    <s v="BMW"/>
    <s v="i7 xDrive60 Sedan (20'' Wheels)"/>
    <s v="All Wheel Drive"/>
    <x v="4"/>
    <n v="81"/>
    <n v="85"/>
    <n v="83"/>
    <n v="1000"/>
    <n v="9"/>
    <n v="10"/>
    <n v="4500"/>
    <s v=""/>
    <n v="0"/>
    <n v="0"/>
    <n v="0"/>
    <n v="296"/>
    <n v="288"/>
    <n v="306"/>
    <n v="12"/>
    <s v=""/>
    <s v="190 and 230"/>
    <s v="Lithium Ion"/>
    <s v="Electrical Regen Brake"/>
  </r>
  <r>
    <n v="2025"/>
    <s v="BMW"/>
    <s v="BMW"/>
    <s v="i7 xDrive60 Sedan (20'' Wheels)"/>
    <s v="All Wheel Drive"/>
    <x v="4"/>
    <n v="42"/>
    <n v="39"/>
    <n v="41"/>
    <n v="1000"/>
    <n v="9"/>
    <n v="10"/>
    <n v="4500"/>
    <s v=""/>
    <n v="0"/>
    <n v="0"/>
    <n v="0"/>
    <n v="296"/>
    <n v="288"/>
    <n v="306"/>
    <n v="12"/>
    <s v=""/>
    <s v="190 and 230"/>
    <s v="Lithium Ion"/>
    <s v="Electrical Regen Brake"/>
  </r>
  <r>
    <n v="2025"/>
    <s v="BMW"/>
    <s v="BMW"/>
    <s v="i7 xDrive60 Sedan (21'' Wheels)"/>
    <s v="All Wheel Drive"/>
    <x v="4"/>
    <n v="85"/>
    <n v="89"/>
    <n v="87"/>
    <n v="950"/>
    <n v="9"/>
    <n v="10"/>
    <n v="4750"/>
    <s v=""/>
    <n v="0"/>
    <n v="0"/>
    <n v="0"/>
    <n v="308"/>
    <n v="301"/>
    <n v="317"/>
    <n v="12"/>
    <s v=""/>
    <s v="190 and 230"/>
    <s v="Lithium Ion"/>
    <s v="Electrical Regen Brake"/>
  </r>
  <r>
    <n v="2025"/>
    <s v="BMW"/>
    <s v="BMW"/>
    <s v="i7 xDrive60 Sedan (21'' Wheels)"/>
    <s v="All Wheel Drive"/>
    <x v="4"/>
    <n v="40"/>
    <n v="38"/>
    <n v="39"/>
    <n v="950"/>
    <n v="9"/>
    <n v="10"/>
    <n v="4750"/>
    <s v=""/>
    <n v="0"/>
    <n v="0"/>
    <n v="0"/>
    <n v="308"/>
    <n v="301"/>
    <n v="317"/>
    <n v="12"/>
    <s v=""/>
    <s v="190 and 230"/>
    <s v="Lithium Ion"/>
    <s v="Electrical Regen Brake"/>
  </r>
  <r>
    <n v="2025"/>
    <s v="BMW"/>
    <s v="BMW"/>
    <s v="i7 M70 xDrive Sedan (20'' Wheels)"/>
    <s v="All Wheel Drive"/>
    <x v="4"/>
    <n v="72"/>
    <n v="79"/>
    <n v="75"/>
    <n v="1100"/>
    <n v="9"/>
    <n v="10"/>
    <n v="4000"/>
    <s v=""/>
    <n v="0"/>
    <n v="0"/>
    <n v="0"/>
    <n v="268"/>
    <n v="258"/>
    <n v="281"/>
    <n v="12"/>
    <s v=""/>
    <s v="190 and 360"/>
    <s v="Lithium Ion"/>
    <s v="Electrical Regen Brake"/>
  </r>
  <r>
    <n v="2025"/>
    <s v="BMW"/>
    <s v="BMW"/>
    <s v="i7 M70 xDrive Sedan (20'' Wheels)"/>
    <s v="All Wheel Drive"/>
    <x v="4"/>
    <n v="47"/>
    <n v="43"/>
    <n v="45"/>
    <n v="1100"/>
    <n v="9"/>
    <n v="10"/>
    <n v="4000"/>
    <s v=""/>
    <n v="0"/>
    <n v="0"/>
    <n v="0"/>
    <n v="268"/>
    <n v="258"/>
    <n v="281"/>
    <n v="12"/>
    <s v=""/>
    <s v="190 and 360"/>
    <s v="Lithium Ion"/>
    <s v="Electrical Regen Brake"/>
  </r>
  <r>
    <n v="2025"/>
    <s v="BMW"/>
    <s v="BMW"/>
    <s v="i7 M70 xDrive Sedan (21'' Wheels)"/>
    <s v="All Wheel Drive"/>
    <x v="4"/>
    <n v="77"/>
    <n v="83"/>
    <n v="79"/>
    <n v="1000"/>
    <n v="9"/>
    <n v="10"/>
    <n v="4500"/>
    <s v=""/>
    <n v="0"/>
    <n v="0"/>
    <n v="0"/>
    <n v="285"/>
    <n v="276"/>
    <n v="297"/>
    <n v="12"/>
    <s v=""/>
    <s v="190 and 360"/>
    <s v="Lithium Ion"/>
    <s v="Electrical Regen Brake"/>
  </r>
  <r>
    <n v="2025"/>
    <s v="BMW"/>
    <s v="BMW"/>
    <s v="i7 M70 xDrive Sedan (21'' Wheels)"/>
    <s v="All Wheel Drive"/>
    <x v="4"/>
    <n v="44"/>
    <n v="41"/>
    <n v="42"/>
    <n v="1000"/>
    <n v="9"/>
    <n v="10"/>
    <n v="4500"/>
    <s v=""/>
    <n v="0"/>
    <n v="0"/>
    <n v="0"/>
    <n v="285"/>
    <n v="276"/>
    <n v="297"/>
    <n v="12"/>
    <s v=""/>
    <s v="190 and 360"/>
    <s v="Lithium Ion"/>
    <s v="Electrical Regen Brake"/>
  </r>
  <r>
    <n v="2025"/>
    <s v="Bugatti Rimac LLC"/>
    <s v="Bugatti Rimac"/>
    <s v="Nevera R"/>
    <s v="4-Wheel Drive"/>
    <x v="5"/>
    <n v="50"/>
    <n v="51"/>
    <n v="51"/>
    <n v="1600"/>
    <n v="8"/>
    <n v="10"/>
    <n v="1500"/>
    <s v=""/>
    <n v="0"/>
    <n v="0"/>
    <n v="0"/>
    <n v="174"/>
    <n v="172"/>
    <n v="176"/>
    <n v="17.600000000000001"/>
    <s v=""/>
    <s v="226 and 500"/>
    <s v="Lithium Ion"/>
    <s v="Electrical Regen Brake"/>
  </r>
  <r>
    <n v="2025"/>
    <s v="Bugatti Rimac LLC"/>
    <s v="Bugatti Rimac"/>
    <s v="Nevera R"/>
    <s v="4-Wheel Drive"/>
    <x v="5"/>
    <n v="67"/>
    <n v="66"/>
    <n v="66"/>
    <n v="1600"/>
    <n v="8"/>
    <n v="10"/>
    <n v="1500"/>
    <s v=""/>
    <n v="0"/>
    <n v="0"/>
    <n v="0"/>
    <n v="174"/>
    <n v="172"/>
    <n v="176"/>
    <n v="17.600000000000001"/>
    <s v=""/>
    <s v="226 and 500"/>
    <s v="Lithium Ion"/>
    <s v="Electrical Regen Brake"/>
  </r>
  <r>
    <n v="2025"/>
    <s v="Bugatti Rimac LLC"/>
    <s v="Bugatti Rimac"/>
    <s v="Nevera"/>
    <s v="4-Wheel Drive"/>
    <x v="5"/>
    <n v="52"/>
    <n v="54"/>
    <n v="53"/>
    <n v="1500"/>
    <n v="8"/>
    <n v="10"/>
    <n v="2000"/>
    <s v=""/>
    <n v="0"/>
    <n v="0"/>
    <n v="0"/>
    <n v="204"/>
    <n v="201"/>
    <n v="208"/>
    <n v="17.600000000000001"/>
    <s v=""/>
    <s v="226, 226, 450 and 450"/>
    <s v="Lithium Ion"/>
    <s v="Electrical Regen Brake"/>
  </r>
  <r>
    <n v="2025"/>
    <s v="Bugatti Rimac LLC"/>
    <s v="Bugatti Rimac"/>
    <s v="Nevera"/>
    <s v="4-Wheel Drive"/>
    <x v="5"/>
    <n v="64"/>
    <n v="62"/>
    <n v="63"/>
    <n v="1500"/>
    <n v="8"/>
    <n v="10"/>
    <n v="2000"/>
    <s v=""/>
    <n v="0"/>
    <n v="0"/>
    <n v="0"/>
    <n v="204"/>
    <n v="201"/>
    <n v="208"/>
    <n v="17.600000000000001"/>
    <s v=""/>
    <s v="226, 226, 450 and 450"/>
    <s v="Lithium Ion"/>
    <s v="Electrical Regen Brake"/>
  </r>
  <r>
    <n v="2025"/>
    <s v="General Motors"/>
    <s v="Cadillac"/>
    <s v="Lyriq RWD"/>
    <s v="2-Wheel Drive, Rear"/>
    <x v="6"/>
    <n v="100"/>
    <n v="83"/>
    <n v="92"/>
    <n v="850"/>
    <n v="9"/>
    <n v="10"/>
    <n v="5250"/>
    <s v=""/>
    <n v="0"/>
    <n v="0"/>
    <n v="0"/>
    <n v="326"/>
    <n v="350"/>
    <n v="297"/>
    <n v="11.2"/>
    <s v=""/>
    <s v="255"/>
    <s v="Lithium Ion"/>
    <s v="Electrical Regen Brake"/>
  </r>
  <r>
    <n v="2025"/>
    <s v="General Motors"/>
    <s v="Cadillac"/>
    <s v="Lyriq RWD"/>
    <s v="2-Wheel Drive, Rear"/>
    <x v="6"/>
    <n v="33"/>
    <n v="39"/>
    <n v="36"/>
    <n v="850"/>
    <n v="9"/>
    <n v="10"/>
    <n v="5250"/>
    <s v=""/>
    <n v="0"/>
    <n v="0"/>
    <n v="0"/>
    <n v="326"/>
    <n v="350"/>
    <n v="297"/>
    <n v="11.2"/>
    <s v=""/>
    <s v="255"/>
    <s v="Lithium Ion"/>
    <s v="Electrical Regen Brake"/>
  </r>
  <r>
    <n v="2025"/>
    <s v="General Motors"/>
    <s v="Cadillac"/>
    <s v="Lyriq AWD 11kW Charger"/>
    <s v="All Wheel Drive"/>
    <x v="7"/>
    <n v="98"/>
    <n v="80"/>
    <n v="89"/>
    <n v="900"/>
    <n v="9"/>
    <n v="10"/>
    <n v="5000"/>
    <s v=""/>
    <n v="0"/>
    <n v="0"/>
    <n v="0"/>
    <n v="319"/>
    <n v="348"/>
    <n v="284"/>
    <n v="11.2"/>
    <s v=""/>
    <s v="155 and 220"/>
    <s v="Lithium Ion"/>
    <s v="Electrical Regen Brake"/>
  </r>
  <r>
    <n v="2025"/>
    <s v="General Motors"/>
    <s v="Cadillac"/>
    <s v="Lyriq AWD 11kW Charger"/>
    <s v="All Wheel Drive"/>
    <x v="7"/>
    <n v="34"/>
    <n v="42"/>
    <n v="38"/>
    <n v="900"/>
    <n v="9"/>
    <n v="10"/>
    <n v="5000"/>
    <s v=""/>
    <n v="0"/>
    <n v="0"/>
    <n v="0"/>
    <n v="319"/>
    <n v="348"/>
    <n v="284"/>
    <n v="11.2"/>
    <s v=""/>
    <s v="155 and 220"/>
    <s v="Lithium Ion"/>
    <s v="Electrical Regen Brake"/>
  </r>
  <r>
    <n v="2025"/>
    <s v="General Motors"/>
    <s v="Cadillac"/>
    <s v="LYRIQ AWD"/>
    <s v="All Wheel Drive"/>
    <x v="7"/>
    <n v="93"/>
    <n v="77"/>
    <n v="86"/>
    <n v="950"/>
    <n v="9"/>
    <n v="10"/>
    <n v="4750"/>
    <s v=""/>
    <n v="0"/>
    <n v="0"/>
    <n v="0"/>
    <n v="303"/>
    <n v="530"/>
    <n v="26"/>
    <n v="7"/>
    <s v=""/>
    <s v="155 and 220"/>
    <s v="Lithium Ion"/>
    <s v="Electrical Regen Brake"/>
  </r>
  <r>
    <n v="2025"/>
    <s v="General Motors"/>
    <s v="Cadillac"/>
    <s v="LYRIQ AWD"/>
    <s v="All Wheel Drive"/>
    <x v="7"/>
    <n v="36"/>
    <n v="44"/>
    <n v="40"/>
    <n v="950"/>
    <n v="9"/>
    <n v="10"/>
    <n v="4750"/>
    <s v=""/>
    <n v="0"/>
    <n v="0"/>
    <n v="0"/>
    <n v="303"/>
    <n v="530"/>
    <n v="26"/>
    <n v="7"/>
    <s v=""/>
    <s v="155 and 220"/>
    <s v="Lithium Ion"/>
    <s v="Electrical Regen Brake"/>
  </r>
  <r>
    <n v="2025"/>
    <s v="General Motors"/>
    <s v="Cadillac"/>
    <s v="CELESTIQ"/>
    <s v="All Wheel Drive"/>
    <x v="8"/>
    <n v="84"/>
    <n v="77"/>
    <n v="81"/>
    <n v="1000"/>
    <n v="9"/>
    <n v="10"/>
    <n v="4500"/>
    <s v=""/>
    <n v="0"/>
    <n v="0"/>
    <n v="0"/>
    <n v="303"/>
    <n v="316"/>
    <n v="287"/>
    <n v="8"/>
    <s v=""/>
    <s v="155 and 220"/>
    <s v="Lithium Ion"/>
    <s v="Electrical Regen Brake"/>
  </r>
  <r>
    <n v="2025"/>
    <s v="General Motors"/>
    <s v="Cadillac"/>
    <s v="CELESTIQ"/>
    <s v="All Wheel Drive"/>
    <x v="8"/>
    <n v="40"/>
    <n v="44"/>
    <n v="42"/>
    <n v="1000"/>
    <n v="9"/>
    <n v="10"/>
    <n v="4500"/>
    <s v=""/>
    <n v="0"/>
    <n v="0"/>
    <n v="0"/>
    <n v="303"/>
    <n v="316"/>
    <n v="287"/>
    <n v="8"/>
    <s v=""/>
    <s v="155 and 220"/>
    <s v="Lithium Ion"/>
    <s v="Electrical Regen Brake"/>
  </r>
  <r>
    <n v="2025"/>
    <s v="General Motors"/>
    <s v="Chevrolet"/>
    <s v="BLAZER EV RWD"/>
    <s v="2-Wheel Drive, Rear"/>
    <x v="6"/>
    <n v="106"/>
    <n v="85"/>
    <n v="95"/>
    <n v="850"/>
    <n v="9"/>
    <n v="10"/>
    <n v="5250"/>
    <s v=""/>
    <n v="0"/>
    <n v="0"/>
    <n v="0"/>
    <n v="334"/>
    <n v="366"/>
    <n v="295"/>
    <n v="11.2"/>
    <s v=""/>
    <s v="255"/>
    <s v="Lithium Ion"/>
    <s v="Electrical Regen Brake"/>
  </r>
  <r>
    <n v="2025"/>
    <s v="General Motors"/>
    <s v="Chevrolet"/>
    <s v="BLAZER EV RWD"/>
    <s v="2-Wheel Drive, Rear"/>
    <x v="6"/>
    <n v="32"/>
    <n v="40"/>
    <n v="35"/>
    <n v="850"/>
    <n v="9"/>
    <n v="10"/>
    <n v="5250"/>
    <s v=""/>
    <n v="0"/>
    <n v="0"/>
    <n v="0"/>
    <n v="334"/>
    <n v="366"/>
    <n v="295"/>
    <n v="11.2"/>
    <s v=""/>
    <s v="255"/>
    <s v="Lithium Ion"/>
    <s v="Electrical Regen Brake"/>
  </r>
  <r>
    <n v="2025"/>
    <s v="General Motors"/>
    <s v="Chevrolet"/>
    <s v="BLAZER EV AWD"/>
    <s v="All Wheel Drive"/>
    <x v="7"/>
    <n v="102"/>
    <n v="87"/>
    <n v="95"/>
    <n v="850"/>
    <n v="9"/>
    <n v="10"/>
    <n v="5250"/>
    <s v=""/>
    <n v="0"/>
    <n v="0"/>
    <n v="0"/>
    <n v="283"/>
    <n v="304"/>
    <n v="258"/>
    <n v="9.5"/>
    <s v=""/>
    <s v="67 and 180"/>
    <s v="Lithium Ion"/>
    <s v="Electrical Regen Brake"/>
  </r>
  <r>
    <n v="2025"/>
    <s v="General Motors"/>
    <s v="Chevrolet"/>
    <s v="BLAZER EV AWD"/>
    <s v="All Wheel Drive"/>
    <x v="7"/>
    <n v="33"/>
    <n v="39"/>
    <n v="36"/>
    <n v="850"/>
    <n v="9"/>
    <n v="10"/>
    <n v="5250"/>
    <s v=""/>
    <n v="0"/>
    <n v="0"/>
    <n v="0"/>
    <n v="283"/>
    <n v="304"/>
    <n v="258"/>
    <n v="9.5"/>
    <s v=""/>
    <s v="67 and 180"/>
    <s v="Lithium Ion"/>
    <s v="Electrical Regen Brake"/>
  </r>
  <r>
    <n v="2025"/>
    <s v="General Motors"/>
    <s v="Chevrolet"/>
    <s v="BLAZER EV FWD"/>
    <s v="2-Wheel Drive, Front"/>
    <x v="6"/>
    <n v="114"/>
    <n v="95"/>
    <n v="104"/>
    <n v="750"/>
    <n v="9"/>
    <n v="10"/>
    <n v="5750"/>
    <s v=""/>
    <n v="0"/>
    <n v="0"/>
    <n v="0"/>
    <n v="312"/>
    <n v="337"/>
    <n v="281"/>
    <n v="9.5"/>
    <s v=""/>
    <s v="180"/>
    <s v="Lithium Ion"/>
    <s v="Electrical Regen Brake"/>
  </r>
  <r>
    <n v="2025"/>
    <s v="General Motors"/>
    <s v="Chevrolet"/>
    <s v="BLAZER EV FWD"/>
    <s v="2-Wheel Drive, Front"/>
    <x v="6"/>
    <n v="30"/>
    <n v="36"/>
    <n v="32"/>
    <n v="750"/>
    <n v="9"/>
    <n v="10"/>
    <n v="5750"/>
    <s v=""/>
    <n v="0"/>
    <n v="0"/>
    <n v="0"/>
    <n v="312"/>
    <n v="337"/>
    <n v="281"/>
    <n v="9.5"/>
    <s v=""/>
    <s v="180"/>
    <s v="Lithium Ion"/>
    <s v="Electrical Regen Brake"/>
  </r>
  <r>
    <n v="2025"/>
    <s v="General Motors"/>
    <s v="Chevrolet"/>
    <s v="BLAZER EV FWD, 22 inch tire"/>
    <s v="2-Wheel Drive, Front"/>
    <x v="6"/>
    <n v="103"/>
    <n v="86"/>
    <n v="95"/>
    <n v="850"/>
    <n v="9"/>
    <n v="10"/>
    <n v="5250"/>
    <s v=""/>
    <n v="0"/>
    <n v="0"/>
    <n v="0"/>
    <n v="283"/>
    <n v="307"/>
    <n v="254"/>
    <n v="9.5"/>
    <s v=""/>
    <s v="180"/>
    <s v="Lithium Ion"/>
    <s v="Electrical Regen Brake"/>
  </r>
  <r>
    <n v="2025"/>
    <s v="General Motors"/>
    <s v="Chevrolet"/>
    <s v="BLAZER EV FWD, 22 inch tire"/>
    <s v="2-Wheel Drive, Front"/>
    <x v="6"/>
    <n v="33"/>
    <n v="39"/>
    <n v="36"/>
    <n v="850"/>
    <n v="9"/>
    <n v="10"/>
    <n v="5250"/>
    <s v=""/>
    <n v="0"/>
    <n v="0"/>
    <n v="0"/>
    <n v="283"/>
    <n v="307"/>
    <n v="254"/>
    <n v="9.5"/>
    <s v=""/>
    <s v="180"/>
    <s v="Lithium Ion"/>
    <s v="Electrical Regen Brake"/>
  </r>
  <r>
    <n v="2025"/>
    <s v="General Motors"/>
    <s v="Chevrolet"/>
    <s v="BLAZER EV AWD SS"/>
    <s v="All Wheel Drive"/>
    <x v="7"/>
    <n v="92"/>
    <n v="77"/>
    <n v="85"/>
    <n v="950"/>
    <n v="9"/>
    <n v="10"/>
    <n v="4750"/>
    <s v=""/>
    <n v="0"/>
    <n v="0"/>
    <n v="0"/>
    <n v="303"/>
    <n v="327"/>
    <n v="274"/>
    <n v="11.2"/>
    <s v=""/>
    <s v="155 and 220"/>
    <s v="Lithium Ion"/>
    <s v="Electrical Regen Brake"/>
  </r>
  <r>
    <n v="2025"/>
    <s v="General Motors"/>
    <s v="Chevrolet"/>
    <s v="BLAZER EV AWD SS"/>
    <s v="All Wheel Drive"/>
    <x v="7"/>
    <n v="36"/>
    <n v="44"/>
    <n v="40"/>
    <n v="950"/>
    <n v="9"/>
    <n v="10"/>
    <n v="4750"/>
    <s v=""/>
    <n v="0"/>
    <n v="0"/>
    <n v="0"/>
    <n v="303"/>
    <n v="327"/>
    <n v="274"/>
    <n v="11.2"/>
    <s v=""/>
    <s v="155 and 220"/>
    <s v="Lithium Ion"/>
    <s v="Electrical Regen Brake"/>
  </r>
  <r>
    <n v="2025"/>
    <s v="General Motors"/>
    <s v="Chevrolet"/>
    <s v="EQUINOX EV FWD"/>
    <s v="2-Wheel Drive, Front"/>
    <x v="6"/>
    <n v="117"/>
    <n v="100"/>
    <n v="109"/>
    <n v="650"/>
    <n v="10"/>
    <n v="10"/>
    <n v="3750"/>
    <s v=""/>
    <n v="0"/>
    <n v="0"/>
    <n v="0"/>
    <n v="319"/>
    <n v="342"/>
    <n v="291"/>
    <n v="9.5"/>
    <s v=""/>
    <s v="67 and 180"/>
    <s v="Lithium Ion"/>
    <s v="Electrical Regen Brake"/>
  </r>
  <r>
    <n v="2025"/>
    <s v="General Motors"/>
    <s v="Chevrolet"/>
    <s v="EQUINOX EV FWD"/>
    <s v="2-Wheel Drive, Front"/>
    <x v="6"/>
    <n v="29"/>
    <n v="34"/>
    <n v="31"/>
    <n v="650"/>
    <n v="10"/>
    <n v="10"/>
    <n v="3750"/>
    <s v=""/>
    <n v="0"/>
    <n v="0"/>
    <n v="0"/>
    <n v="319"/>
    <n v="342"/>
    <n v="291"/>
    <n v="9.5"/>
    <s v=""/>
    <s v="67 and 180"/>
    <s v="Lithium Ion"/>
    <s v="Electrical Regen Brake"/>
  </r>
  <r>
    <n v="2025"/>
    <s v="General Motors"/>
    <s v="Chevrolet"/>
    <s v="EQUINOX EV AWD"/>
    <s v="All Wheel Drive"/>
    <x v="7"/>
    <n v="112"/>
    <n v="95"/>
    <n v="103"/>
    <n v="800"/>
    <n v="9"/>
    <n v="10"/>
    <n v="5500"/>
    <s v=""/>
    <n v="0"/>
    <n v="0"/>
    <n v="0"/>
    <n v="307"/>
    <n v="329"/>
    <n v="280"/>
    <n v="9.5"/>
    <s v=""/>
    <s v="180"/>
    <s v="Lithium Ion"/>
    <s v="Electrical Regen Brake"/>
  </r>
  <r>
    <n v="2025"/>
    <s v="General Motors"/>
    <s v="Chevrolet"/>
    <s v="EQUINOX EV AWD"/>
    <s v="All Wheel Drive"/>
    <x v="7"/>
    <n v="30"/>
    <n v="36"/>
    <n v="33"/>
    <n v="800"/>
    <n v="9"/>
    <n v="10"/>
    <n v="5500"/>
    <s v=""/>
    <n v="0"/>
    <n v="0"/>
    <n v="0"/>
    <n v="307"/>
    <n v="329"/>
    <n v="280"/>
    <n v="9.5"/>
    <s v=""/>
    <s v="180"/>
    <s v="Lithium Ion"/>
    <s v="Electrical Regen Brake"/>
  </r>
  <r>
    <n v="2025"/>
    <s v="General Motors"/>
    <s v="Chevrolet"/>
    <s v="EQUINOX EV AWD"/>
    <s v="All Wheel Drive"/>
    <x v="7"/>
    <n v="103"/>
    <n v="88"/>
    <n v="96"/>
    <n v="800"/>
    <n v="9"/>
    <n v="10"/>
    <n v="5500"/>
    <s v=""/>
    <n v="0"/>
    <n v="0"/>
    <n v="0"/>
    <n v="307"/>
    <n v="329"/>
    <n v="280"/>
    <n v="9.5"/>
    <s v=""/>
    <s v="67 and 180"/>
    <s v="Lithium Ion"/>
    <s v="Electrical Regen Brake"/>
  </r>
  <r>
    <n v="2025"/>
    <s v="General Motors"/>
    <s v="Chevrolet"/>
    <s v="EQUINOX EV AWD"/>
    <s v="All Wheel Drive"/>
    <x v="7"/>
    <n v="33"/>
    <n v="38"/>
    <n v="35"/>
    <n v="800"/>
    <n v="9"/>
    <n v="10"/>
    <n v="5500"/>
    <s v=""/>
    <n v="0"/>
    <n v="0"/>
    <n v="0"/>
    <n v="307"/>
    <n v="329"/>
    <n v="280"/>
    <n v="9.5"/>
    <s v=""/>
    <s v="67 and 180"/>
    <s v="Lithium Ion"/>
    <s v="Electrical Regen Brake"/>
  </r>
  <r>
    <n v="2025"/>
    <s v="General Motors"/>
    <s v="Chevrolet"/>
    <s v="SILVERADO EV 8WT"/>
    <s v="4-Wheel Drive"/>
    <x v="9"/>
    <n v="74"/>
    <n v="61"/>
    <n v="68"/>
    <n v="1200"/>
    <n v="9"/>
    <n v="10"/>
    <n v="3500"/>
    <s v=""/>
    <n v="0"/>
    <n v="0"/>
    <n v="0"/>
    <n v="492"/>
    <n v="531"/>
    <n v="444"/>
    <n v="13.3"/>
    <s v=""/>
    <s v="189"/>
    <s v="Lithium Ion"/>
    <s v="Electrical Regen Brake"/>
  </r>
  <r>
    <n v="2025"/>
    <s v="General Motors"/>
    <s v="Chevrolet"/>
    <s v="SILVERADO EV 8WT"/>
    <s v="4-Wheel Drive"/>
    <x v="9"/>
    <n v="46"/>
    <n v="55"/>
    <n v="50"/>
    <n v="1200"/>
    <n v="9"/>
    <n v="10"/>
    <n v="3500"/>
    <s v=""/>
    <n v="0"/>
    <n v="0"/>
    <n v="0"/>
    <n v="492"/>
    <n v="531"/>
    <n v="444"/>
    <n v="13.3"/>
    <s v=""/>
    <s v="189"/>
    <s v="Lithium Ion"/>
    <s v="Electrical Regen Brake"/>
  </r>
  <r>
    <n v="2025"/>
    <s v="General Motors"/>
    <s v="Chevrolet"/>
    <s v="SILVERADO EV 5WT"/>
    <s v="4-Wheel Drive"/>
    <x v="9"/>
    <n v="77"/>
    <n v="63"/>
    <n v="70"/>
    <n v="1150"/>
    <n v="9"/>
    <n v="10"/>
    <n v="3750"/>
    <s v=""/>
    <n v="0"/>
    <n v="0"/>
    <n v="0"/>
    <n v="422"/>
    <n v="460"/>
    <n v="375"/>
    <n v="18.600000000000001"/>
    <s v=""/>
    <s v="189"/>
    <s v="Lithium Ion"/>
    <s v="Electrical Regen Brake"/>
  </r>
  <r>
    <n v="2025"/>
    <s v="General Motors"/>
    <s v="Chevrolet"/>
    <s v="SILVERADO EV 5WT"/>
    <s v="4-Wheel Drive"/>
    <x v="9"/>
    <n v="44"/>
    <n v="54"/>
    <n v="48"/>
    <n v="1150"/>
    <n v="9"/>
    <n v="10"/>
    <n v="3750"/>
    <s v=""/>
    <n v="0"/>
    <n v="0"/>
    <n v="0"/>
    <n v="422"/>
    <n v="460"/>
    <n v="375"/>
    <n v="18.600000000000001"/>
    <s v=""/>
    <s v="189"/>
    <s v="Lithium Ion"/>
    <s v="Electrical Regen Brake"/>
  </r>
  <r>
    <n v="2025"/>
    <s v="General Motors"/>
    <s v="Chevrolet"/>
    <s v="SILVERADO EV 11 kW Charger"/>
    <s v="4-Wheel Drive"/>
    <x v="9"/>
    <n v="74"/>
    <n v="61"/>
    <n v="68"/>
    <n v="1200"/>
    <n v="9"/>
    <n v="10"/>
    <n v="3500"/>
    <s v=""/>
    <n v="0"/>
    <n v="0"/>
    <n v="0"/>
    <n v="408"/>
    <n v="442"/>
    <n v="367"/>
    <n v="18.600000000000001"/>
    <s v=""/>
    <s v="189 and 189"/>
    <s v="Lithium Ion"/>
    <s v="Electrical Regen Brake"/>
  </r>
  <r>
    <n v="2025"/>
    <s v="General Motors"/>
    <s v="Chevrolet"/>
    <s v="SILVERADO EV 11 kW Charger"/>
    <s v="4-Wheel Drive"/>
    <x v="9"/>
    <n v="46"/>
    <n v="55"/>
    <n v="50"/>
    <n v="1200"/>
    <n v="9"/>
    <n v="10"/>
    <n v="3500"/>
    <s v=""/>
    <n v="0"/>
    <n v="0"/>
    <n v="0"/>
    <n v="408"/>
    <n v="442"/>
    <n v="367"/>
    <n v="18.600000000000001"/>
    <s v=""/>
    <s v="189 and 189"/>
    <s v="Lithium Ion"/>
    <s v="Electrical Regen Brake"/>
  </r>
  <r>
    <n v="2025"/>
    <s v="General Motors"/>
    <s v="Chevrolet"/>
    <s v="SILVERADO EV 19kW Charger"/>
    <s v="4-Wheel Drive"/>
    <x v="9"/>
    <n v="70"/>
    <n v="59"/>
    <n v="64"/>
    <n v="1250"/>
    <n v="8"/>
    <n v="10"/>
    <n v="3250"/>
    <s v=""/>
    <n v="0"/>
    <n v="0"/>
    <n v="0"/>
    <n v="390"/>
    <n v="419"/>
    <n v="354"/>
    <n v="11.5"/>
    <s v=""/>
    <s v="189 and 189"/>
    <s v="Lithium Ion"/>
    <s v="Electrical Regen Brake"/>
  </r>
  <r>
    <n v="2025"/>
    <s v="General Motors"/>
    <s v="Chevrolet"/>
    <s v="SILVERADO EV 19kW Charger"/>
    <s v="4-Wheel Drive"/>
    <x v="9"/>
    <n v="48"/>
    <n v="57"/>
    <n v="52"/>
    <n v="1250"/>
    <n v="8"/>
    <n v="10"/>
    <n v="3250"/>
    <s v=""/>
    <n v="0"/>
    <n v="0"/>
    <n v="0"/>
    <n v="390"/>
    <n v="419"/>
    <n v="354"/>
    <n v="11.5"/>
    <s v=""/>
    <s v="189 and 189"/>
    <s v="Lithium Ion"/>
    <s v="Electrical Regen Brake"/>
  </r>
  <r>
    <n v="2025"/>
    <s v="General Motors"/>
    <s v="Chevrolet"/>
    <s v="SILVERADO EV 5WT 11kW Charger"/>
    <s v="4-Wheel Drive"/>
    <x v="9"/>
    <n v="77"/>
    <n v="63"/>
    <n v="70"/>
    <n v="1150"/>
    <n v="9"/>
    <n v="10"/>
    <n v="3750"/>
    <s v=""/>
    <n v="0"/>
    <n v="0"/>
    <n v="0"/>
    <n v="422"/>
    <n v="460"/>
    <n v="375"/>
    <n v="11.5"/>
    <s v=""/>
    <s v="189"/>
    <s v="Lithium Ion"/>
    <s v="Electrical Regen Brake"/>
  </r>
  <r>
    <n v="2025"/>
    <s v="General Motors"/>
    <s v="Chevrolet"/>
    <s v="SILVERADO EV 5WT 11kW Charger"/>
    <s v="4-Wheel Drive"/>
    <x v="9"/>
    <n v="44"/>
    <n v="54"/>
    <n v="48"/>
    <n v="1150"/>
    <n v="9"/>
    <n v="10"/>
    <n v="3750"/>
    <s v=""/>
    <n v="0"/>
    <n v="0"/>
    <n v="0"/>
    <n v="422"/>
    <n v="460"/>
    <n v="375"/>
    <n v="11.5"/>
    <s v=""/>
    <s v="189"/>
    <s v="Lithium Ion"/>
    <s v="Electrical Regen Brake"/>
  </r>
  <r>
    <n v="2025"/>
    <s v="General Motors"/>
    <s v="Chevrolet"/>
    <s v="SILVERADO EV 2WT"/>
    <s v="4-Wheel Drive"/>
    <x v="9"/>
    <n v="73"/>
    <n v="60"/>
    <n v="66"/>
    <n v="1200"/>
    <n v="9"/>
    <n v="10"/>
    <n v="3500"/>
    <s v=""/>
    <n v="0"/>
    <n v="0"/>
    <n v="0"/>
    <n v="282"/>
    <n v="307"/>
    <n v="251"/>
    <n v="13.3"/>
    <s v=""/>
    <s v="189"/>
    <s v="Lithium Ion"/>
    <s v="Electrical Regen Brake"/>
  </r>
  <r>
    <n v="2025"/>
    <s v="General Motors"/>
    <s v="Chevrolet"/>
    <s v="SILVERADO EV 2WT"/>
    <s v="4-Wheel Drive"/>
    <x v="9"/>
    <n v="46"/>
    <n v="56"/>
    <n v="51"/>
    <n v="1200"/>
    <n v="9"/>
    <n v="10"/>
    <n v="3500"/>
    <s v=""/>
    <n v="0"/>
    <n v="0"/>
    <n v="0"/>
    <n v="282"/>
    <n v="307"/>
    <n v="251"/>
    <n v="13.3"/>
    <s v=""/>
    <s v="189"/>
    <s v="Lithium Ion"/>
    <s v="Electrical Regen Brake"/>
  </r>
  <r>
    <n v="2025"/>
    <s v="FCA US LLC"/>
    <s v="Dodge"/>
    <s v="Charger Daytona R/T AWD 245/55ZR18"/>
    <s v="All Wheel Drive"/>
    <x v="4"/>
    <n v="92"/>
    <n v="81"/>
    <n v="87"/>
    <n v="950"/>
    <n v="9"/>
    <n v="10"/>
    <n v="4750"/>
    <s v=""/>
    <n v="0"/>
    <n v="0"/>
    <n v="0"/>
    <n v="274"/>
    <n v="293"/>
    <n v="251"/>
    <n v="9.9"/>
    <s v=""/>
    <s v="250 and 250"/>
    <s v="Lithium Ion"/>
    <s v="Electrical Regen Brake"/>
  </r>
  <r>
    <n v="2025"/>
    <s v="FCA US LLC"/>
    <s v="Dodge"/>
    <s v="Charger Daytona R/T AWD 245/55ZR18"/>
    <s v="All Wheel Drive"/>
    <x v="4"/>
    <n v="32"/>
    <n v="37"/>
    <n v="35"/>
    <n v="950"/>
    <n v="9"/>
    <n v="10"/>
    <n v="4750"/>
    <s v=""/>
    <n v="0"/>
    <n v="0"/>
    <n v="0"/>
    <n v="274"/>
    <n v="293"/>
    <n v="251"/>
    <n v="9.9"/>
    <s v=""/>
    <s v="250 and 250"/>
    <s v="Lithium Ion"/>
    <s v="Electrical Regen Brake"/>
  </r>
  <r>
    <n v="2025"/>
    <s v="FCA US LLC"/>
    <s v="Dodge"/>
    <s v="Charger Daytona R/T AWD 255/45R20"/>
    <s v="All Wheel Drive"/>
    <x v="4"/>
    <n v="104"/>
    <n v="91"/>
    <n v="98"/>
    <n v="850"/>
    <n v="9"/>
    <n v="10"/>
    <n v="5250"/>
    <s v=""/>
    <n v="0"/>
    <n v="0"/>
    <n v="0"/>
    <n v="308"/>
    <n v="326"/>
    <n v="286"/>
    <n v="9.9"/>
    <s v=""/>
    <s v="250"/>
    <s v="Lithium Ion"/>
    <s v="Electrical Regen Brake"/>
  </r>
  <r>
    <n v="2025"/>
    <s v="FCA US LLC"/>
    <s v="Dodge"/>
    <s v="Charger Daytona R/T AWD 255/45R20"/>
    <s v="All Wheel Drive"/>
    <x v="4"/>
    <n v="32"/>
    <n v="37"/>
    <n v="35"/>
    <n v="850"/>
    <n v="9"/>
    <n v="10"/>
    <n v="5250"/>
    <s v=""/>
    <n v="0"/>
    <n v="0"/>
    <n v="0"/>
    <n v="308"/>
    <n v="326"/>
    <n v="286"/>
    <n v="9.9"/>
    <s v=""/>
    <s v="250"/>
    <s v="Lithium Ion"/>
    <s v="Electrical Regen Brake"/>
  </r>
  <r>
    <n v="2025"/>
    <s v="FCA US LLC"/>
    <s v="Dodge"/>
    <s v="Charger Daytona R/T AWD 275/40R20"/>
    <s v="All Wheel Drive"/>
    <x v="4"/>
    <n v="90"/>
    <n v="79"/>
    <n v="85"/>
    <n v="950"/>
    <n v="9"/>
    <n v="10"/>
    <n v="4750"/>
    <s v=""/>
    <n v="0"/>
    <n v="0"/>
    <n v="0"/>
    <n v="268"/>
    <n v="286"/>
    <n v="246"/>
    <n v="9.9"/>
    <s v=""/>
    <s v="250 and 250"/>
    <s v="Lithium Ion"/>
    <s v="Electrical Regen Brake"/>
  </r>
  <r>
    <n v="2025"/>
    <s v="FCA US LLC"/>
    <s v="Dodge"/>
    <s v="Charger Daytona R/T AWD 275/40R20"/>
    <s v="All Wheel Drive"/>
    <x v="4"/>
    <n v="32"/>
    <n v="37"/>
    <n v="35"/>
    <n v="950"/>
    <n v="9"/>
    <n v="10"/>
    <n v="4750"/>
    <s v=""/>
    <n v="0"/>
    <n v="0"/>
    <n v="0"/>
    <n v="268"/>
    <n v="286"/>
    <n v="246"/>
    <n v="9.9"/>
    <s v=""/>
    <s v="250 and 250"/>
    <s v="Lithium Ion"/>
    <s v="Electrical Regen Brake"/>
  </r>
  <r>
    <n v="2025"/>
    <s v="FCA US LLC"/>
    <s v="Dodge"/>
    <s v="Charger Daytona R/T AWD 305/35ZR20"/>
    <s v="All Wheel Drive"/>
    <x v="4"/>
    <n v="94"/>
    <n v="82"/>
    <n v="88"/>
    <n v="900"/>
    <n v="9"/>
    <n v="10"/>
    <n v="5000"/>
    <s v=""/>
    <n v="0"/>
    <n v="0"/>
    <n v="0"/>
    <n v="279"/>
    <n v="295"/>
    <n v="259"/>
    <n v="9.9"/>
    <s v=""/>
    <s v="250 and 250"/>
    <s v="Lithium Ion"/>
    <s v="Electrical Regen Brake"/>
  </r>
  <r>
    <n v="2025"/>
    <s v="FCA US LLC"/>
    <s v="Dodge"/>
    <s v="Charger Daytona R/T AWD 305/35ZR20"/>
    <s v="All Wheel Drive"/>
    <x v="4"/>
    <n v="32"/>
    <n v="37"/>
    <n v="35"/>
    <n v="900"/>
    <n v="9"/>
    <n v="10"/>
    <n v="5000"/>
    <s v=""/>
    <n v="0"/>
    <n v="0"/>
    <n v="0"/>
    <n v="279"/>
    <n v="295"/>
    <n v="259"/>
    <n v="9.9"/>
    <s v=""/>
    <s v="250 and 250"/>
    <s v="Lithium Ion"/>
    <s v="Electrical Regen Brake"/>
  </r>
  <r>
    <n v="2025"/>
    <s v="FCA US LLC"/>
    <s v="Dodge"/>
    <s v="Charger Daytona Scat Pack AWD 305/35ZR20"/>
    <s v="All Wheel Drive"/>
    <x v="4"/>
    <n v="94"/>
    <n v="82"/>
    <n v="88"/>
    <n v="900"/>
    <n v="9"/>
    <n v="10"/>
    <n v="5000"/>
    <s v=""/>
    <n v="0"/>
    <n v="0"/>
    <n v="0"/>
    <n v="279"/>
    <n v="295"/>
    <n v="259"/>
    <n v="9.9"/>
    <s v=""/>
    <s v="250 and 250"/>
    <s v="Lithium Ion"/>
    <s v="Electrical Regen Brake"/>
  </r>
  <r>
    <n v="2025"/>
    <s v="FCA US LLC"/>
    <s v="Dodge"/>
    <s v="Charger Daytona Scat Pack AWD 305/35ZR20"/>
    <s v="All Wheel Drive"/>
    <x v="4"/>
    <n v="32"/>
    <n v="37"/>
    <n v="35"/>
    <n v="900"/>
    <n v="9"/>
    <n v="10"/>
    <n v="5000"/>
    <s v=""/>
    <n v="0"/>
    <n v="0"/>
    <n v="0"/>
    <n v="279"/>
    <n v="295"/>
    <n v="259"/>
    <n v="9.9"/>
    <s v=""/>
    <s v="250 and 250"/>
    <s v="Lithium Ion"/>
    <s v="Electrical Regen Brake"/>
  </r>
  <r>
    <n v="2025"/>
    <s v="FCA US LLC"/>
    <s v="Dodge"/>
    <s v="Charger Daytona Scat Pack AWD 325/35ZR20 Rear"/>
    <s v="All Wheel Drive"/>
    <x v="4"/>
    <n v="74"/>
    <n v="66"/>
    <n v="70"/>
    <n v="1150"/>
    <n v="9"/>
    <n v="10"/>
    <n v="3750"/>
    <s v=""/>
    <n v="0"/>
    <n v="0"/>
    <n v="0"/>
    <n v="216"/>
    <n v="228"/>
    <n v="201"/>
    <n v="9.9"/>
    <s v=""/>
    <s v="250 and 250"/>
    <s v="Lithium Ion"/>
    <s v="Electrical Regen Brake"/>
  </r>
  <r>
    <n v="2025"/>
    <s v="FCA US LLC"/>
    <s v="Dodge"/>
    <s v="Charger Daytona Scat Pack AWD 325/35ZR20 Rear"/>
    <s v="All Wheel Drive"/>
    <x v="4"/>
    <n v="41"/>
    <n v="46"/>
    <n v="43"/>
    <n v="1150"/>
    <n v="9"/>
    <n v="10"/>
    <n v="3750"/>
    <s v=""/>
    <n v="0"/>
    <n v="0"/>
    <n v="0"/>
    <n v="216"/>
    <n v="228"/>
    <n v="201"/>
    <n v="9.9"/>
    <s v=""/>
    <s v="250 and 250"/>
    <s v="Lithium Ion"/>
    <s v="Electrical Regen Brake"/>
  </r>
  <r>
    <n v="2025"/>
    <s v="FCA US LLC"/>
    <s v="Dodge"/>
    <s v="Charger Daytona Scat Pack AWD 325/35ZR20 Rear A/S"/>
    <s v="All Wheel Drive"/>
    <x v="4"/>
    <n v="82"/>
    <n v="73"/>
    <n v="78"/>
    <n v="1050"/>
    <n v="9"/>
    <n v="10"/>
    <n v="4250"/>
    <s v=""/>
    <n v="0"/>
    <n v="0"/>
    <n v="0"/>
    <n v="241"/>
    <n v="254"/>
    <n v="225"/>
    <n v="9.9"/>
    <s v=""/>
    <s v="250 and 250"/>
    <s v="Lithium Ion"/>
    <s v="Electrical Regen Brake"/>
  </r>
  <r>
    <n v="2025"/>
    <s v="FCA US LLC"/>
    <s v="Dodge"/>
    <s v="Charger Daytona Scat Pack AWD 325/35ZR20 Rear A/S"/>
    <s v="All Wheel Drive"/>
    <x v="4"/>
    <n v="41"/>
    <n v="46"/>
    <n v="43"/>
    <n v="1050"/>
    <n v="9"/>
    <n v="10"/>
    <n v="4250"/>
    <s v=""/>
    <n v="0"/>
    <n v="0"/>
    <n v="0"/>
    <n v="241"/>
    <n v="254"/>
    <n v="225"/>
    <n v="9.9"/>
    <s v=""/>
    <s v="250 and 250"/>
    <s v="Lithium Ion"/>
    <s v="Electrical Regen Brake"/>
  </r>
  <r>
    <n v="2025"/>
    <s v="FCA US LLC"/>
    <s v="FIAT"/>
    <s v="500e"/>
    <s v="2-Wheel Drive, Front"/>
    <x v="10"/>
    <n v="127"/>
    <n v="104"/>
    <n v="116"/>
    <n v="700"/>
    <n v="9"/>
    <n v="10"/>
    <n v="6000"/>
    <s v=""/>
    <n v="0"/>
    <n v="0"/>
    <n v="0"/>
    <n v="149"/>
    <n v="162"/>
    <n v="133"/>
    <n v="6.2"/>
    <s v=""/>
    <s v="87"/>
    <s v="Lithium Ion"/>
    <s v="Electrical Regen Brake"/>
  </r>
  <r>
    <n v="2025"/>
    <s v="FCA US LLC"/>
    <s v="FIAT"/>
    <s v="500e"/>
    <s v="2-Wheel Drive, Front"/>
    <x v="10"/>
    <n v="27"/>
    <n v="32"/>
    <n v="29"/>
    <n v="700"/>
    <n v="9"/>
    <n v="10"/>
    <n v="6000"/>
    <s v=""/>
    <n v="0"/>
    <n v="0"/>
    <n v="0"/>
    <n v="149"/>
    <n v="162"/>
    <n v="133"/>
    <n v="6.2"/>
    <s v=""/>
    <s v="87"/>
    <s v="Lithium Ion"/>
    <s v="Electrical Regen Brake"/>
  </r>
  <r>
    <n v="2025"/>
    <s v="FCA US LLC"/>
    <s v="FIAT"/>
    <s v="500e All Season"/>
    <s v="2-Wheel Drive, Front"/>
    <x v="10"/>
    <n v="121"/>
    <n v="100"/>
    <n v="110"/>
    <n v="750"/>
    <n v="9"/>
    <n v="10"/>
    <n v="5750"/>
    <s v=""/>
    <n v="0"/>
    <n v="0"/>
    <n v="0"/>
    <n v="141"/>
    <n v="153"/>
    <n v="127"/>
    <n v="6.2"/>
    <s v=""/>
    <s v="87"/>
    <s v="Lithium Ion"/>
    <s v="Electrical Regen Brake"/>
  </r>
  <r>
    <n v="2025"/>
    <s v="FCA US LLC"/>
    <s v="FIAT"/>
    <s v="500e All Season"/>
    <s v="2-Wheel Drive, Front"/>
    <x v="10"/>
    <n v="28"/>
    <n v="34"/>
    <n v="31"/>
    <n v="750"/>
    <n v="9"/>
    <n v="10"/>
    <n v="5750"/>
    <s v=""/>
    <n v="0"/>
    <n v="0"/>
    <n v="0"/>
    <n v="141"/>
    <n v="153"/>
    <n v="127"/>
    <n v="6.2"/>
    <s v=""/>
    <s v="87"/>
    <s v="Lithium Ion"/>
    <s v="Electrical Regen Brake"/>
  </r>
  <r>
    <n v="2025"/>
    <s v="Ford Motor Company"/>
    <s v="Ford"/>
    <s v="F150 LIGHTNING 4WD ER1"/>
    <s v="All Wheel Drive"/>
    <x v="9"/>
    <n v="78"/>
    <n v="63"/>
    <n v="70"/>
    <n v="1150"/>
    <n v="9"/>
    <n v="9"/>
    <n v="3750"/>
    <s v=""/>
    <n v="0"/>
    <n v="0"/>
    <n v="0"/>
    <n v="320"/>
    <n v="350"/>
    <n v="283"/>
    <n v="14.6"/>
    <s v=""/>
    <s v="210 and 210"/>
    <s v="Lithium Ion"/>
    <s v="Electrical Regen Brake"/>
  </r>
  <r>
    <n v="2025"/>
    <s v="Ford Motor Company"/>
    <s v="Ford"/>
    <s v="F150 LIGHTNING 4WD ER1"/>
    <s v="All Wheel Drive"/>
    <x v="9"/>
    <n v="43"/>
    <n v="54"/>
    <n v="48"/>
    <n v="1150"/>
    <n v="9"/>
    <n v="9"/>
    <n v="3750"/>
    <s v=""/>
    <n v="0"/>
    <n v="0"/>
    <n v="0"/>
    <n v="320"/>
    <n v="350"/>
    <n v="283"/>
    <n v="14.6"/>
    <s v=""/>
    <s v="210 and 210"/>
    <s v="Lithium Ion"/>
    <s v="Electrical Regen Brake"/>
  </r>
  <r>
    <n v="2025"/>
    <s v="Ford Motor Company"/>
    <s v="Ford"/>
    <s v="F150 LIGHTNING 4WD PRO ER1"/>
    <s v="All Wheel Drive"/>
    <x v="9"/>
    <n v="78"/>
    <n v="63"/>
    <n v="70"/>
    <n v="1150"/>
    <n v="9"/>
    <n v="9"/>
    <n v="3750"/>
    <s v=""/>
    <n v="0"/>
    <n v="0"/>
    <n v="0"/>
    <n v="320"/>
    <n v="350"/>
    <n v="283"/>
    <n v="10.1"/>
    <s v=""/>
    <s v="210 and 210"/>
    <s v="Lithium Ion"/>
    <s v="Electrical Regen Brake"/>
  </r>
  <r>
    <n v="2025"/>
    <s v="Ford Motor Company"/>
    <s v="Ford"/>
    <s v="F150 LIGHTNING 4WD PRO ER1"/>
    <s v="All Wheel Drive"/>
    <x v="9"/>
    <n v="43"/>
    <n v="54"/>
    <n v="48"/>
    <n v="1150"/>
    <n v="9"/>
    <n v="9"/>
    <n v="3750"/>
    <s v=""/>
    <n v="0"/>
    <n v="0"/>
    <n v="0"/>
    <n v="320"/>
    <n v="350"/>
    <n v="283"/>
    <n v="10.1"/>
    <s v=""/>
    <s v="210 and 210"/>
    <s v="Lithium Ion"/>
    <s v="Electrical Regen Brake"/>
  </r>
  <r>
    <n v="2025"/>
    <s v="Ford Motor Company"/>
    <s v="Ford"/>
    <s v="F150 LIGHTNING PLATINUM 4WD"/>
    <s v="All Wheel Drive"/>
    <x v="9"/>
    <n v="73"/>
    <n v="60"/>
    <n v="66"/>
    <n v="1200"/>
    <n v="9"/>
    <n v="9"/>
    <n v="3500"/>
    <s v=""/>
    <n v="0"/>
    <n v="0"/>
    <n v="0"/>
    <n v="300"/>
    <n v="326"/>
    <n v="268"/>
    <n v="14.6"/>
    <s v=""/>
    <s v="210 and 210"/>
    <s v="Lithium Ion"/>
    <s v="Electrical Regen Brake"/>
  </r>
  <r>
    <n v="2025"/>
    <s v="Ford Motor Company"/>
    <s v="Ford"/>
    <s v="F150 LIGHTNING PLATINUM 4WD"/>
    <s v="All Wheel Drive"/>
    <x v="9"/>
    <n v="46"/>
    <n v="56"/>
    <n v="51"/>
    <n v="1200"/>
    <n v="9"/>
    <n v="9"/>
    <n v="3500"/>
    <s v=""/>
    <n v="0"/>
    <n v="0"/>
    <n v="0"/>
    <n v="300"/>
    <n v="326"/>
    <n v="268"/>
    <n v="14.6"/>
    <s v=""/>
    <s v="210 and 210"/>
    <s v="Lithium Ion"/>
    <s v="Electrical Regen Brake"/>
  </r>
  <r>
    <n v="2025"/>
    <s v="Ford Motor Company"/>
    <s v="Ford"/>
    <s v="F150 LIGHTNING 4WD SR"/>
    <s v="All Wheel Drive"/>
    <x v="9"/>
    <n v="76"/>
    <n v="61"/>
    <n v="68"/>
    <n v="1200"/>
    <n v="9"/>
    <n v="9"/>
    <n v="3500"/>
    <s v=""/>
    <n v="0"/>
    <n v="0"/>
    <n v="0"/>
    <n v="240"/>
    <n v="264"/>
    <n v="210"/>
    <n v="11.9"/>
    <s v=""/>
    <s v="358 and 358"/>
    <s v="Lithium Ion"/>
    <s v="Electrical Regen Brake"/>
  </r>
  <r>
    <n v="2025"/>
    <s v="Ford Motor Company"/>
    <s v="Ford"/>
    <s v="F150 LIGHTNING 4WD SR"/>
    <s v="All Wheel Drive"/>
    <x v="9"/>
    <n v="44"/>
    <n v="56"/>
    <n v="49"/>
    <n v="1200"/>
    <n v="9"/>
    <n v="9"/>
    <n v="3500"/>
    <s v=""/>
    <n v="0"/>
    <n v="0"/>
    <n v="0"/>
    <n v="240"/>
    <n v="264"/>
    <n v="210"/>
    <n v="11.9"/>
    <s v=""/>
    <s v="358 and 358"/>
    <s v="Lithium Ion"/>
    <s v="Electrical Regen Brake"/>
  </r>
  <r>
    <n v="2025"/>
    <s v="Ford Motor Company"/>
    <s v="Ford"/>
    <s v="MUSTANG MACH-E GT"/>
    <s v="All Wheel Drive"/>
    <x v="7"/>
    <n v="95"/>
    <n v="85"/>
    <n v="90"/>
    <n v="900"/>
    <n v="9"/>
    <n v="10"/>
    <n v="5000"/>
    <s v=""/>
    <n v="0"/>
    <n v="0"/>
    <n v="0"/>
    <n v="280"/>
    <n v="294"/>
    <n v="263"/>
    <n v="9.9"/>
    <s v=""/>
    <s v="210"/>
    <s v="Lithium Ion"/>
    <s v="Electrical Regen Brake"/>
  </r>
  <r>
    <n v="2025"/>
    <s v="Ford Motor Company"/>
    <s v="Ford"/>
    <s v="MUSTANG MACH-E GT"/>
    <s v="All Wheel Drive"/>
    <x v="7"/>
    <n v="35"/>
    <n v="40"/>
    <n v="37"/>
    <n v="900"/>
    <n v="9"/>
    <n v="10"/>
    <n v="5000"/>
    <s v=""/>
    <n v="0"/>
    <n v="0"/>
    <n v="0"/>
    <n v="280"/>
    <n v="294"/>
    <n v="263"/>
    <n v="9.9"/>
    <s v=""/>
    <s v="210"/>
    <s v="Lithium Ion"/>
    <s v="Electrical Regen Brake"/>
  </r>
  <r>
    <n v="2025"/>
    <s v="Ford Motor Company"/>
    <s v="Ford"/>
    <s v="MUSTANG MACH-E AWD EXTENDED"/>
    <s v="All Wheel Drive"/>
    <x v="7"/>
    <n v="110"/>
    <n v="98"/>
    <n v="104"/>
    <n v="750"/>
    <n v="9"/>
    <n v="10"/>
    <n v="5750"/>
    <s v=""/>
    <n v="0"/>
    <n v="0"/>
    <n v="0"/>
    <n v="300"/>
    <n v="315"/>
    <n v="281"/>
    <n v="10.199999999999999"/>
    <s v=""/>
    <s v="258"/>
    <s v="Lithium Ion"/>
    <s v="Electrical Regen Brake"/>
  </r>
  <r>
    <n v="2025"/>
    <s v="Ford Motor Company"/>
    <s v="Ford"/>
    <s v="MUSTANG MACH-E AWD EXTENDED"/>
    <s v="All Wheel Drive"/>
    <x v="7"/>
    <n v="31"/>
    <n v="34"/>
    <n v="32"/>
    <n v="750"/>
    <n v="9"/>
    <n v="10"/>
    <n v="5750"/>
    <s v=""/>
    <n v="0"/>
    <n v="0"/>
    <n v="0"/>
    <n v="300"/>
    <n v="315"/>
    <n v="281"/>
    <n v="10.199999999999999"/>
    <s v=""/>
    <s v="258"/>
    <s v="Lithium Ion"/>
    <s v="Electrical Regen Brake"/>
  </r>
  <r>
    <n v="2025"/>
    <s v="Ford Motor Company"/>
    <s v="Ford"/>
    <s v="MUSTANG MACH-E AWD"/>
    <s v="All Wheel Drive"/>
    <x v="7"/>
    <n v="104"/>
    <n v="96"/>
    <n v="100"/>
    <n v="800"/>
    <n v="9"/>
    <n v="10"/>
    <n v="5500"/>
    <s v=""/>
    <n v="0"/>
    <n v="0"/>
    <n v="0"/>
    <n v="240"/>
    <n v="249"/>
    <n v="228"/>
    <n v="7.7"/>
    <s v=""/>
    <s v="1 and 242"/>
    <s v="Lithium Ion"/>
    <s v="Electrical Regen Brake"/>
  </r>
  <r>
    <n v="2025"/>
    <s v="Ford Motor Company"/>
    <s v="Ford"/>
    <s v="MUSTANG MACH-E AWD"/>
    <s v="All Wheel Drive"/>
    <x v="7"/>
    <n v="32"/>
    <n v="35"/>
    <n v="34"/>
    <n v="800"/>
    <n v="9"/>
    <n v="10"/>
    <n v="5500"/>
    <s v=""/>
    <n v="0"/>
    <n v="0"/>
    <n v="0"/>
    <n v="240"/>
    <n v="249"/>
    <n v="228"/>
    <n v="7.7"/>
    <s v=""/>
    <s v="1 and 242"/>
    <s v="Lithium Ion"/>
    <s v="Electrical Regen Brake"/>
  </r>
  <r>
    <n v="2025"/>
    <s v="Ford Motor Company"/>
    <s v="Ford"/>
    <s v="MUSTANG MACH-E RWD"/>
    <s v="2-Wheel Drive, Rear"/>
    <x v="6"/>
    <n v="111"/>
    <n v="103"/>
    <n v="107"/>
    <n v="750"/>
    <n v="9"/>
    <n v="10"/>
    <n v="5750"/>
    <s v=""/>
    <n v="0"/>
    <n v="0"/>
    <n v="0"/>
    <n v="260"/>
    <n v="269"/>
    <n v="249"/>
    <n v="7.8"/>
    <s v=""/>
    <s v="197"/>
    <s v="Lithium Ion"/>
    <s v="Electrical Regen Brake"/>
  </r>
  <r>
    <n v="2025"/>
    <s v="Ford Motor Company"/>
    <s v="Ford"/>
    <s v="MUSTANG MACH-E RWD"/>
    <s v="2-Wheel Drive, Rear"/>
    <x v="6"/>
    <n v="30"/>
    <n v="33"/>
    <n v="31"/>
    <n v="750"/>
    <n v="9"/>
    <n v="10"/>
    <n v="5750"/>
    <s v=""/>
    <n v="0"/>
    <n v="0"/>
    <n v="0"/>
    <n v="260"/>
    <n v="269"/>
    <n v="249"/>
    <n v="7.8"/>
    <s v=""/>
    <s v="197"/>
    <s v="Lithium Ion"/>
    <s v="Electrical Regen Brake"/>
  </r>
  <r>
    <n v="2025"/>
    <s v="Ford Motor Company"/>
    <s v="Ford"/>
    <s v="MUSTANG MACH-E RWD EXTENDED"/>
    <s v="2-Wheel Drive, Rear"/>
    <x v="6"/>
    <n v="115"/>
    <n v="104"/>
    <n v="110"/>
    <n v="750"/>
    <n v="9"/>
    <n v="10"/>
    <n v="5750"/>
    <s v=""/>
    <n v="0"/>
    <n v="0"/>
    <n v="0"/>
    <n v="320"/>
    <n v="335"/>
    <n v="302"/>
    <n v="9.6"/>
    <s v=""/>
    <s v="207"/>
    <s v="Lithium Ion"/>
    <s v="Electrical Regen Brake"/>
  </r>
  <r>
    <n v="2025"/>
    <s v="Ford Motor Company"/>
    <s v="Ford"/>
    <s v="MUSTANG MACH-E RWD EXTENDED"/>
    <s v="2-Wheel Drive, Rear"/>
    <x v="6"/>
    <n v="29"/>
    <n v="32"/>
    <n v="31"/>
    <n v="750"/>
    <n v="9"/>
    <n v="10"/>
    <n v="5750"/>
    <s v=""/>
    <n v="0"/>
    <n v="0"/>
    <n v="0"/>
    <n v="320"/>
    <n v="335"/>
    <n v="302"/>
    <n v="9.6"/>
    <s v=""/>
    <s v="207"/>
    <s v="Lithium Ion"/>
    <s v="Electrical Regen Brake"/>
  </r>
  <r>
    <n v="2025"/>
    <s v="Ford Motor Company"/>
    <s v="Ford"/>
    <s v="MUSTANG MACH-E RALLY"/>
    <s v="All Wheel Drive"/>
    <x v="7"/>
    <n v="90"/>
    <n v="81"/>
    <n v="86"/>
    <n v="950"/>
    <n v="9"/>
    <n v="10"/>
    <n v="4750"/>
    <s v=""/>
    <n v="0"/>
    <n v="0"/>
    <n v="0"/>
    <n v="265"/>
    <n v="278"/>
    <n v="250"/>
    <n v="10.199999999999999"/>
    <s v=""/>
    <s v="210"/>
    <s v="Lithium Ion"/>
    <s v="Electrical Regen Brake"/>
  </r>
  <r>
    <n v="2025"/>
    <s v="Ford Motor Company"/>
    <s v="Ford"/>
    <s v="MUSTANG MACH-E RALLY"/>
    <s v="All Wheel Drive"/>
    <x v="7"/>
    <n v="38"/>
    <n v="42"/>
    <n v="39"/>
    <n v="950"/>
    <n v="9"/>
    <n v="10"/>
    <n v="4750"/>
    <s v=""/>
    <n v="0"/>
    <n v="0"/>
    <n v="0"/>
    <n v="265"/>
    <n v="278"/>
    <n v="250"/>
    <n v="10.199999999999999"/>
    <s v=""/>
    <s v="210"/>
    <s v="Lithium Ion"/>
    <s v="Electrical Regen Brake"/>
  </r>
  <r>
    <n v="2025"/>
    <s v="Ford Motor Company"/>
    <s v="Ford"/>
    <s v="F150 LIGHTNING 4WD ER2"/>
    <s v="4-Wheel Drive"/>
    <x v="9"/>
    <n v="79"/>
    <n v="65"/>
    <n v="72"/>
    <n v="1150"/>
    <n v="9"/>
    <n v="10"/>
    <n v="3750"/>
    <s v=""/>
    <n v="0"/>
    <n v="0"/>
    <n v="0"/>
    <n v="300"/>
    <n v="326"/>
    <n v="268"/>
    <n v="13.7"/>
    <s v=""/>
    <s v="210 and 210"/>
    <s v="Lithium Ion"/>
    <s v="Electrical Regen Brake"/>
  </r>
  <r>
    <n v="2025"/>
    <s v="Ford Motor Company"/>
    <s v="Ford"/>
    <s v="F150 LIGHTNING 4WD ER2"/>
    <s v="4-Wheel Drive"/>
    <x v="9"/>
    <n v="43"/>
    <n v="52"/>
    <n v="47"/>
    <n v="1150"/>
    <n v="9"/>
    <n v="10"/>
    <n v="3750"/>
    <s v=""/>
    <n v="0"/>
    <n v="0"/>
    <n v="0"/>
    <n v="300"/>
    <n v="326"/>
    <n v="268"/>
    <n v="13.7"/>
    <s v=""/>
    <s v="210 and 210"/>
    <s v="Lithium Ion"/>
    <s v="Electrical Regen Brake"/>
  </r>
  <r>
    <n v="2025"/>
    <s v="Hyundai"/>
    <s v="GENESIS"/>
    <s v="GV60 RWD"/>
    <s v="2-Wheel Drive, Rear"/>
    <x v="6"/>
    <n v="125"/>
    <n v="99"/>
    <n v="112"/>
    <n v="700"/>
    <n v="9"/>
    <n v="10"/>
    <n v="6000"/>
    <s v=""/>
    <n v="0"/>
    <n v="0"/>
    <n v="0"/>
    <n v="294"/>
    <n v="324"/>
    <n v="257"/>
    <n v="7.2"/>
    <s v=""/>
    <s v="168"/>
    <s v="Lithium Ion"/>
    <s v="Electrical Regen Brake"/>
  </r>
  <r>
    <n v="2025"/>
    <s v="Hyundai"/>
    <s v="GENESIS"/>
    <s v="GV60 RWD"/>
    <s v="2-Wheel Drive, Rear"/>
    <x v="6"/>
    <n v="27"/>
    <n v="34"/>
    <n v="30"/>
    <n v="700"/>
    <n v="9"/>
    <n v="10"/>
    <n v="6000"/>
    <s v=""/>
    <n v="0"/>
    <n v="0"/>
    <n v="0"/>
    <n v="294"/>
    <n v="324"/>
    <n v="257"/>
    <n v="7.2"/>
    <s v=""/>
    <s v="168"/>
    <s v="Lithium Ion"/>
    <s v="Electrical Regen Brake"/>
  </r>
  <r>
    <n v="2025"/>
    <s v="Hyundai"/>
    <s v="GENESIS"/>
    <s v="GV60 AWD with 19''"/>
    <s v="All Wheel Drive"/>
    <x v="7"/>
    <n v="110"/>
    <n v="90"/>
    <n v="100"/>
    <n v="800"/>
    <n v="9"/>
    <n v="10"/>
    <n v="5500"/>
    <s v=""/>
    <n v="0"/>
    <n v="0"/>
    <n v="0"/>
    <n v="264"/>
    <n v="288"/>
    <n v="235"/>
    <n v="7.2"/>
    <s v=""/>
    <s v="74 and 160"/>
    <s v="Lithium Ion"/>
    <s v="Electrical Regen Brake"/>
  </r>
  <r>
    <n v="2025"/>
    <s v="Hyundai"/>
    <s v="GENESIS"/>
    <s v="GV60 AWD with 19''"/>
    <s v="All Wheel Drive"/>
    <x v="7"/>
    <n v="31"/>
    <n v="38"/>
    <n v="34"/>
    <n v="800"/>
    <n v="9"/>
    <n v="10"/>
    <n v="5500"/>
    <s v=""/>
    <n v="0"/>
    <n v="0"/>
    <n v="0"/>
    <n v="264"/>
    <n v="288"/>
    <n v="235"/>
    <n v="7.2"/>
    <s v=""/>
    <s v="74 and 160"/>
    <s v="Lithium Ion"/>
    <s v="Electrical Regen Brake"/>
  </r>
  <r>
    <n v="2025"/>
    <s v="Hyundai"/>
    <s v="GENESIS"/>
    <s v="GV60 AWD Advanced with 20''"/>
    <s v="All Wheel Drive"/>
    <x v="7"/>
    <n v="103"/>
    <n v="86"/>
    <n v="95"/>
    <n v="850"/>
    <n v="9"/>
    <n v="10"/>
    <n v="5250"/>
    <s v=""/>
    <n v="0"/>
    <n v="0"/>
    <n v="0"/>
    <n v="248"/>
    <n v="268"/>
    <n v="224"/>
    <n v="7.2"/>
    <s v=""/>
    <s v="74 and 160"/>
    <s v="Lithium Ion"/>
    <s v="Electrical Regen Brake"/>
  </r>
  <r>
    <n v="2025"/>
    <s v="Hyundai"/>
    <s v="GENESIS"/>
    <s v="GV60 AWD Advanced with 20''"/>
    <s v="All Wheel Drive"/>
    <x v="7"/>
    <n v="33"/>
    <n v="39"/>
    <n v="35"/>
    <n v="850"/>
    <n v="9"/>
    <n v="10"/>
    <n v="5250"/>
    <s v=""/>
    <n v="0"/>
    <n v="0"/>
    <n v="0"/>
    <n v="248"/>
    <n v="268"/>
    <n v="224"/>
    <n v="7.2"/>
    <s v=""/>
    <s v="74 and 160"/>
    <s v="Lithium Ion"/>
    <s v="Electrical Regen Brake"/>
  </r>
  <r>
    <n v="2025"/>
    <s v="Hyundai"/>
    <s v="GENESIS"/>
    <s v="GV60 AWD Performance"/>
    <s v="All Wheel Drive"/>
    <x v="7"/>
    <n v="97"/>
    <n v="82"/>
    <n v="90"/>
    <n v="900"/>
    <n v="9"/>
    <n v="10"/>
    <n v="5000"/>
    <s v=""/>
    <n v="0"/>
    <n v="0"/>
    <n v="0"/>
    <n v="235"/>
    <n v="252"/>
    <n v="215"/>
    <n v="7.2"/>
    <s v=""/>
    <s v="74 and 160"/>
    <s v="Lithium Ion"/>
    <s v="Electrical Regen Brake"/>
  </r>
  <r>
    <n v="2025"/>
    <s v="Hyundai"/>
    <s v="GENESIS"/>
    <s v="GV60 AWD Performance"/>
    <s v="All Wheel Drive"/>
    <x v="7"/>
    <n v="35"/>
    <n v="41"/>
    <n v="37"/>
    <n v="900"/>
    <n v="9"/>
    <n v="10"/>
    <n v="5000"/>
    <s v=""/>
    <n v="0"/>
    <n v="0"/>
    <n v="0"/>
    <n v="235"/>
    <n v="252"/>
    <n v="215"/>
    <n v="7.2"/>
    <s v=""/>
    <s v="74 and 160"/>
    <s v="Lithium Ion"/>
    <s v="Electrical Regen Brake"/>
  </r>
  <r>
    <n v="2025"/>
    <s v="Hyundai"/>
    <s v="GENESIS"/>
    <s v="Electrified G80"/>
    <s v="All Wheel Drive"/>
    <x v="11"/>
    <n v="105"/>
    <n v="89"/>
    <n v="97"/>
    <n v="850"/>
    <n v="9"/>
    <n v="10"/>
    <n v="5250"/>
    <s v=""/>
    <n v="0"/>
    <n v="0"/>
    <n v="0"/>
    <n v="282"/>
    <n v="304"/>
    <n v="256"/>
    <n v="9"/>
    <s v=""/>
    <s v="136 and 136"/>
    <s v="Lithium Ion"/>
    <s v="Electrical Regen Brake"/>
  </r>
  <r>
    <n v="2025"/>
    <s v="Hyundai"/>
    <s v="GENESIS"/>
    <s v="Electrified G80"/>
    <s v="All Wheel Drive"/>
    <x v="11"/>
    <n v="32"/>
    <n v="38"/>
    <n v="35"/>
    <n v="850"/>
    <n v="9"/>
    <n v="10"/>
    <n v="5250"/>
    <s v=""/>
    <n v="0"/>
    <n v="0"/>
    <n v="0"/>
    <n v="282"/>
    <n v="304"/>
    <n v="256"/>
    <n v="9"/>
    <s v=""/>
    <s v="136 and 136"/>
    <s v="Lithium Ion"/>
    <s v="Electrical Regen Brake"/>
  </r>
  <r>
    <n v="2025"/>
    <s v="Hyundai"/>
    <s v="GENESIS"/>
    <s v="Electrified GV70"/>
    <s v="All Wheel Drive"/>
    <x v="7"/>
    <n v="98"/>
    <n v="83"/>
    <n v="91"/>
    <n v="900"/>
    <n v="9"/>
    <n v="10"/>
    <n v="5000"/>
    <s v=""/>
    <n v="0"/>
    <n v="0"/>
    <n v="0"/>
    <n v="236"/>
    <n v="253"/>
    <n v="215"/>
    <n v="7.9"/>
    <s v=""/>
    <s v="74 and 160"/>
    <s v="Lithium Ion"/>
    <s v="Electrical Regen Brake"/>
  </r>
  <r>
    <n v="2025"/>
    <s v="Hyundai"/>
    <s v="GENESIS"/>
    <s v="Electrified GV70"/>
    <s v="All Wheel Drive"/>
    <x v="7"/>
    <n v="34"/>
    <n v="41"/>
    <n v="37"/>
    <n v="900"/>
    <n v="9"/>
    <n v="10"/>
    <n v="5000"/>
    <s v=""/>
    <n v="0"/>
    <n v="0"/>
    <n v="0"/>
    <n v="236"/>
    <n v="253"/>
    <n v="215"/>
    <n v="7.9"/>
    <s v=""/>
    <s v="74 and 160"/>
    <s v="Lithium Ion"/>
    <s v="Electrical Regen Brake"/>
  </r>
  <r>
    <n v="2025"/>
    <s v="General Motors"/>
    <s v="GMC"/>
    <s v="SIERRA EV"/>
    <s v="4-Wheel Drive"/>
    <x v="9"/>
    <n v="70"/>
    <n v="59"/>
    <n v="64"/>
    <n v="1250"/>
    <n v="8"/>
    <n v="10"/>
    <n v="3250"/>
    <s v=""/>
    <n v="0"/>
    <n v="0"/>
    <n v="0"/>
    <n v="390"/>
    <n v="419"/>
    <n v="354"/>
    <n v="11.5"/>
    <s v=""/>
    <s v="189 and 189"/>
    <s v="Lithium Ion"/>
    <s v="Electrical Regen Brake"/>
  </r>
  <r>
    <n v="2025"/>
    <s v="General Motors"/>
    <s v="GMC"/>
    <s v="SIERRA EV"/>
    <s v="4-Wheel Drive"/>
    <x v="9"/>
    <n v="48"/>
    <n v="57"/>
    <n v="52"/>
    <n v="1250"/>
    <n v="8"/>
    <n v="10"/>
    <n v="3250"/>
    <s v=""/>
    <n v="0"/>
    <n v="0"/>
    <n v="0"/>
    <n v="390"/>
    <n v="419"/>
    <n v="354"/>
    <n v="11.5"/>
    <s v=""/>
    <s v="189 and 189"/>
    <s v="Lithium Ion"/>
    <s v="Electrical Regen Brake"/>
  </r>
  <r>
    <n v="2025"/>
    <s v="General Motors"/>
    <s v="GMC"/>
    <s v="HUMMER EV SUV"/>
    <s v="All Wheel Drive"/>
    <x v="0"/>
    <n v="59"/>
    <n v="46"/>
    <n v="53"/>
    <n v="1550"/>
    <n v="8"/>
    <n v="10"/>
    <n v="1750"/>
    <s v=""/>
    <n v="0"/>
    <n v="0"/>
    <n v="0"/>
    <n v="315"/>
    <n v="349"/>
    <n v="274"/>
    <n v="11.2"/>
    <s v=""/>
    <s v="195 and 215"/>
    <s v="Lithium Ion"/>
    <s v="Electrical Regen Brake"/>
  </r>
  <r>
    <n v="2025"/>
    <s v="General Motors"/>
    <s v="GMC"/>
    <s v="HUMMER EV SUV"/>
    <s v="All Wheel Drive"/>
    <x v="0"/>
    <n v="57"/>
    <n v="73"/>
    <n v="64"/>
    <n v="1550"/>
    <n v="8"/>
    <n v="10"/>
    <n v="1750"/>
    <s v=""/>
    <n v="0"/>
    <n v="0"/>
    <n v="0"/>
    <n v="315"/>
    <n v="349"/>
    <n v="274"/>
    <n v="11.2"/>
    <s v=""/>
    <s v="195 and 215"/>
    <s v="Lithium Ion"/>
    <s v="Electrical Regen Brake"/>
  </r>
  <r>
    <n v="2025"/>
    <s v="General Motors"/>
    <s v="GMC"/>
    <s v="HUMMER EV PICKUP"/>
    <s v="All Wheel Drive"/>
    <x v="9"/>
    <n v="59"/>
    <n v="47"/>
    <n v="53"/>
    <n v="1550"/>
    <n v="8"/>
    <n v="10"/>
    <n v="1750"/>
    <s v=""/>
    <n v="0"/>
    <n v="0"/>
    <n v="0"/>
    <n v="318"/>
    <n v="351"/>
    <n v="278"/>
    <n v="11.2"/>
    <s v=""/>
    <s v="195 and 215"/>
    <s v="Lithium Ion"/>
    <s v="Electrical Regen Brake"/>
  </r>
  <r>
    <n v="2025"/>
    <s v="General Motors"/>
    <s v="GMC"/>
    <s v="HUMMER EV PICKUP"/>
    <s v="All Wheel Drive"/>
    <x v="9"/>
    <n v="57"/>
    <n v="72"/>
    <n v="64"/>
    <n v="1550"/>
    <n v="8"/>
    <n v="10"/>
    <n v="1750"/>
    <s v=""/>
    <n v="0"/>
    <n v="0"/>
    <n v="0"/>
    <n v="318"/>
    <n v="351"/>
    <n v="278"/>
    <n v="11.2"/>
    <s v=""/>
    <s v="195 and 215"/>
    <s v="Lithium Ion"/>
    <s v="Electrical Regen Brake"/>
  </r>
  <r>
    <n v="2025"/>
    <s v="General Motors"/>
    <s v="GMC"/>
    <s v="HUMMER EV SUV MT TIRES"/>
    <s v="All Wheel Drive"/>
    <x v="0"/>
    <n v="52"/>
    <n v="42"/>
    <n v="47"/>
    <n v="1700"/>
    <n v="8"/>
    <n v="10"/>
    <n v="1000"/>
    <s v=""/>
    <n v="0"/>
    <n v="0"/>
    <n v="0"/>
    <n v="282"/>
    <n v="307"/>
    <n v="251"/>
    <n v="11.2"/>
    <s v=""/>
    <s v="195 and 215"/>
    <s v="Lithium Ion"/>
    <s v="Electrical Regen Brake"/>
  </r>
  <r>
    <n v="2025"/>
    <s v="General Motors"/>
    <s v="GMC"/>
    <s v="HUMMER EV SUV MT TIRES"/>
    <s v="All Wheel Drive"/>
    <x v="0"/>
    <n v="65"/>
    <n v="80"/>
    <n v="72"/>
    <n v="1700"/>
    <n v="8"/>
    <n v="10"/>
    <n v="1000"/>
    <s v=""/>
    <n v="0"/>
    <n v="0"/>
    <n v="0"/>
    <n v="282"/>
    <n v="307"/>
    <n v="251"/>
    <n v="11.2"/>
    <s v=""/>
    <s v="195 and 215"/>
    <s v="Lithium Ion"/>
    <s v="Electrical Regen Brake"/>
  </r>
  <r>
    <n v="2025"/>
    <s v="General Motors"/>
    <s v="GMC"/>
    <s v="HUMMER EV PICKUP MT TIRES"/>
    <s v="All Wheel Drive"/>
    <x v="9"/>
    <n v="52"/>
    <n v="42"/>
    <n v="47"/>
    <n v="1700"/>
    <n v="8"/>
    <n v="10"/>
    <n v="1000"/>
    <s v=""/>
    <n v="0"/>
    <n v="0"/>
    <n v="0"/>
    <n v="282"/>
    <n v="307"/>
    <n v="251"/>
    <n v="11.2"/>
    <s v=""/>
    <s v="195 and 215"/>
    <s v="Lithium Ion"/>
    <s v="Electrical Regen Brake"/>
  </r>
  <r>
    <n v="2025"/>
    <s v="General Motors"/>
    <s v="GMC"/>
    <s v="HUMMER EV PICKUP MT TIRES"/>
    <s v="All Wheel Drive"/>
    <x v="9"/>
    <n v="65"/>
    <n v="80"/>
    <n v="72"/>
    <n v="1700"/>
    <n v="8"/>
    <n v="10"/>
    <n v="1000"/>
    <s v=""/>
    <n v="0"/>
    <n v="0"/>
    <n v="0"/>
    <n v="282"/>
    <n v="307"/>
    <n v="251"/>
    <n v="11.2"/>
    <s v=""/>
    <s v="195 and 215"/>
    <s v="Lithium Ion"/>
    <s v="Electrical Regen Brake"/>
  </r>
  <r>
    <n v="2025"/>
    <s v="General Motors"/>
    <s v="GMC"/>
    <s v="HUMMER EV SUV"/>
    <s v="All Wheel Drive"/>
    <x v="0"/>
    <n v="58"/>
    <n v="46"/>
    <n v="52"/>
    <n v="1550"/>
    <n v="8"/>
    <n v="10"/>
    <n v="1750"/>
    <s v=""/>
    <n v="0"/>
    <n v="0"/>
    <n v="0"/>
    <n v="312"/>
    <n v="343"/>
    <n v="274"/>
    <n v="11.2"/>
    <s v=""/>
    <s v="195, 195 and 215"/>
    <s v="Lithium Ion"/>
    <s v="Electrical Regen Brake"/>
  </r>
  <r>
    <n v="2025"/>
    <s v="General Motors"/>
    <s v="GMC"/>
    <s v="HUMMER EV SUV"/>
    <s v="All Wheel Drive"/>
    <x v="0"/>
    <n v="59"/>
    <n v="73"/>
    <n v="65"/>
    <n v="1550"/>
    <n v="8"/>
    <n v="10"/>
    <n v="1750"/>
    <s v=""/>
    <n v="0"/>
    <n v="0"/>
    <n v="0"/>
    <n v="312"/>
    <n v="343"/>
    <n v="274"/>
    <n v="11.2"/>
    <s v=""/>
    <s v="195, 195 and 215"/>
    <s v="Lithium Ion"/>
    <s v="Electrical Regen Brake"/>
  </r>
  <r>
    <n v="2025"/>
    <s v="General Motors"/>
    <s v="GMC"/>
    <s v="HUMMER EV PICKUP"/>
    <s v="All Wheel Drive"/>
    <x v="9"/>
    <n v="58"/>
    <n v="46"/>
    <n v="52"/>
    <n v="1550"/>
    <n v="8"/>
    <n v="10"/>
    <n v="1750"/>
    <s v=""/>
    <n v="0"/>
    <n v="0"/>
    <n v="0"/>
    <n v="312"/>
    <n v="343"/>
    <n v="274"/>
    <n v="11.2"/>
    <s v=""/>
    <s v="195, 195 and 195"/>
    <s v="Lithium Ion"/>
    <s v="Electrical Regen Brake"/>
  </r>
  <r>
    <n v="2025"/>
    <s v="General Motors"/>
    <s v="GMC"/>
    <s v="HUMMER EV PICKUP"/>
    <s v="All Wheel Drive"/>
    <x v="9"/>
    <n v="59"/>
    <n v="73"/>
    <n v="65"/>
    <n v="1550"/>
    <n v="8"/>
    <n v="10"/>
    <n v="1750"/>
    <s v=""/>
    <n v="0"/>
    <n v="0"/>
    <n v="0"/>
    <n v="312"/>
    <n v="343"/>
    <n v="274"/>
    <n v="11.2"/>
    <s v=""/>
    <s v="195, 195 and 195"/>
    <s v="Lithium Ion"/>
    <s v="Electrical Regen Brake"/>
  </r>
  <r>
    <n v="2025"/>
    <s v="General Motors"/>
    <s v="GMC"/>
    <s v="HUMMER EV SUV MT TIRES"/>
    <s v="All Wheel Drive"/>
    <x v="0"/>
    <n v="53"/>
    <n v="43"/>
    <n v="48"/>
    <n v="1700"/>
    <n v="8"/>
    <n v="10"/>
    <n v="1000"/>
    <s v=""/>
    <n v="0"/>
    <n v="0"/>
    <n v="0"/>
    <n v="289"/>
    <n v="314"/>
    <n v="258"/>
    <n v="11.2"/>
    <s v=""/>
    <s v="195, 195 and 215"/>
    <s v="Lithium Ion"/>
    <s v="Electrical Regen Brake"/>
  </r>
  <r>
    <n v="2025"/>
    <s v="General Motors"/>
    <s v="GMC"/>
    <s v="HUMMER EV SUV MT TIRES"/>
    <s v="All Wheel Drive"/>
    <x v="0"/>
    <n v="64"/>
    <n v="78"/>
    <n v="70"/>
    <n v="1700"/>
    <n v="8"/>
    <n v="10"/>
    <n v="1000"/>
    <s v=""/>
    <n v="0"/>
    <n v="0"/>
    <n v="0"/>
    <n v="289"/>
    <n v="314"/>
    <n v="258"/>
    <n v="11.2"/>
    <s v=""/>
    <s v="195, 195 and 215"/>
    <s v="Lithium Ion"/>
    <s v="Electrical Regen Brake"/>
  </r>
  <r>
    <n v="2025"/>
    <s v="General Motors"/>
    <s v="GMC"/>
    <s v="HUMMER EV PICKUP MT TIRES"/>
    <s v="All Wheel Drive"/>
    <x v="9"/>
    <n v="53"/>
    <n v="43"/>
    <n v="48"/>
    <n v="1700"/>
    <n v="8"/>
    <n v="10"/>
    <n v="1000"/>
    <s v=""/>
    <n v="0"/>
    <n v="0"/>
    <n v="0"/>
    <n v="289"/>
    <n v="314"/>
    <n v="258"/>
    <n v="11.2"/>
    <s v=""/>
    <s v="195 and 215"/>
    <s v="Lithium Ion"/>
    <s v="Electrical Regen Brake"/>
  </r>
  <r>
    <n v="2025"/>
    <s v="General Motors"/>
    <s v="GMC"/>
    <s v="HUMMER EV PICKUP MT TIRES"/>
    <s v="All Wheel Drive"/>
    <x v="9"/>
    <n v="64"/>
    <n v="78"/>
    <n v="70"/>
    <n v="1700"/>
    <n v="8"/>
    <n v="10"/>
    <n v="1000"/>
    <s v=""/>
    <n v="0"/>
    <n v="0"/>
    <n v="0"/>
    <n v="289"/>
    <n v="314"/>
    <n v="258"/>
    <n v="11.2"/>
    <s v=""/>
    <s v="195 and 215"/>
    <s v="Lithium Ion"/>
    <s v="Electrical Regen Brake"/>
  </r>
  <r>
    <n v="2025"/>
    <s v="Vinfast Trading and"/>
    <s v="Hai Phong manufacturing plant"/>
    <s v="VF 7 Plus"/>
    <s v="All Wheel Drive"/>
    <x v="12"/>
    <n v="80"/>
    <n v="71"/>
    <n v="76"/>
    <n v="1050"/>
    <n v="9"/>
    <n v="10"/>
    <n v="4250"/>
    <s v=""/>
    <n v="0"/>
    <n v="0"/>
    <n v="0"/>
    <n v="209"/>
    <n v="220"/>
    <n v="195"/>
    <n v="12"/>
    <s v=""/>
    <s v="260"/>
    <s v="Lithium Ion"/>
    <s v="Electrical Regen Brake"/>
  </r>
  <r>
    <n v="2025"/>
    <s v="Vinfast Trading and"/>
    <s v="Hai Phong manufacturing plant"/>
    <s v="VF 7 Plus"/>
    <s v="All Wheel Drive"/>
    <x v="12"/>
    <n v="42"/>
    <n v="47"/>
    <n v="44"/>
    <n v="1050"/>
    <n v="9"/>
    <n v="10"/>
    <n v="4250"/>
    <s v=""/>
    <n v="0"/>
    <n v="0"/>
    <n v="0"/>
    <n v="209"/>
    <n v="220"/>
    <n v="195"/>
    <n v="12"/>
    <s v=""/>
    <s v="260"/>
    <s v="Lithium Ion"/>
    <s v="Electrical Regen Brake"/>
  </r>
  <r>
    <n v="2025"/>
    <s v="Vinfast Trading and"/>
    <s v="Hai Phong manufacturing plant"/>
    <s v="VF 8 Plus"/>
    <s v="All Wheel Drive"/>
    <x v="12"/>
    <n v="46"/>
    <n v="42"/>
    <n v="44"/>
    <n v="1850"/>
    <n v="7"/>
    <n v="10"/>
    <n v="250"/>
    <s v=""/>
    <n v="0"/>
    <n v="0"/>
    <n v="0"/>
    <n v="235"/>
    <n v="245"/>
    <n v="222"/>
    <n v="12"/>
    <s v=""/>
    <s v="260 and 300"/>
    <s v="Lithium Ion"/>
    <s v="Electrical Regen Brake"/>
  </r>
  <r>
    <n v="2025"/>
    <s v="Vinfast Trading and"/>
    <s v="Hai Phong manufacturing plant"/>
    <s v="VF 8 Plus"/>
    <s v="All Wheel Drive"/>
    <x v="12"/>
    <n v="73"/>
    <n v="80"/>
    <n v="76"/>
    <n v="1850"/>
    <n v="7"/>
    <n v="10"/>
    <n v="250"/>
    <s v=""/>
    <n v="0"/>
    <n v="0"/>
    <n v="0"/>
    <n v="235"/>
    <n v="245"/>
    <n v="222"/>
    <n v="12"/>
    <s v=""/>
    <s v="260 and 300"/>
    <s v="Lithium Ion"/>
    <s v="Electrical Regen Brake"/>
  </r>
  <r>
    <n v="2025"/>
    <s v="Vinfast Trading and"/>
    <s v="Hai Phong manufacturing plant"/>
    <s v="VF 8 Eco"/>
    <s v="All Wheel Drive"/>
    <x v="12"/>
    <n v="77"/>
    <n v="69"/>
    <n v="73"/>
    <n v="1100"/>
    <n v="9"/>
    <n v="10"/>
    <n v="4000"/>
    <s v=""/>
    <n v="0"/>
    <n v="0"/>
    <n v="0"/>
    <n v="256"/>
    <n v="269"/>
    <n v="240"/>
    <n v="12"/>
    <s v=""/>
    <s v="260 and 300"/>
    <s v="Lithium Ion"/>
    <s v="Electrical Regen Brake"/>
  </r>
  <r>
    <n v="2025"/>
    <s v="Vinfast Trading and"/>
    <s v="Hai Phong manufacturing plant"/>
    <s v="VF 8 Eco"/>
    <s v="All Wheel Drive"/>
    <x v="12"/>
    <n v="44"/>
    <n v="49"/>
    <n v="46"/>
    <n v="1100"/>
    <n v="9"/>
    <n v="10"/>
    <n v="4000"/>
    <s v=""/>
    <n v="0"/>
    <n v="0"/>
    <n v="0"/>
    <n v="256"/>
    <n v="269"/>
    <n v="240"/>
    <n v="12"/>
    <s v=""/>
    <s v="260 and 300"/>
    <s v="Lithium Ion"/>
    <s v="Electrical Regen Brake"/>
  </r>
  <r>
    <n v="2025"/>
    <s v="Vinfast Trading and"/>
    <s v="Hai Phong manufacturing plant"/>
    <s v="VF 9 Plus"/>
    <s v="All Wheel Drive"/>
    <x v="12"/>
    <n v="70"/>
    <n v="65"/>
    <n v="68"/>
    <n v="1200"/>
    <n v="9"/>
    <n v="10"/>
    <n v="3500"/>
    <s v=""/>
    <n v="0"/>
    <n v="0"/>
    <n v="0"/>
    <n v="287"/>
    <n v="298"/>
    <n v="274"/>
    <n v="15"/>
    <s v=""/>
    <s v="260 and 300"/>
    <s v="Lithium Ion"/>
    <s v="Electrical Regen Brake"/>
  </r>
  <r>
    <n v="2025"/>
    <s v="Vinfast Trading and"/>
    <s v="Hai Phong manufacturing plant"/>
    <s v="VF 9 Plus"/>
    <s v="All Wheel Drive"/>
    <x v="12"/>
    <n v="48"/>
    <n v="52"/>
    <n v="50"/>
    <n v="1200"/>
    <n v="9"/>
    <n v="10"/>
    <n v="3500"/>
    <s v=""/>
    <n v="0"/>
    <n v="0"/>
    <n v="0"/>
    <n v="287"/>
    <n v="298"/>
    <n v="274"/>
    <n v="15"/>
    <s v=""/>
    <s v="260 and 300"/>
    <s v="Lithium Ion"/>
    <s v="Electrical Regen Brake"/>
  </r>
  <r>
    <n v="2025"/>
    <s v="Vinfast Trading and"/>
    <s v="Hai Phong manufacturing plant"/>
    <s v="VF 6 Plus"/>
    <s v="2-Wheel Drive, Front"/>
    <x v="13"/>
    <n v="88"/>
    <n v="82"/>
    <n v="85"/>
    <n v="950"/>
    <n v="9"/>
    <n v="10"/>
    <n v="4750"/>
    <s v=""/>
    <n v="0"/>
    <n v="0"/>
    <n v="0"/>
    <n v="176"/>
    <n v="182"/>
    <n v="168"/>
    <n v="7.24"/>
    <s v=""/>
    <s v="150"/>
    <s v="Lithium Ion"/>
    <s v="Electrical Regen Brake"/>
  </r>
  <r>
    <n v="2025"/>
    <s v="Vinfast Trading and"/>
    <s v="Hai Phong manufacturing plant"/>
    <s v="VF 6 Plus"/>
    <s v="2-Wheel Drive, Front"/>
    <x v="13"/>
    <n v="38"/>
    <n v="41"/>
    <n v="40"/>
    <n v="950"/>
    <n v="9"/>
    <n v="10"/>
    <n v="4750"/>
    <s v=""/>
    <n v="0"/>
    <n v="0"/>
    <n v="0"/>
    <n v="176"/>
    <n v="182"/>
    <n v="168"/>
    <n v="7.24"/>
    <s v=""/>
    <s v="150"/>
    <s v="Lithium Ion"/>
    <s v="Electrical Regen Brake"/>
  </r>
  <r>
    <n v="2025"/>
    <s v="Honda"/>
    <s v="Honda"/>
    <s v="Prologue FWD"/>
    <s v="2-Wheel Drive, Front"/>
    <x v="2"/>
    <n v="113"/>
    <n v="94"/>
    <n v="104"/>
    <n v="800"/>
    <n v="9"/>
    <n v="10"/>
    <n v="5500"/>
    <s v=""/>
    <n v="0"/>
    <n v="0"/>
    <n v="0"/>
    <n v="308"/>
    <n v="333"/>
    <n v="278"/>
    <n v="9.5"/>
    <s v=""/>
    <s v="180"/>
    <s v="Lithium Ion"/>
    <s v="Electrical Regen Brake"/>
  </r>
  <r>
    <n v="2025"/>
    <s v="Honda"/>
    <s v="Honda"/>
    <s v="Prologue FWD"/>
    <s v="2-Wheel Drive, Front"/>
    <x v="2"/>
    <n v="30"/>
    <n v="36"/>
    <n v="33"/>
    <n v="800"/>
    <n v="9"/>
    <n v="10"/>
    <n v="5500"/>
    <s v=""/>
    <n v="0"/>
    <n v="0"/>
    <n v="0"/>
    <n v="308"/>
    <n v="333"/>
    <n v="278"/>
    <n v="9.5"/>
    <s v=""/>
    <s v="180"/>
    <s v="Lithium Ion"/>
    <s v="Electrical Regen Brake"/>
  </r>
  <r>
    <n v="2025"/>
    <s v="Honda"/>
    <s v="Honda"/>
    <s v="Prologue AWD Touring"/>
    <s v="All Wheel Drive"/>
    <x v="0"/>
    <n v="108"/>
    <n v="90"/>
    <n v="99"/>
    <n v="800"/>
    <n v="9"/>
    <n v="10"/>
    <n v="5500"/>
    <s v=""/>
    <n v="0"/>
    <n v="0"/>
    <n v="0"/>
    <n v="294"/>
    <n v="318"/>
    <n v="265"/>
    <n v="9.5"/>
    <s v=""/>
    <s v="67 and 180"/>
    <s v="Lithium Ion"/>
    <s v="Electrical Regen Brake"/>
  </r>
  <r>
    <n v="2025"/>
    <s v="Honda"/>
    <s v="Honda"/>
    <s v="Prologue AWD Touring"/>
    <s v="All Wheel Drive"/>
    <x v="0"/>
    <n v="31"/>
    <n v="37"/>
    <n v="34"/>
    <n v="800"/>
    <n v="9"/>
    <n v="10"/>
    <n v="5500"/>
    <s v=""/>
    <n v="0"/>
    <n v="0"/>
    <n v="0"/>
    <n v="294"/>
    <n v="318"/>
    <n v="265"/>
    <n v="9.5"/>
    <s v=""/>
    <s v="67 and 180"/>
    <s v="Lithium Ion"/>
    <s v="Electrical Regen Brake"/>
  </r>
  <r>
    <n v="2025"/>
    <s v="Honda"/>
    <s v="Honda"/>
    <s v="Prologue AWD Elite"/>
    <s v="All Wheel Drive"/>
    <x v="0"/>
    <n v="104"/>
    <n v="87"/>
    <n v="95"/>
    <n v="850"/>
    <n v="9"/>
    <n v="10"/>
    <n v="5250"/>
    <s v=""/>
    <n v="0"/>
    <n v="0"/>
    <n v="0"/>
    <n v="283"/>
    <n v="306"/>
    <n v="255"/>
    <n v="9.5"/>
    <s v=""/>
    <s v="67 and 180"/>
    <s v="Lithium Ion"/>
    <s v="Electrical Regen Brake"/>
  </r>
  <r>
    <n v="2025"/>
    <s v="Honda"/>
    <s v="Honda"/>
    <s v="Prologue AWD Elite"/>
    <s v="All Wheel Drive"/>
    <x v="0"/>
    <n v="32"/>
    <n v="39"/>
    <n v="35"/>
    <n v="850"/>
    <n v="9"/>
    <n v="10"/>
    <n v="5250"/>
    <s v=""/>
    <n v="0"/>
    <n v="0"/>
    <n v="0"/>
    <n v="283"/>
    <n v="306"/>
    <n v="255"/>
    <n v="9.5"/>
    <s v=""/>
    <s v="67 and 180"/>
    <s v="Lithium Ion"/>
    <s v="Electrical Regen Brake"/>
  </r>
  <r>
    <n v="2025"/>
    <s v="Hyundai"/>
    <s v="HYUNDAI MOTOR COMPANY"/>
    <s v="Ioniq 5 AWD (19inch Wheels)"/>
    <s v="All Wheel Drive"/>
    <x v="7"/>
    <n v="116"/>
    <n v="96"/>
    <n v="106"/>
    <n v="750"/>
    <n v="9"/>
    <n v="10"/>
    <n v="5750"/>
    <s v=""/>
    <n v="0"/>
    <n v="0"/>
    <n v="0"/>
    <n v="290"/>
    <n v="314"/>
    <n v="261"/>
    <n v="8.1999999999999993"/>
    <s v=""/>
    <s v="74 and 165"/>
    <s v="Lithium Ion"/>
    <s v="Electrical Regen Brake"/>
  </r>
  <r>
    <n v="2025"/>
    <s v="Hyundai"/>
    <s v="HYUNDAI MOTOR COMPANY"/>
    <s v="Ioniq 5 AWD (19inch Wheels)"/>
    <s v="All Wheel Drive"/>
    <x v="7"/>
    <n v="29"/>
    <n v="35"/>
    <n v="32"/>
    <n v="750"/>
    <n v="9"/>
    <n v="10"/>
    <n v="5750"/>
    <s v=""/>
    <n v="0"/>
    <n v="0"/>
    <n v="0"/>
    <n v="290"/>
    <n v="314"/>
    <n v="261"/>
    <n v="8.1999999999999993"/>
    <s v=""/>
    <s v="74 and 165"/>
    <s v="Lithium Ion"/>
    <s v="Electrical Regen Brake"/>
  </r>
  <r>
    <n v="2025"/>
    <s v="Hyundai"/>
    <s v="HYUNDAI MOTOR COMPANY"/>
    <s v="Ioniq 5 RWD"/>
    <s v="2-Wheel Drive, Rear"/>
    <x v="6"/>
    <n v="129"/>
    <n v="100"/>
    <n v="114"/>
    <n v="700"/>
    <n v="9"/>
    <n v="10"/>
    <n v="6000"/>
    <s v=""/>
    <n v="0"/>
    <n v="0"/>
    <n v="0"/>
    <n v="318"/>
    <n v="356"/>
    <n v="272"/>
    <n v="9.1"/>
    <s v=""/>
    <s v="168"/>
    <s v="Lithium Ion"/>
    <s v="Electrical Regen Brake"/>
  </r>
  <r>
    <n v="2025"/>
    <s v="Hyundai"/>
    <s v="HYUNDAI MOTOR COMPANY"/>
    <s v="Ioniq 5 RWD"/>
    <s v="2-Wheel Drive, Rear"/>
    <x v="6"/>
    <n v="26"/>
    <n v="34"/>
    <n v="30"/>
    <n v="700"/>
    <n v="9"/>
    <n v="10"/>
    <n v="6000"/>
    <s v=""/>
    <n v="0"/>
    <n v="0"/>
    <n v="0"/>
    <n v="318"/>
    <n v="356"/>
    <n v="272"/>
    <n v="9.1"/>
    <s v=""/>
    <s v="168"/>
    <s v="Lithium Ion"/>
    <s v="Electrical Regen Brake"/>
  </r>
  <r>
    <n v="2025"/>
    <s v="Hyundai"/>
    <s v="HYUNDAI MOTOR COMPANY"/>
    <s v="Ioniq 5 Standard range"/>
    <s v="2-Wheel Drive, Rear"/>
    <x v="6"/>
    <n v="131"/>
    <n v="100"/>
    <n v="115"/>
    <n v="700"/>
    <n v="9"/>
    <n v="10"/>
    <n v="6000"/>
    <s v=""/>
    <n v="0"/>
    <n v="0"/>
    <n v="0"/>
    <n v="245"/>
    <n v="274"/>
    <n v="210"/>
    <n v="6.3"/>
    <s v=""/>
    <s v="125"/>
    <s v="Lithium Ion"/>
    <s v="Electrical Regen Brake"/>
  </r>
  <r>
    <n v="2025"/>
    <s v="Hyundai"/>
    <s v="HYUNDAI MOTOR COMPANY"/>
    <s v="Ioniq 5 Standard range"/>
    <s v="2-Wheel Drive, Rear"/>
    <x v="6"/>
    <n v="26"/>
    <n v="34"/>
    <n v="29"/>
    <n v="700"/>
    <n v="9"/>
    <n v="10"/>
    <n v="6000"/>
    <s v=""/>
    <n v="0"/>
    <n v="0"/>
    <n v="0"/>
    <n v="245"/>
    <n v="274"/>
    <n v="210"/>
    <n v="6.3"/>
    <s v=""/>
    <s v="125"/>
    <s v="Lithium Ion"/>
    <s v="Electrical Regen Brake"/>
  </r>
  <r>
    <n v="2025"/>
    <s v="Hyundai"/>
    <s v="HYUNDAI MOTOR COMPANY"/>
    <s v="Ioniq 6 Standard Range"/>
    <s v="2-Wheel Drive, Rear"/>
    <x v="11"/>
    <n v="151"/>
    <n v="120"/>
    <n v="135"/>
    <n v="600"/>
    <n v="10"/>
    <n v="10"/>
    <n v="6500"/>
    <s v=""/>
    <n v="0"/>
    <n v="0"/>
    <n v="0"/>
    <n v="240"/>
    <n v="267"/>
    <n v="207"/>
    <n v="6.1"/>
    <s v=""/>
    <s v="111"/>
    <s v="Lithium Ion"/>
    <s v="Electrical Regen Brake"/>
  </r>
  <r>
    <n v="2025"/>
    <s v="Hyundai"/>
    <s v="HYUNDAI MOTOR COMPANY"/>
    <s v="Ioniq 6 Standard Range"/>
    <s v="2-Wheel Drive, Rear"/>
    <x v="11"/>
    <n v="22"/>
    <n v="28"/>
    <n v="25"/>
    <n v="600"/>
    <n v="10"/>
    <n v="10"/>
    <n v="6500"/>
    <s v=""/>
    <n v="0"/>
    <n v="0"/>
    <n v="0"/>
    <n v="240"/>
    <n v="267"/>
    <n v="207"/>
    <n v="6.1"/>
    <s v=""/>
    <s v="111"/>
    <s v="Lithium Ion"/>
    <s v="Electrical Regen Brake"/>
  </r>
  <r>
    <n v="2025"/>
    <s v="Hyundai"/>
    <s v="HYUNDAI MOTOR COMPANY"/>
    <s v="IONIQ 6 RWD (18'' Wheels)"/>
    <s v="2-Wheel Drive, Rear"/>
    <x v="11"/>
    <n v="144"/>
    <n v="120"/>
    <n v="132"/>
    <n v="600"/>
    <n v="10"/>
    <n v="10"/>
    <n v="6500"/>
    <s v=""/>
    <n v="0"/>
    <n v="0"/>
    <n v="0"/>
    <n v="342"/>
    <n v="370"/>
    <n v="308"/>
    <n v="7.5"/>
    <s v=""/>
    <s v="168"/>
    <s v="Lithium Ion"/>
    <s v="Electrical Regen Brake"/>
  </r>
  <r>
    <n v="2025"/>
    <s v="Hyundai"/>
    <s v="HYUNDAI MOTOR COMPANY"/>
    <s v="IONIQ 6 RWD (18'' Wheels)"/>
    <s v="2-Wheel Drive, Rear"/>
    <x v="11"/>
    <n v="23"/>
    <n v="28"/>
    <n v="26"/>
    <n v="600"/>
    <n v="10"/>
    <n v="10"/>
    <n v="6500"/>
    <s v=""/>
    <n v="0"/>
    <n v="0"/>
    <n v="0"/>
    <n v="342"/>
    <n v="370"/>
    <n v="308"/>
    <n v="7.5"/>
    <s v=""/>
    <s v="168"/>
    <s v="Lithium Ion"/>
    <s v="Electrical Regen Brake"/>
  </r>
  <r>
    <n v="2025"/>
    <s v="Hyundai"/>
    <s v="HYUNDAI MOTOR COMPANY"/>
    <s v="IONIQ 6 RWD (20'' Wheels)"/>
    <s v="2-Wheel Drive, Rear"/>
    <x v="11"/>
    <n v="123"/>
    <n v="100"/>
    <n v="111"/>
    <n v="700"/>
    <n v="9"/>
    <n v="10"/>
    <n v="6000"/>
    <s v=""/>
    <n v="0"/>
    <n v="0"/>
    <n v="0"/>
    <n v="291"/>
    <n v="321"/>
    <n v="254"/>
    <n v="7.5"/>
    <s v=""/>
    <s v="168"/>
    <s v="Lithium Ion"/>
    <s v="Electrical Regen Brake"/>
  </r>
  <r>
    <n v="2025"/>
    <s v="Hyundai"/>
    <s v="HYUNDAI MOTOR COMPANY"/>
    <s v="IONIQ 6 RWD (20'' Wheels)"/>
    <s v="2-Wheel Drive, Rear"/>
    <x v="11"/>
    <n v="27"/>
    <n v="34"/>
    <n v="30"/>
    <n v="700"/>
    <n v="9"/>
    <n v="10"/>
    <n v="6000"/>
    <s v=""/>
    <n v="0"/>
    <n v="0"/>
    <n v="0"/>
    <n v="291"/>
    <n v="321"/>
    <n v="254"/>
    <n v="7.5"/>
    <s v=""/>
    <s v="168"/>
    <s v="Lithium Ion"/>
    <s v="Electrical Regen Brake"/>
  </r>
  <r>
    <n v="2025"/>
    <s v="Hyundai"/>
    <s v="HYUNDAI MOTOR COMPANY"/>
    <s v="IONIQ 6 AWD (18'' Wheels)"/>
    <s v="All Wheel Drive"/>
    <x v="11"/>
    <n v="130"/>
    <n v="111"/>
    <n v="121"/>
    <n v="650"/>
    <n v="10"/>
    <n v="10"/>
    <n v="6250"/>
    <s v=""/>
    <n v="0"/>
    <n v="0"/>
    <n v="0"/>
    <n v="316"/>
    <n v="334"/>
    <n v="294"/>
    <n v="7.5"/>
    <s v=""/>
    <s v="74 and 165"/>
    <s v="Lithium Ion"/>
    <s v="Electrical Regen Brake"/>
  </r>
  <r>
    <n v="2025"/>
    <s v="Hyundai"/>
    <s v="HYUNDAI MOTOR COMPANY"/>
    <s v="IONIQ 6 AWD (18'' Wheels)"/>
    <s v="All Wheel Drive"/>
    <x v="11"/>
    <n v="26"/>
    <n v="30"/>
    <n v="28"/>
    <n v="650"/>
    <n v="10"/>
    <n v="10"/>
    <n v="6250"/>
    <s v=""/>
    <n v="0"/>
    <n v="0"/>
    <n v="0"/>
    <n v="316"/>
    <n v="334"/>
    <n v="294"/>
    <n v="7.5"/>
    <s v=""/>
    <s v="74 and 165"/>
    <s v="Lithium Ion"/>
    <s v="Electrical Regen Brake"/>
  </r>
  <r>
    <n v="2025"/>
    <s v="Hyundai"/>
    <s v="HYUNDAI MOTOR COMPANY"/>
    <s v="IONIQ6 AWD (20'' Wheels)"/>
    <s v="All Wheel Drive"/>
    <x v="11"/>
    <n v="111"/>
    <n v="94"/>
    <n v="103"/>
    <n v="800"/>
    <n v="9"/>
    <n v="10"/>
    <n v="5500"/>
    <s v=""/>
    <n v="0"/>
    <n v="0"/>
    <n v="0"/>
    <n v="270"/>
    <n v="286"/>
    <n v="250"/>
    <n v="7.5"/>
    <s v=""/>
    <s v="74 and 165"/>
    <s v="Lithium Ion"/>
    <s v="Electrical Regen Brake"/>
  </r>
  <r>
    <n v="2025"/>
    <s v="Hyundai"/>
    <s v="HYUNDAI MOTOR COMPANY"/>
    <s v="IONIQ6 AWD (20'' Wheels)"/>
    <s v="All Wheel Drive"/>
    <x v="11"/>
    <n v="31"/>
    <n v="36"/>
    <n v="33"/>
    <n v="800"/>
    <n v="9"/>
    <n v="10"/>
    <n v="5500"/>
    <s v=""/>
    <n v="0"/>
    <n v="0"/>
    <n v="0"/>
    <n v="270"/>
    <n v="286"/>
    <n v="250"/>
    <n v="7.5"/>
    <s v=""/>
    <s v="74 and 165"/>
    <s v="Lithium Ion"/>
    <s v="Electrical Regen Brake"/>
  </r>
  <r>
    <n v="2025"/>
    <s v="Hyundai"/>
    <s v="HYUNDAI MOTOR COMPANY"/>
    <s v="Kona Electric Standard Range"/>
    <s v="2-Wheel Drive, Front"/>
    <x v="6"/>
    <n v="131"/>
    <n v="105"/>
    <n v="118"/>
    <n v="700"/>
    <n v="9"/>
    <n v="10"/>
    <n v="6000"/>
    <s v=""/>
    <n v="0"/>
    <n v="0"/>
    <n v="0"/>
    <n v="200"/>
    <n v="220"/>
    <n v="176"/>
    <n v="5.0999999999999996"/>
    <s v=""/>
    <s v="99"/>
    <s v="Lithium Ion"/>
    <s v="Electrical Regen Brake"/>
  </r>
  <r>
    <n v="2025"/>
    <s v="Hyundai"/>
    <s v="HYUNDAI MOTOR COMPANY"/>
    <s v="Kona Electric Standard Range"/>
    <s v="2-Wheel Drive, Front"/>
    <x v="6"/>
    <n v="26"/>
    <n v="32"/>
    <n v="29"/>
    <n v="700"/>
    <n v="9"/>
    <n v="10"/>
    <n v="6000"/>
    <s v=""/>
    <n v="0"/>
    <n v="0"/>
    <n v="0"/>
    <n v="200"/>
    <n v="220"/>
    <n v="176"/>
    <n v="5.0999999999999996"/>
    <s v=""/>
    <s v="99"/>
    <s v="Lithium Ion"/>
    <s v="Electrical Regen Brake"/>
  </r>
  <r>
    <n v="2025"/>
    <s v="Hyundai"/>
    <s v="HYUNDAI MOTOR COMPANY"/>
    <s v="Kona Electric (17inch Wheels)"/>
    <s v="2-Wheel Drive, Front"/>
    <x v="6"/>
    <n v="129"/>
    <n v="103"/>
    <n v="116"/>
    <n v="700"/>
    <n v="9"/>
    <n v="10"/>
    <n v="6000"/>
    <s v=""/>
    <n v="0"/>
    <n v="0"/>
    <n v="0"/>
    <n v="261"/>
    <n v="287"/>
    <n v="230"/>
    <n v="6.7"/>
    <s v=""/>
    <s v="150"/>
    <s v="Lithium Ion"/>
    <s v="Electrical Regen Brake"/>
  </r>
  <r>
    <n v="2025"/>
    <s v="Hyundai"/>
    <s v="HYUNDAI MOTOR COMPANY"/>
    <s v="Kona Electric (17inch Wheels)"/>
    <s v="2-Wheel Drive, Front"/>
    <x v="6"/>
    <n v="26"/>
    <n v="33"/>
    <n v="29"/>
    <n v="700"/>
    <n v="9"/>
    <n v="10"/>
    <n v="6000"/>
    <s v=""/>
    <n v="0"/>
    <n v="0"/>
    <n v="0"/>
    <n v="261"/>
    <n v="287"/>
    <n v="230"/>
    <n v="6.7"/>
    <s v=""/>
    <s v="150"/>
    <s v="Lithium Ion"/>
    <s v="Electrical Regen Brake"/>
  </r>
  <r>
    <n v="2025"/>
    <s v="Hyundai"/>
    <s v="HYUNDAI MOTOR COMPANY"/>
    <s v="Ioniq 5 N"/>
    <s v="All Wheel Drive"/>
    <x v="7"/>
    <n v="84"/>
    <n v="72"/>
    <n v="78"/>
    <n v="1050"/>
    <n v="9"/>
    <n v="10"/>
    <n v="4250"/>
    <s v=""/>
    <n v="0"/>
    <n v="0"/>
    <n v="0"/>
    <n v="221"/>
    <n v="237"/>
    <n v="202"/>
    <n v="8.6999999999999993"/>
    <s v=""/>
    <s v="166 and 282"/>
    <s v="Lithium Ion"/>
    <s v="Electrical Regen Brake"/>
  </r>
  <r>
    <n v="2025"/>
    <s v="Hyundai"/>
    <s v="HYUNDAI MOTOR COMPANY"/>
    <s v="Ioniq 5 N"/>
    <s v="All Wheel Drive"/>
    <x v="7"/>
    <n v="40"/>
    <n v="47"/>
    <n v="43"/>
    <n v="1050"/>
    <n v="9"/>
    <n v="10"/>
    <n v="4250"/>
    <s v=""/>
    <n v="0"/>
    <n v="0"/>
    <n v="0"/>
    <n v="221"/>
    <n v="237"/>
    <n v="202"/>
    <n v="8.6999999999999993"/>
    <s v=""/>
    <s v="166 and 282"/>
    <s v="Lithium Ion"/>
    <s v="Electrical Regen Brake"/>
  </r>
  <r>
    <n v="2025"/>
    <s v="Hyundai"/>
    <s v="HYUNDAI MOTOR COMPANY"/>
    <s v="Kona Electric (19inch Wheels)"/>
    <s v="2-Wheel Drive, Front"/>
    <x v="6"/>
    <n v="113"/>
    <n v="93"/>
    <n v="103"/>
    <n v="800"/>
    <n v="9"/>
    <n v="10"/>
    <n v="5500"/>
    <s v=""/>
    <n v="0"/>
    <n v="0"/>
    <n v="0"/>
    <n v="230"/>
    <n v="249"/>
    <n v="207"/>
    <n v="6.9"/>
    <s v=""/>
    <s v="150"/>
    <s v="Lithium Ion"/>
    <s v="Electrical Regen Brake"/>
  </r>
  <r>
    <n v="2025"/>
    <s v="Hyundai"/>
    <s v="HYUNDAI MOTOR COMPANY"/>
    <s v="Kona Electric (19inch Wheels)"/>
    <s v="2-Wheel Drive, Front"/>
    <x v="6"/>
    <n v="28"/>
    <n v="34"/>
    <n v="31"/>
    <n v="800"/>
    <n v="9"/>
    <n v="10"/>
    <n v="5500"/>
    <s v=""/>
    <n v="0"/>
    <n v="0"/>
    <n v="0"/>
    <n v="230"/>
    <n v="249"/>
    <n v="207"/>
    <n v="6.9"/>
    <s v=""/>
    <s v="150"/>
    <s v="Lithium Ion"/>
    <s v="Electrical Regen Brake"/>
  </r>
  <r>
    <n v="2025"/>
    <s v="Hyundai"/>
    <s v="HYUNDAI MOTOR COMPANY"/>
    <s v="Ioniq 5 Robo taxi"/>
    <s v="2-Wheel Drive, Rear"/>
    <x v="6"/>
    <n v="73"/>
    <n v="69"/>
    <n v="71"/>
    <n v="1150"/>
    <n v="9"/>
    <n v="10"/>
    <n v="3750"/>
    <s v=""/>
    <n v="0"/>
    <n v="0"/>
    <n v="0"/>
    <n v="168"/>
    <n v="172"/>
    <n v="163"/>
    <n v="10.3"/>
    <s v=""/>
    <s v="168"/>
    <s v="Lithium Ion"/>
    <s v="Electrical Regen Brake"/>
  </r>
  <r>
    <n v="2025"/>
    <s v="Hyundai"/>
    <s v="HYUNDAI MOTOR COMPANY"/>
    <s v="Ioniq 5 Robo taxi"/>
    <s v="2-Wheel Drive, Rear"/>
    <x v="6"/>
    <n v="46"/>
    <n v="49"/>
    <n v="48"/>
    <n v="1150"/>
    <n v="9"/>
    <n v="10"/>
    <n v="3750"/>
    <s v=""/>
    <n v="0"/>
    <n v="0"/>
    <n v="0"/>
    <n v="168"/>
    <n v="172"/>
    <n v="163"/>
    <n v="10.3"/>
    <s v=""/>
    <s v="168"/>
    <s v="Lithium Ion"/>
    <s v="Electrical Regen Brake"/>
  </r>
  <r>
    <n v="2025"/>
    <s v="Hyundai"/>
    <s v="HYUNDAI MOTOR COMPANY"/>
    <s v="Ioniq 5 AWD XRT"/>
    <s v="All Wheel Drive"/>
    <x v="7"/>
    <n v="103"/>
    <n v="85"/>
    <n v="94"/>
    <n v="850"/>
    <n v="9"/>
    <n v="10"/>
    <n v="5250"/>
    <s v=""/>
    <n v="0"/>
    <n v="0"/>
    <n v="0"/>
    <n v="259"/>
    <n v="281"/>
    <n v="232"/>
    <n v="8.1999999999999993"/>
    <s v=""/>
    <s v="74 and 165"/>
    <s v="Lithium Ion"/>
    <s v="Electrical Regen Brake"/>
  </r>
  <r>
    <n v="2025"/>
    <s v="Hyundai"/>
    <s v="HYUNDAI MOTOR COMPANY"/>
    <s v="Ioniq 5 AWD XRT"/>
    <s v="All Wheel Drive"/>
    <x v="7"/>
    <n v="33"/>
    <n v="40"/>
    <n v="36"/>
    <n v="850"/>
    <n v="9"/>
    <n v="10"/>
    <n v="5250"/>
    <s v=""/>
    <n v="0"/>
    <n v="0"/>
    <n v="0"/>
    <n v="259"/>
    <n v="281"/>
    <n v="232"/>
    <n v="8.1999999999999993"/>
    <s v=""/>
    <s v="74 and 165"/>
    <s v="Lithium Ion"/>
    <s v="Electrical Regen Brake"/>
  </r>
  <r>
    <n v="2025"/>
    <s v="Hyundai"/>
    <s v="HYUNDAI MOTOR COMPANY"/>
    <s v="Ioniq 5 AWD (20inch Wheels)"/>
    <s v="All Wheel Drive"/>
    <x v="7"/>
    <n v="108"/>
    <n v="88"/>
    <n v="98"/>
    <n v="850"/>
    <n v="9"/>
    <n v="10"/>
    <n v="5250"/>
    <s v=""/>
    <n v="0"/>
    <n v="0"/>
    <n v="0"/>
    <n v="269"/>
    <n v="294"/>
    <n v="238"/>
    <n v="8.1999999999999993"/>
    <s v=""/>
    <s v="74 and 165"/>
    <s v="Lithium Ion"/>
    <s v="Electrical Regen Brake"/>
  </r>
  <r>
    <n v="2025"/>
    <s v="Hyundai"/>
    <s v="HYUNDAI MOTOR COMPANY"/>
    <s v="Ioniq 5 AWD (20inch Wheels)"/>
    <s v="All Wheel Drive"/>
    <x v="7"/>
    <n v="31"/>
    <n v="39"/>
    <n v="34"/>
    <n v="850"/>
    <n v="9"/>
    <n v="10"/>
    <n v="5250"/>
    <s v=""/>
    <n v="0"/>
    <n v="0"/>
    <n v="0"/>
    <n v="269"/>
    <n v="294"/>
    <n v="238"/>
    <n v="8.1999999999999993"/>
    <s v=""/>
    <s v="74 and 165"/>
    <s v="Lithium Ion"/>
    <s v="Electrical Regen Brake"/>
  </r>
  <r>
    <n v="2025"/>
    <s v="FCA US LLC"/>
    <s v="Jeep"/>
    <s v="Wagoneer S AWD (Falken tire)"/>
    <s v="All Wheel Drive"/>
    <x v="0"/>
    <n v="100"/>
    <n v="85"/>
    <n v="93"/>
    <n v="850"/>
    <n v="9"/>
    <n v="10"/>
    <n v="5250"/>
    <s v=""/>
    <n v="0"/>
    <n v="0"/>
    <n v="0"/>
    <n v="294"/>
    <n v="315"/>
    <n v="268"/>
    <n v="9.9"/>
    <s v=""/>
    <s v="250"/>
    <s v="Lithium Ion"/>
    <s v="Electrical Regen Brake"/>
  </r>
  <r>
    <n v="2025"/>
    <s v="FCA US LLC"/>
    <s v="Jeep"/>
    <s v="Wagoneer S AWD (Falken tire)"/>
    <s v="All Wheel Drive"/>
    <x v="0"/>
    <n v="34"/>
    <n v="39"/>
    <n v="36"/>
    <n v="850"/>
    <n v="9"/>
    <n v="10"/>
    <n v="5250"/>
    <s v=""/>
    <n v="0"/>
    <n v="0"/>
    <n v="0"/>
    <n v="294"/>
    <n v="315"/>
    <n v="268"/>
    <n v="9.9"/>
    <s v=""/>
    <s v="250"/>
    <s v="Lithium Ion"/>
    <s v="Electrical Regen Brake"/>
  </r>
  <r>
    <n v="2025"/>
    <s v="FCA US LLC"/>
    <s v="Jeep"/>
    <s v="Wagoneer S AWD (Pirelli tire)"/>
    <s v="All Wheel Drive"/>
    <x v="0"/>
    <n v="90"/>
    <n v="76"/>
    <n v="83"/>
    <n v="1000"/>
    <n v="9"/>
    <n v="10"/>
    <n v="4500"/>
    <s v=""/>
    <n v="0"/>
    <n v="0"/>
    <n v="0"/>
    <n v="262"/>
    <n v="279"/>
    <n v="241"/>
    <n v="9.9"/>
    <s v=""/>
    <s v="250"/>
    <s v="Lithium Ion"/>
    <s v="Electrical Regen Brake"/>
  </r>
  <r>
    <n v="2025"/>
    <s v="FCA US LLC"/>
    <s v="Jeep"/>
    <s v="Wagoneer S AWD (Pirelli tire)"/>
    <s v="All Wheel Drive"/>
    <x v="0"/>
    <n v="38"/>
    <n v="44"/>
    <n v="41"/>
    <n v="1000"/>
    <n v="9"/>
    <n v="10"/>
    <n v="4500"/>
    <s v=""/>
    <n v="0"/>
    <n v="0"/>
    <n v="0"/>
    <n v="262"/>
    <n v="279"/>
    <n v="241"/>
    <n v="9.9"/>
    <s v=""/>
    <s v="250"/>
    <s v="Lithium Ion"/>
    <s v="Electrical Regen Brake"/>
  </r>
  <r>
    <n v="2025"/>
    <s v="Kia"/>
    <s v="KIA"/>
    <s v="Niro Electric"/>
    <s v="2-Wheel Drive, Front"/>
    <x v="6"/>
    <n v="126"/>
    <n v="101"/>
    <n v="113"/>
    <n v="700"/>
    <n v="9"/>
    <n v="10"/>
    <n v="6000"/>
    <s v=""/>
    <n v="0"/>
    <n v="0"/>
    <n v="0"/>
    <n v="253"/>
    <n v="275"/>
    <n v="226"/>
    <n v="7.5"/>
    <s v=""/>
    <s v="150"/>
    <s v="Lithium Ion"/>
    <s v="Electrical Regen Brake"/>
  </r>
  <r>
    <n v="2025"/>
    <s v="Kia"/>
    <s v="KIA"/>
    <s v="Niro Electric"/>
    <s v="2-Wheel Drive, Front"/>
    <x v="6"/>
    <n v="27"/>
    <n v="33"/>
    <n v="30"/>
    <n v="700"/>
    <n v="9"/>
    <n v="10"/>
    <n v="6000"/>
    <s v=""/>
    <n v="0"/>
    <n v="0"/>
    <n v="0"/>
    <n v="253"/>
    <n v="275"/>
    <n v="226"/>
    <n v="7.5"/>
    <s v=""/>
    <s v="150"/>
    <s v="Lithium Ion"/>
    <s v="Electrical Regen Brake"/>
  </r>
  <r>
    <n v="2025"/>
    <s v="Kia"/>
    <s v="KIA"/>
    <s v="EV6 AWD GT"/>
    <s v="All Wheel Drive"/>
    <x v="7"/>
    <n v="87"/>
    <n v="79"/>
    <n v="83"/>
    <n v="1000"/>
    <n v="9"/>
    <n v="10"/>
    <n v="4500"/>
    <s v=""/>
    <n v="0"/>
    <n v="0"/>
    <n v="0"/>
    <n v="231"/>
    <n v="241"/>
    <n v="219"/>
    <n v="8.6"/>
    <s v=""/>
    <s v="175 and 303"/>
    <s v="Lithium Ion"/>
    <s v="Electrical Regen Brake"/>
  </r>
  <r>
    <n v="2025"/>
    <s v="Kia"/>
    <s v="KIA"/>
    <s v="EV6 AWD GT"/>
    <s v="All Wheel Drive"/>
    <x v="7"/>
    <n v="38"/>
    <n v="42"/>
    <n v="40"/>
    <n v="1000"/>
    <n v="9"/>
    <n v="10"/>
    <n v="4500"/>
    <s v=""/>
    <n v="0"/>
    <n v="0"/>
    <n v="0"/>
    <n v="231"/>
    <n v="241"/>
    <n v="219"/>
    <n v="8.6"/>
    <s v=""/>
    <s v="175 and 303"/>
    <s v="Lithium Ion"/>
    <s v="Electrical Regen Brake"/>
  </r>
  <r>
    <n v="2025"/>
    <s v="Kia"/>
    <s v="KIA"/>
    <s v="EV6 Long Range AWD (19'' Wheels)"/>
    <s v="All Wheel Drive"/>
    <x v="7"/>
    <n v="117"/>
    <n v="95"/>
    <n v="106"/>
    <n v="750"/>
    <n v="9"/>
    <n v="10"/>
    <n v="5750"/>
    <s v=""/>
    <n v="0"/>
    <n v="0"/>
    <n v="0"/>
    <n v="295"/>
    <n v="316"/>
    <n v="269"/>
    <n v="8.8000000000000007"/>
    <s v=""/>
    <s v="74 and 165"/>
    <s v="Lithium Ion"/>
    <s v="Electrical Regen Brake"/>
  </r>
  <r>
    <n v="2025"/>
    <s v="Kia"/>
    <s v="KIA"/>
    <s v="EV6 Long Range AWD (19'' Wheels)"/>
    <s v="All Wheel Drive"/>
    <x v="7"/>
    <n v="29"/>
    <n v="35"/>
    <n v="32"/>
    <n v="750"/>
    <n v="9"/>
    <n v="10"/>
    <n v="5750"/>
    <s v=""/>
    <n v="0"/>
    <n v="0"/>
    <n v="0"/>
    <n v="295"/>
    <n v="316"/>
    <n v="269"/>
    <n v="8.8000000000000007"/>
    <s v=""/>
    <s v="74 and 165"/>
    <s v="Lithium Ion"/>
    <s v="Electrical Regen Brake"/>
  </r>
  <r>
    <n v="2025"/>
    <s v="Kia"/>
    <s v="KIA"/>
    <s v="EV6 Long Range AWD (20'' Wheels)"/>
    <s v="All Wheel Drive"/>
    <x v="7"/>
    <n v="106"/>
    <n v="89"/>
    <n v="97"/>
    <n v="850"/>
    <n v="9"/>
    <n v="10"/>
    <n v="5250"/>
    <s v=""/>
    <n v="0"/>
    <n v="0"/>
    <n v="0"/>
    <n v="270"/>
    <n v="292"/>
    <n v="243"/>
    <n v="8.9"/>
    <s v=""/>
    <s v="74 and 165"/>
    <s v="Lithium Ion"/>
    <s v="Electrical Regen Brake"/>
  </r>
  <r>
    <n v="2025"/>
    <s v="Kia"/>
    <s v="KIA"/>
    <s v="EV6 Long Range AWD (20'' Wheels)"/>
    <s v="All Wheel Drive"/>
    <x v="7"/>
    <n v="32"/>
    <n v="38"/>
    <n v="35"/>
    <n v="850"/>
    <n v="9"/>
    <n v="10"/>
    <n v="5250"/>
    <s v=""/>
    <n v="0"/>
    <n v="0"/>
    <n v="0"/>
    <n v="270"/>
    <n v="292"/>
    <n v="243"/>
    <n v="8.9"/>
    <s v=""/>
    <s v="74 and 165"/>
    <s v="Lithium Ion"/>
    <s v="Electrical Regen Brake"/>
  </r>
  <r>
    <n v="2025"/>
    <s v="Kia"/>
    <s v="KIA"/>
    <s v="EV6 Standard Range RWD"/>
    <s v="2-Wheel Drive, Rear"/>
    <x v="6"/>
    <n v="128"/>
    <n v="103"/>
    <n v="115"/>
    <n v="700"/>
    <n v="9"/>
    <n v="10"/>
    <n v="6000"/>
    <s v=""/>
    <n v="0"/>
    <n v="0"/>
    <n v="0"/>
    <n v="237"/>
    <n v="260"/>
    <n v="209"/>
    <n v="6.2"/>
    <s v=""/>
    <s v="125"/>
    <s v="Lithium Ion"/>
    <s v="Electrical Regen Brake"/>
  </r>
  <r>
    <n v="2025"/>
    <s v="Kia"/>
    <s v="KIA"/>
    <s v="EV6 Standard Range RWD"/>
    <s v="2-Wheel Drive, Rear"/>
    <x v="6"/>
    <n v="26"/>
    <n v="33"/>
    <n v="29"/>
    <n v="700"/>
    <n v="9"/>
    <n v="10"/>
    <n v="6000"/>
    <s v=""/>
    <n v="0"/>
    <n v="0"/>
    <n v="0"/>
    <n v="237"/>
    <n v="260"/>
    <n v="209"/>
    <n v="6.2"/>
    <s v=""/>
    <s v="125"/>
    <s v="Lithium Ion"/>
    <s v="Electrical Regen Brake"/>
  </r>
  <r>
    <n v="2025"/>
    <s v="Kia"/>
    <s v="KIA"/>
    <s v="EV6 Long Range RWD"/>
    <s v="2-Wheel Drive, Rear"/>
    <x v="6"/>
    <n v="128"/>
    <n v="101"/>
    <n v="114"/>
    <n v="700"/>
    <n v="9"/>
    <n v="10"/>
    <n v="6000"/>
    <s v=""/>
    <n v="0"/>
    <n v="0"/>
    <n v="0"/>
    <n v="319"/>
    <n v="352"/>
    <n v="278"/>
    <n v="9"/>
    <s v=""/>
    <s v="168"/>
    <s v="Lithium Ion"/>
    <s v="Electrical Regen Brake"/>
  </r>
  <r>
    <n v="2025"/>
    <s v="Kia"/>
    <s v="KIA"/>
    <s v="EV6 Long Range RWD"/>
    <s v="2-Wheel Drive, Rear"/>
    <x v="6"/>
    <n v="26"/>
    <n v="33"/>
    <n v="30"/>
    <n v="700"/>
    <n v="9"/>
    <n v="10"/>
    <n v="6000"/>
    <s v=""/>
    <n v="0"/>
    <n v="0"/>
    <n v="0"/>
    <n v="319"/>
    <n v="352"/>
    <n v="278"/>
    <n v="9"/>
    <s v=""/>
    <s v="168"/>
    <s v="Lithium Ion"/>
    <s v="Electrical Regen Brake"/>
  </r>
  <r>
    <n v="2025"/>
    <s v="Kia"/>
    <s v="KIA"/>
    <s v="EV9 Standard Range RWD"/>
    <s v="2-Wheel Drive, Rear"/>
    <x v="2"/>
    <n v="99"/>
    <n v="77"/>
    <n v="88"/>
    <n v="900"/>
    <n v="9"/>
    <n v="10"/>
    <n v="5000"/>
    <s v=""/>
    <n v="0"/>
    <n v="0"/>
    <n v="0"/>
    <n v="230"/>
    <n v="256"/>
    <n v="198"/>
    <n v="11.4"/>
    <s v=""/>
    <s v="160"/>
    <s v="Lithium Ion"/>
    <s v="Electrical Regen Brake"/>
  </r>
  <r>
    <n v="2025"/>
    <s v="Kia"/>
    <s v="KIA"/>
    <s v="EV9 Standard Range RWD"/>
    <s v="2-Wheel Drive, Rear"/>
    <x v="2"/>
    <n v="34"/>
    <n v="44"/>
    <n v="38"/>
    <n v="900"/>
    <n v="9"/>
    <n v="10"/>
    <n v="5000"/>
    <s v=""/>
    <n v="0"/>
    <n v="0"/>
    <n v="0"/>
    <n v="230"/>
    <n v="256"/>
    <n v="198"/>
    <n v="11.4"/>
    <s v=""/>
    <s v="160"/>
    <s v="Lithium Ion"/>
    <s v="Electrical Regen Brake"/>
  </r>
  <r>
    <n v="2025"/>
    <s v="Kia"/>
    <s v="KIA"/>
    <s v="EV9 Long Range RWD"/>
    <s v="2-Wheel Drive, Rear"/>
    <x v="2"/>
    <n v="100"/>
    <n v="78"/>
    <n v="89"/>
    <n v="900"/>
    <n v="9"/>
    <n v="10"/>
    <n v="5000"/>
    <s v=""/>
    <n v="0"/>
    <n v="0"/>
    <n v="0"/>
    <n v="304"/>
    <n v="336"/>
    <n v="265"/>
    <n v="15.2"/>
    <s v=""/>
    <s v="160"/>
    <s v="Lithium Ion"/>
    <s v="Electrical Regen Brake"/>
  </r>
  <r>
    <n v="2025"/>
    <s v="Kia"/>
    <s v="KIA"/>
    <s v="EV9 Long Range RWD"/>
    <s v="2-Wheel Drive, Rear"/>
    <x v="2"/>
    <n v="34"/>
    <n v="43"/>
    <n v="38"/>
    <n v="900"/>
    <n v="9"/>
    <n v="10"/>
    <n v="5000"/>
    <s v=""/>
    <n v="0"/>
    <n v="0"/>
    <n v="0"/>
    <n v="304"/>
    <n v="336"/>
    <n v="265"/>
    <n v="15.2"/>
    <s v=""/>
    <s v="160"/>
    <s v="Lithium Ion"/>
    <s v="Electrical Regen Brake"/>
  </r>
  <r>
    <n v="2025"/>
    <s v="Kia"/>
    <s v="KIA"/>
    <s v="EV9 Long Range AWD"/>
    <s v="All Wheel Drive"/>
    <x v="0"/>
    <n v="91"/>
    <n v="75"/>
    <n v="83"/>
    <n v="1000"/>
    <n v="9"/>
    <n v="10"/>
    <n v="4500"/>
    <s v=""/>
    <n v="0"/>
    <n v="0"/>
    <n v="0"/>
    <n v="280"/>
    <n v="304"/>
    <n v="250"/>
    <n v="14.5"/>
    <s v=""/>
    <s v="141 and 141"/>
    <s v="Lithium Ion"/>
    <s v="Electrical Regen Brake"/>
  </r>
  <r>
    <n v="2025"/>
    <s v="Kia"/>
    <s v="KIA"/>
    <s v="EV9 Long Range AWD"/>
    <s v="All Wheel Drive"/>
    <x v="0"/>
    <n v="37"/>
    <n v="45"/>
    <n v="41"/>
    <n v="1000"/>
    <n v="9"/>
    <n v="10"/>
    <n v="4500"/>
    <s v=""/>
    <n v="0"/>
    <n v="0"/>
    <n v="0"/>
    <n v="280"/>
    <n v="304"/>
    <n v="250"/>
    <n v="14.5"/>
    <s v=""/>
    <s v="141 and 141"/>
    <s v="Lithium Ion"/>
    <s v="Electrical Regen Brake"/>
  </r>
  <r>
    <n v="2025"/>
    <s v="Kia"/>
    <s v="KIA"/>
    <s v="EV9 Long Range AWD GT-Line"/>
    <s v="All Wheel Drive"/>
    <x v="0"/>
    <n v="88"/>
    <n v="72"/>
    <n v="80"/>
    <n v="1000"/>
    <n v="9"/>
    <n v="10"/>
    <n v="4500"/>
    <s v=""/>
    <n v="0"/>
    <n v="0"/>
    <n v="0"/>
    <n v="270"/>
    <n v="295"/>
    <n v="239"/>
    <n v="15.2"/>
    <s v=""/>
    <s v="141 and 141"/>
    <s v="Lithium Ion"/>
    <s v="Electrical Regen Brake"/>
  </r>
  <r>
    <n v="2025"/>
    <s v="Kia"/>
    <s v="KIA"/>
    <s v="EV9 Long Range AWD GT-Line"/>
    <s v="All Wheel Drive"/>
    <x v="0"/>
    <n v="38"/>
    <n v="47"/>
    <n v="42"/>
    <n v="1000"/>
    <n v="9"/>
    <n v="10"/>
    <n v="4500"/>
    <s v=""/>
    <n v="0"/>
    <n v="0"/>
    <n v="0"/>
    <n v="270"/>
    <n v="295"/>
    <n v="239"/>
    <n v="15.2"/>
    <s v=""/>
    <s v="141 and 141"/>
    <s v="Lithium Ion"/>
    <s v="Electrical Regen Brake"/>
  </r>
  <r>
    <n v="2025"/>
    <s v="Toyota"/>
    <s v="LEXUS"/>
    <s v="RZ 300e (18inch Wheels)"/>
    <s v="2-Wheel Drive, Front"/>
    <x v="6"/>
    <n v="137"/>
    <n v="112"/>
    <n v="125"/>
    <n v="650"/>
    <n v="10"/>
    <n v="10"/>
    <n v="6250"/>
    <s v=""/>
    <n v="0"/>
    <n v="0"/>
    <n v="0"/>
    <n v="266"/>
    <n v="287"/>
    <n v="241"/>
    <n v="11"/>
    <s v=""/>
    <s v="150"/>
    <s v="Lithium Ion"/>
    <s v="Electrical Regen Brake"/>
  </r>
  <r>
    <n v="2025"/>
    <s v="Toyota"/>
    <s v="LEXUS"/>
    <s v="RZ 300e (18inch Wheels)"/>
    <s v="2-Wheel Drive, Front"/>
    <x v="6"/>
    <n v="24"/>
    <n v="30"/>
    <n v="27"/>
    <n v="650"/>
    <n v="10"/>
    <n v="10"/>
    <n v="6250"/>
    <s v=""/>
    <n v="0"/>
    <n v="0"/>
    <n v="0"/>
    <n v="266"/>
    <n v="287"/>
    <n v="241"/>
    <n v="11"/>
    <s v=""/>
    <s v="150"/>
    <s v="Lithium Ion"/>
    <s v="Electrical Regen Brake"/>
  </r>
  <r>
    <n v="2025"/>
    <s v="Toyota"/>
    <s v="LEXUS"/>
    <s v="RZ 450e AWD (18inch Wheels)"/>
    <s v="All Wheel Drive"/>
    <x v="7"/>
    <n v="115"/>
    <n v="98"/>
    <n v="107"/>
    <n v="750"/>
    <n v="9"/>
    <n v="10"/>
    <n v="5750"/>
    <s v=""/>
    <n v="0"/>
    <n v="0"/>
    <n v="0"/>
    <n v="220"/>
    <n v="236"/>
    <n v="200"/>
    <n v="10"/>
    <s v=""/>
    <s v="80 and 150"/>
    <s v="Lithium Ion"/>
    <s v="Electrical Regen Brake"/>
  </r>
  <r>
    <n v="2025"/>
    <s v="Toyota"/>
    <s v="LEXUS"/>
    <s v="RZ 450e AWD (18inch Wheels)"/>
    <s v="All Wheel Drive"/>
    <x v="7"/>
    <n v="29"/>
    <n v="34"/>
    <n v="31"/>
    <n v="750"/>
    <n v="9"/>
    <n v="10"/>
    <n v="5750"/>
    <s v=""/>
    <n v="0"/>
    <n v="0"/>
    <n v="0"/>
    <n v="220"/>
    <n v="236"/>
    <n v="200"/>
    <n v="10"/>
    <s v=""/>
    <s v="80 and 150"/>
    <s v="Lithium Ion"/>
    <s v="Electrical Regen Brake"/>
  </r>
  <r>
    <n v="2025"/>
    <s v="Toyota"/>
    <s v="LEXUS"/>
    <s v="RZ 300e (20inch Wheels)"/>
    <s v="2-Wheel Drive, Front"/>
    <x v="6"/>
    <n v="114"/>
    <n v="96"/>
    <n v="105"/>
    <n v="750"/>
    <n v="9"/>
    <n v="10"/>
    <n v="5750"/>
    <s v=""/>
    <n v="0"/>
    <n v="0"/>
    <n v="0"/>
    <n v="224"/>
    <n v="242"/>
    <n v="202"/>
    <n v="11"/>
    <s v=""/>
    <s v="150"/>
    <s v="Lithium Ion"/>
    <s v="Electrical Regen Brake"/>
  </r>
  <r>
    <n v="2025"/>
    <s v="Toyota"/>
    <s v="LEXUS"/>
    <s v="RZ 300e (20inch Wheels)"/>
    <s v="2-Wheel Drive, Front"/>
    <x v="6"/>
    <n v="29"/>
    <n v="35"/>
    <n v="31"/>
    <n v="750"/>
    <n v="9"/>
    <n v="10"/>
    <n v="5750"/>
    <s v=""/>
    <n v="0"/>
    <n v="0"/>
    <n v="0"/>
    <n v="224"/>
    <n v="242"/>
    <n v="202"/>
    <n v="11"/>
    <s v=""/>
    <s v="150"/>
    <s v="Lithium Ion"/>
    <s v="Electrical Regen Brake"/>
  </r>
  <r>
    <n v="2025"/>
    <s v="Toyota"/>
    <s v="LEXUS"/>
    <s v="RZ 450e AWD (20inch Wheels)"/>
    <s v="All Wheel Drive"/>
    <x v="7"/>
    <n v="102"/>
    <n v="87"/>
    <n v="95"/>
    <n v="850"/>
    <n v="9"/>
    <n v="10"/>
    <n v="5250"/>
    <s v=""/>
    <n v="0"/>
    <n v="0"/>
    <n v="0"/>
    <n v="196"/>
    <n v="211"/>
    <n v="178"/>
    <n v="10"/>
    <s v=""/>
    <s v="80 and 150"/>
    <s v="Lithium Ion"/>
    <s v="Electrical Regen Brake"/>
  </r>
  <r>
    <n v="2025"/>
    <s v="Toyota"/>
    <s v="LEXUS"/>
    <s v="RZ 450e AWD (20inch Wheels)"/>
    <s v="All Wheel Drive"/>
    <x v="7"/>
    <n v="32"/>
    <n v="38"/>
    <n v="35"/>
    <n v="850"/>
    <n v="9"/>
    <n v="10"/>
    <n v="5250"/>
    <s v=""/>
    <n v="0"/>
    <n v="0"/>
    <n v="0"/>
    <n v="196"/>
    <n v="211"/>
    <n v="178"/>
    <n v="10"/>
    <s v=""/>
    <s v="80 and 150"/>
    <s v="Lithium Ion"/>
    <s v="Electrical Regen Brake"/>
  </r>
  <r>
    <n v="2025"/>
    <s v="Lucid USA, Inc"/>
    <s v="Lucid"/>
    <s v="Air G Touring XR AWD w/19&quot; wheels"/>
    <s v="All Wheel Drive"/>
    <x v="4"/>
    <n v="129"/>
    <n v="126"/>
    <n v="128"/>
    <n v="650"/>
    <n v="10"/>
    <n v="10"/>
    <n v="6250"/>
    <s v=""/>
    <n v="0"/>
    <n v="0"/>
    <n v="0"/>
    <n v="512"/>
    <n v="516"/>
    <n v="507"/>
    <n v="13"/>
    <s v=""/>
    <s v="178 and 433"/>
    <s v="Lithium Ion"/>
    <s v="Electrical Regen Brake"/>
  </r>
  <r>
    <n v="2025"/>
    <s v="Lucid USA, Inc"/>
    <s v="Lucid"/>
    <s v="Air G Touring XR AWD w/19&quot; wheels"/>
    <s v="All Wheel Drive"/>
    <x v="4"/>
    <n v="26"/>
    <n v="27"/>
    <n v="26"/>
    <n v="650"/>
    <n v="10"/>
    <n v="10"/>
    <n v="6250"/>
    <s v=""/>
    <n v="0"/>
    <n v="0"/>
    <n v="0"/>
    <n v="512"/>
    <n v="516"/>
    <n v="507"/>
    <n v="13"/>
    <s v=""/>
    <s v="178 and 433"/>
    <s v="Lithium Ion"/>
    <s v="Electrical Regen Brake"/>
  </r>
  <r>
    <n v="2025"/>
    <s v="Lucid USA, Inc"/>
    <s v="Lucid"/>
    <s v="Air G Touring XR AWD w/20&quot; wheels"/>
    <s v="All Wheel Drive"/>
    <x v="4"/>
    <n v="122"/>
    <n v="117"/>
    <n v="120"/>
    <n v="700"/>
    <n v="10"/>
    <n v="10"/>
    <n v="6000"/>
    <s v=""/>
    <n v="0"/>
    <n v="0"/>
    <n v="0"/>
    <n v="480"/>
    <n v="488"/>
    <n v="470"/>
    <n v="13"/>
    <s v=""/>
    <s v="178 and 433"/>
    <s v="Lithium Ion"/>
    <s v="Electrical Regen Brake"/>
  </r>
  <r>
    <n v="2025"/>
    <s v="Lucid USA, Inc"/>
    <s v="Lucid"/>
    <s v="Air G Touring XR AWD w/20&quot; wheels"/>
    <s v="All Wheel Drive"/>
    <x v="4"/>
    <n v="28"/>
    <n v="29"/>
    <n v="28"/>
    <n v="700"/>
    <n v="10"/>
    <n v="10"/>
    <n v="6000"/>
    <s v=""/>
    <n v="0"/>
    <n v="0"/>
    <n v="0"/>
    <n v="480"/>
    <n v="488"/>
    <n v="470"/>
    <n v="13"/>
    <s v=""/>
    <s v="178 and 433"/>
    <s v="Lithium Ion"/>
    <s v="Electrical Regen Brake"/>
  </r>
  <r>
    <n v="2025"/>
    <s v="Lucid USA, Inc"/>
    <s v="Lucid"/>
    <s v="Air G Touring XR AWD w/21&quot; wheels"/>
    <s v="All Wheel Drive"/>
    <x v="4"/>
    <n v="114"/>
    <n v="109"/>
    <n v="112"/>
    <n v="700"/>
    <n v="10"/>
    <n v="10"/>
    <n v="6000"/>
    <s v=""/>
    <n v="0"/>
    <n v="0"/>
    <n v="0"/>
    <n v="446"/>
    <n v="454"/>
    <n v="436"/>
    <n v="13"/>
    <s v=""/>
    <s v="178 and 433"/>
    <s v="Lithium Ion"/>
    <s v="Electrical Regen Brake"/>
  </r>
  <r>
    <n v="2025"/>
    <s v="Lucid USA, Inc"/>
    <s v="Lucid"/>
    <s v="Air G Touring XR AWD w/21&quot; wheels"/>
    <s v="All Wheel Drive"/>
    <x v="4"/>
    <n v="30"/>
    <n v="31"/>
    <n v="30"/>
    <n v="700"/>
    <n v="10"/>
    <n v="10"/>
    <n v="6000"/>
    <s v=""/>
    <n v="0"/>
    <n v="0"/>
    <n v="0"/>
    <n v="446"/>
    <n v="454"/>
    <n v="436"/>
    <n v="13"/>
    <s v=""/>
    <s v="178 and 433"/>
    <s v="Lithium Ion"/>
    <s v="Electrical Regen Brake"/>
  </r>
  <r>
    <n v="2025"/>
    <s v="Lucid USA, Inc"/>
    <s v="Lucid"/>
    <s v="Air Touring AWD w/19&quot; wheels"/>
    <s v="All Wheel Drive"/>
    <x v="4"/>
    <n v="133"/>
    <n v="130"/>
    <n v="132"/>
    <n v="600"/>
    <n v="10"/>
    <n v="10"/>
    <n v="6500"/>
    <s v=""/>
    <n v="0"/>
    <n v="0"/>
    <n v="0"/>
    <n v="406"/>
    <n v="411"/>
    <n v="400"/>
    <n v="10"/>
    <s v=""/>
    <s v="178 and 433"/>
    <s v="Lithium Ion"/>
    <s v="Electrical Regen Brake"/>
  </r>
  <r>
    <n v="2025"/>
    <s v="Lucid USA, Inc"/>
    <s v="Lucid"/>
    <s v="Air Touring AWD w/19&quot; wheels"/>
    <s v="All Wheel Drive"/>
    <x v="4"/>
    <n v="25"/>
    <n v="26"/>
    <n v="26"/>
    <n v="600"/>
    <n v="10"/>
    <n v="10"/>
    <n v="6500"/>
    <s v=""/>
    <n v="0"/>
    <n v="0"/>
    <n v="0"/>
    <n v="406"/>
    <n v="411"/>
    <n v="400"/>
    <n v="10"/>
    <s v=""/>
    <s v="178 and 433"/>
    <s v="Lithium Ion"/>
    <s v="Electrical Regen Brake"/>
  </r>
  <r>
    <n v="2025"/>
    <s v="Lucid USA, Inc"/>
    <s v="Lucid"/>
    <s v="Air Touring AWD w/20&quot; wheels"/>
    <s v="All Wheel Drive"/>
    <x v="4"/>
    <n v="124"/>
    <n v="119"/>
    <n v="121"/>
    <n v="650"/>
    <n v="10"/>
    <n v="10"/>
    <n v="6250"/>
    <s v=""/>
    <n v="0"/>
    <n v="0"/>
    <n v="0"/>
    <n v="377"/>
    <n v="384"/>
    <n v="369"/>
    <n v="10"/>
    <s v=""/>
    <s v="178 and 433"/>
    <s v="Lithium Ion"/>
    <s v="Electrical Regen Brake"/>
  </r>
  <r>
    <n v="2025"/>
    <s v="Lucid USA, Inc"/>
    <s v="Lucid"/>
    <s v="Air Touring AWD w/20&quot; wheels"/>
    <s v="All Wheel Drive"/>
    <x v="4"/>
    <n v="27"/>
    <n v="28"/>
    <n v="28"/>
    <n v="650"/>
    <n v="10"/>
    <n v="10"/>
    <n v="6250"/>
    <s v=""/>
    <n v="0"/>
    <n v="0"/>
    <n v="0"/>
    <n v="377"/>
    <n v="384"/>
    <n v="369"/>
    <n v="10"/>
    <s v=""/>
    <s v="178 and 433"/>
    <s v="Lithium Ion"/>
    <s v="Electrical Regen Brake"/>
  </r>
  <r>
    <n v="2025"/>
    <s v="Lucid USA, Inc"/>
    <s v="Lucid"/>
    <s v="Air Touring AWD w/21&quot; wheels"/>
    <s v="All Wheel Drive"/>
    <x v="4"/>
    <n v="119"/>
    <n v="113"/>
    <n v="116"/>
    <n v="700"/>
    <n v="10"/>
    <n v="10"/>
    <n v="6000"/>
    <s v=""/>
    <n v="0"/>
    <n v="0"/>
    <n v="0"/>
    <n v="361"/>
    <n v="370"/>
    <n v="350"/>
    <n v="10"/>
    <s v=""/>
    <s v="178 and 433"/>
    <s v="Lithium Ion"/>
    <s v="Electrical Regen Brake"/>
  </r>
  <r>
    <n v="2025"/>
    <s v="Lucid USA, Inc"/>
    <s v="Lucid"/>
    <s v="Air Touring AWD w/21&quot; wheels"/>
    <s v="All Wheel Drive"/>
    <x v="4"/>
    <n v="28"/>
    <n v="30"/>
    <n v="29"/>
    <n v="700"/>
    <n v="10"/>
    <n v="10"/>
    <n v="6000"/>
    <s v=""/>
    <n v="0"/>
    <n v="0"/>
    <n v="0"/>
    <n v="361"/>
    <n v="370"/>
    <n v="350"/>
    <n v="10"/>
    <s v=""/>
    <s v="178 and 433"/>
    <s v="Lithium Ion"/>
    <s v="Electrical Regen Brake"/>
  </r>
  <r>
    <n v="2025"/>
    <s v="Lucid USA, Inc"/>
    <s v="Lucid"/>
    <s v="Air Pure RWD w/19&quot; wheels"/>
    <s v="2-Wheel Drive, Rear"/>
    <x v="4"/>
    <n v="149"/>
    <n v="142"/>
    <n v="146"/>
    <n v="550"/>
    <n v="10"/>
    <n v="10"/>
    <n v="6750"/>
    <s v=""/>
    <n v="0"/>
    <n v="0"/>
    <n v="0"/>
    <n v="420"/>
    <n v="430"/>
    <n v="408"/>
    <n v="10"/>
    <s v=""/>
    <s v="330"/>
    <s v="Lithium Ion"/>
    <s v="Electrical Regen Brake"/>
  </r>
  <r>
    <n v="2025"/>
    <s v="Lucid USA, Inc"/>
    <s v="Lucid"/>
    <s v="Air Pure RWD w/19&quot; wheels"/>
    <s v="2-Wheel Drive, Rear"/>
    <x v="4"/>
    <n v="23"/>
    <n v="24"/>
    <n v="23"/>
    <n v="550"/>
    <n v="10"/>
    <n v="10"/>
    <n v="6750"/>
    <s v=""/>
    <n v="0"/>
    <n v="0"/>
    <n v="0"/>
    <n v="420"/>
    <n v="430"/>
    <n v="408"/>
    <n v="10"/>
    <s v=""/>
    <s v="330"/>
    <s v="Lithium Ion"/>
    <s v="Electrical Regen Brake"/>
  </r>
  <r>
    <n v="2025"/>
    <s v="Lucid USA, Inc"/>
    <s v="Lucid"/>
    <s v="Air Pure RWD w/20&quot; wheels"/>
    <s v="2-Wheel Drive, Rear"/>
    <x v="4"/>
    <n v="132"/>
    <n v="125"/>
    <n v="129"/>
    <n v="600"/>
    <n v="10"/>
    <n v="10"/>
    <n v="6500"/>
    <s v=""/>
    <n v="0"/>
    <n v="0"/>
    <n v="0"/>
    <n v="372"/>
    <n v="381"/>
    <n v="361"/>
    <n v="10"/>
    <s v=""/>
    <s v="330"/>
    <s v="Lithium Ion"/>
    <s v="Electrical Regen Brake"/>
  </r>
  <r>
    <n v="2025"/>
    <s v="Lucid USA, Inc"/>
    <s v="Lucid"/>
    <s v="Air Pure RWD w/20&quot; wheels"/>
    <s v="2-Wheel Drive, Rear"/>
    <x v="4"/>
    <n v="25"/>
    <n v="27"/>
    <n v="26"/>
    <n v="600"/>
    <n v="10"/>
    <n v="10"/>
    <n v="6500"/>
    <s v=""/>
    <n v="0"/>
    <n v="0"/>
    <n v="0"/>
    <n v="372"/>
    <n v="381"/>
    <n v="361"/>
    <n v="10"/>
    <s v=""/>
    <s v="330"/>
    <s v="Lithium Ion"/>
    <s v="Electrical Regen Brake"/>
  </r>
  <r>
    <n v="2025"/>
    <s v="Lucid USA, Inc"/>
    <s v="Lucid"/>
    <s v="Air Sapphire AWD"/>
    <s v="All Wheel Drive"/>
    <x v="4"/>
    <n v="108"/>
    <n v="101"/>
    <n v="105"/>
    <n v="750"/>
    <n v="10"/>
    <n v="10"/>
    <n v="5750"/>
    <s v=""/>
    <n v="0"/>
    <n v="0"/>
    <n v="0"/>
    <n v="427"/>
    <n v="439"/>
    <n v="412"/>
    <n v="13"/>
    <s v=""/>
    <s v="310, 310 and 310"/>
    <s v="Lithium Ion"/>
    <s v="Electrical Regen Brake"/>
  </r>
  <r>
    <n v="2025"/>
    <s v="Lucid USA, Inc"/>
    <s v="Lucid"/>
    <s v="Air Sapphire AWD"/>
    <s v="All Wheel Drive"/>
    <x v="4"/>
    <n v="31"/>
    <n v="33"/>
    <n v="32"/>
    <n v="750"/>
    <n v="10"/>
    <n v="10"/>
    <n v="5750"/>
    <s v=""/>
    <n v="0"/>
    <n v="0"/>
    <n v="0"/>
    <n v="427"/>
    <n v="439"/>
    <n v="412"/>
    <n v="13"/>
    <s v=""/>
    <s v="310, 310 and 310"/>
    <s v="Lithium Ion"/>
    <s v="Electrical Regen Brake"/>
  </r>
  <r>
    <n v="2025"/>
    <s v="Lucid USA, Inc"/>
    <s v="Lucid"/>
    <s v="Air G Touring XR AWD w/19&quot; wheels"/>
    <s v="All Wheel Drive"/>
    <x v="4"/>
    <n v="129"/>
    <n v="126"/>
    <n v="128"/>
    <n v="600"/>
    <n v="10"/>
    <n v="10"/>
    <n v="6500"/>
    <s v=""/>
    <n v="0"/>
    <n v="0"/>
    <n v="0"/>
    <n v="512"/>
    <n v="516"/>
    <n v="507"/>
    <n v="13"/>
    <s v=""/>
    <s v="178 and 433"/>
    <s v="Lithium Ion"/>
    <s v="Electrical Regen Brake"/>
  </r>
  <r>
    <n v="2025"/>
    <s v="Lucid USA, Inc"/>
    <s v="Lucid"/>
    <s v="Air G Touring XR AWD w/19&quot; wheels"/>
    <s v="All Wheel Drive"/>
    <x v="4"/>
    <n v="26"/>
    <n v="27"/>
    <n v="26"/>
    <n v="600"/>
    <n v="10"/>
    <n v="10"/>
    <n v="6500"/>
    <s v=""/>
    <n v="0"/>
    <n v="0"/>
    <n v="0"/>
    <n v="512"/>
    <n v="516"/>
    <n v="507"/>
    <n v="13"/>
    <s v=""/>
    <s v="178 and 433"/>
    <s v="Lithium Ion"/>
    <s v="Electrical Regen Brake"/>
  </r>
  <r>
    <n v="2025"/>
    <s v="Lucid USA, Inc"/>
    <s v="Lucid"/>
    <s v="Air G Touring XR AWD w/20&quot; wheels"/>
    <s v="All Wheel Drive"/>
    <x v="4"/>
    <n v="122"/>
    <n v="117"/>
    <n v="120"/>
    <n v="650"/>
    <n v="9"/>
    <n v="10"/>
    <n v="6250"/>
    <s v=""/>
    <n v="0"/>
    <n v="0"/>
    <n v="0"/>
    <n v="480"/>
    <n v="488"/>
    <n v="470"/>
    <n v="13"/>
    <s v=""/>
    <s v="178 and 433"/>
    <s v="Lithium Ion"/>
    <s v="Electrical Regen Brake"/>
  </r>
  <r>
    <n v="2025"/>
    <s v="Lucid USA, Inc"/>
    <s v="Lucid"/>
    <s v="Air G Touring XR AWD w/20&quot; wheels"/>
    <s v="All Wheel Drive"/>
    <x v="4"/>
    <n v="28"/>
    <n v="29"/>
    <n v="28"/>
    <n v="650"/>
    <n v="9"/>
    <n v="10"/>
    <n v="6250"/>
    <s v=""/>
    <n v="0"/>
    <n v="0"/>
    <n v="0"/>
    <n v="480"/>
    <n v="488"/>
    <n v="470"/>
    <n v="13"/>
    <s v=""/>
    <s v="178 and 433"/>
    <s v="Lithium Ion"/>
    <s v="Electrical Regen Brake"/>
  </r>
  <r>
    <n v="2025"/>
    <s v="Lucid USA, Inc"/>
    <s v="Lucid"/>
    <s v="Air G Touring XR AWD w/21&quot; wheels"/>
    <s v="All Wheel Drive"/>
    <x v="4"/>
    <n v="114"/>
    <n v="109"/>
    <n v="112"/>
    <n v="700"/>
    <n v="9"/>
    <n v="10"/>
    <n v="6000"/>
    <s v=""/>
    <n v="0"/>
    <n v="0"/>
    <n v="0"/>
    <n v="446"/>
    <n v="454"/>
    <n v="436"/>
    <n v="13"/>
    <s v=""/>
    <s v="178 and 433"/>
    <s v="Lithium Ion"/>
    <s v="Electrical Regen Brake"/>
  </r>
  <r>
    <n v="2025"/>
    <s v="Lucid USA, Inc"/>
    <s v="Lucid"/>
    <s v="Air G Touring XR AWD w/21&quot; wheels"/>
    <s v="All Wheel Drive"/>
    <x v="4"/>
    <n v="30"/>
    <n v="31"/>
    <n v="30"/>
    <n v="700"/>
    <n v="9"/>
    <n v="10"/>
    <n v="6000"/>
    <s v=""/>
    <n v="0"/>
    <n v="0"/>
    <n v="0"/>
    <n v="446"/>
    <n v="454"/>
    <n v="436"/>
    <n v="13"/>
    <s v=""/>
    <s v="178 and 433"/>
    <s v="Lithium Ion"/>
    <s v="Electrical Regen Brake"/>
  </r>
  <r>
    <n v="2025"/>
    <s v="Lucid USA, Inc"/>
    <s v="Lucid"/>
    <s v="Air Touring AWD w/19&quot; wheels"/>
    <s v="All Wheel Drive"/>
    <x v="4"/>
    <n v="133"/>
    <n v="130"/>
    <n v="132"/>
    <n v="600"/>
    <n v="10"/>
    <n v="10"/>
    <n v="6500"/>
    <s v=""/>
    <n v="0"/>
    <n v="0"/>
    <n v="0"/>
    <n v="406"/>
    <n v="411"/>
    <n v="400"/>
    <n v="10"/>
    <s v=""/>
    <s v="178 and 433"/>
    <s v="Lithium Ion"/>
    <s v="Electrical Regen Brake"/>
  </r>
  <r>
    <n v="2025"/>
    <s v="Lucid USA, Inc"/>
    <s v="Lucid"/>
    <s v="Air Touring AWD w/19&quot; wheels"/>
    <s v="All Wheel Drive"/>
    <x v="4"/>
    <n v="25"/>
    <n v="26"/>
    <n v="26"/>
    <n v="600"/>
    <n v="10"/>
    <n v="10"/>
    <n v="6500"/>
    <s v=""/>
    <n v="0"/>
    <n v="0"/>
    <n v="0"/>
    <n v="406"/>
    <n v="411"/>
    <n v="400"/>
    <n v="10"/>
    <s v=""/>
    <s v="178 and 433"/>
    <s v="Lithium Ion"/>
    <s v="Electrical Regen Brake"/>
  </r>
  <r>
    <n v="2025"/>
    <s v="Lucid USA, Inc"/>
    <s v="Lucid"/>
    <s v="Air Touring AWD w/20&quot; wheels"/>
    <s v="All Wheel Drive"/>
    <x v="4"/>
    <n v="124"/>
    <n v="119"/>
    <n v="121"/>
    <n v="650"/>
    <n v="10"/>
    <n v="10"/>
    <n v="6250"/>
    <s v=""/>
    <n v="0"/>
    <n v="0"/>
    <n v="0"/>
    <n v="377"/>
    <n v="384"/>
    <n v="369"/>
    <n v="10"/>
    <s v=""/>
    <s v="178 and 433"/>
    <s v="Lithium Ion"/>
    <s v="Electrical Regen Brake"/>
  </r>
  <r>
    <n v="2025"/>
    <s v="Lucid USA, Inc"/>
    <s v="Lucid"/>
    <s v="Air Touring AWD w/20&quot; wheels"/>
    <s v="All Wheel Drive"/>
    <x v="4"/>
    <n v="27"/>
    <n v="28"/>
    <n v="28"/>
    <n v="650"/>
    <n v="10"/>
    <n v="10"/>
    <n v="6250"/>
    <s v=""/>
    <n v="0"/>
    <n v="0"/>
    <n v="0"/>
    <n v="377"/>
    <n v="384"/>
    <n v="369"/>
    <n v="10"/>
    <s v=""/>
    <s v="178 and 433"/>
    <s v="Lithium Ion"/>
    <s v="Electrical Regen Brake"/>
  </r>
  <r>
    <n v="2025"/>
    <s v="Lucid USA, Inc"/>
    <s v="Lucid"/>
    <s v="Air Touring AWD w/21&quot; wheels"/>
    <s v="All Wheel Drive"/>
    <x v="4"/>
    <n v="119"/>
    <n v="113"/>
    <n v="116"/>
    <n v="700"/>
    <n v="9"/>
    <n v="10"/>
    <n v="6000"/>
    <s v=""/>
    <n v="0"/>
    <n v="0"/>
    <n v="0"/>
    <n v="361"/>
    <n v="370"/>
    <n v="350"/>
    <n v="10"/>
    <s v=""/>
    <s v="178 and 433"/>
    <s v="Lithium Ion"/>
    <s v="Electrical Regen Brake"/>
  </r>
  <r>
    <n v="2025"/>
    <s v="Lucid USA, Inc"/>
    <s v="Lucid"/>
    <s v="Air Touring AWD w/21&quot; wheels"/>
    <s v="All Wheel Drive"/>
    <x v="4"/>
    <n v="28"/>
    <n v="30"/>
    <n v="29"/>
    <n v="700"/>
    <n v="9"/>
    <n v="10"/>
    <n v="6000"/>
    <s v=""/>
    <n v="0"/>
    <n v="0"/>
    <n v="0"/>
    <n v="361"/>
    <n v="370"/>
    <n v="350"/>
    <n v="10"/>
    <s v=""/>
    <s v="178 and 433"/>
    <s v="Lithium Ion"/>
    <s v="Electrical Regen Brake"/>
  </r>
  <r>
    <n v="2025"/>
    <s v="Lucid USA, Inc"/>
    <s v="Lucid"/>
    <s v="Air Sapphire AWD"/>
    <s v="All Wheel Drive"/>
    <x v="4"/>
    <n v="108"/>
    <n v="101"/>
    <n v="105"/>
    <n v="750"/>
    <n v="9"/>
    <n v="10"/>
    <n v="5750"/>
    <s v=""/>
    <n v="0"/>
    <n v="0"/>
    <n v="0"/>
    <n v="427"/>
    <n v="439"/>
    <n v="412"/>
    <n v="13"/>
    <s v=""/>
    <s v="310"/>
    <s v="Lithium Ion"/>
    <s v="Electrical Regen Brake"/>
  </r>
  <r>
    <n v="2025"/>
    <s v="Lucid USA, Inc"/>
    <s v="Lucid"/>
    <s v="Air Sapphire AWD"/>
    <s v="All Wheel Drive"/>
    <x v="4"/>
    <n v="31"/>
    <n v="33"/>
    <n v="32"/>
    <n v="750"/>
    <n v="9"/>
    <n v="10"/>
    <n v="5750"/>
    <s v=""/>
    <n v="0"/>
    <n v="0"/>
    <n v="0"/>
    <n v="427"/>
    <n v="439"/>
    <n v="412"/>
    <n v="13"/>
    <s v=""/>
    <s v="310"/>
    <s v="Lithium Ion"/>
    <s v="Electrical Regen Brake"/>
  </r>
  <r>
    <n v="2025"/>
    <s v="Lucid USA, Inc"/>
    <s v="Lucid"/>
    <s v="Gravity GT w/20F21R wheels (2R)"/>
    <s v="All Wheel Drive"/>
    <x v="0"/>
    <n v="113"/>
    <n v="103"/>
    <n v="108"/>
    <n v="750"/>
    <n v="9"/>
    <n v="10"/>
    <n v="5750"/>
    <s v=""/>
    <n v="0"/>
    <n v="0"/>
    <n v="0"/>
    <n v="450"/>
    <n v="469"/>
    <n v="426"/>
    <n v="9.5"/>
    <s v=""/>
    <s v="170 and 448"/>
    <s v="Lithium Ion"/>
    <s v="Electrical Regen Brake"/>
  </r>
  <r>
    <n v="2025"/>
    <s v="Lucid USA, Inc"/>
    <s v="Lucid"/>
    <s v="Gravity GT w/20F21R wheels (2R)"/>
    <s v="All Wheel Drive"/>
    <x v="0"/>
    <n v="30"/>
    <n v="33"/>
    <n v="31"/>
    <n v="750"/>
    <n v="9"/>
    <n v="10"/>
    <n v="5750"/>
    <s v=""/>
    <n v="0"/>
    <n v="0"/>
    <n v="0"/>
    <n v="450"/>
    <n v="469"/>
    <n v="426"/>
    <n v="9.5"/>
    <s v=""/>
    <s v="170 and 448"/>
    <s v="Lithium Ion"/>
    <s v="Electrical Regen Brake"/>
  </r>
  <r>
    <n v="2025"/>
    <s v="Lucid USA, Inc"/>
    <s v="Lucid"/>
    <s v="Gravity GT w/21F22R wheels (2R)"/>
    <s v="All Wheel Drive"/>
    <x v="0"/>
    <n v="102"/>
    <n v="94"/>
    <n v="98"/>
    <n v="800"/>
    <n v="9"/>
    <n v="10"/>
    <n v="5500"/>
    <s v=""/>
    <n v="0"/>
    <n v="0"/>
    <n v="0"/>
    <n v="407"/>
    <n v="422"/>
    <n v="389"/>
    <n v="9.5"/>
    <s v=""/>
    <s v="170 and 448"/>
    <s v="Lithium Ion"/>
    <s v="Electrical Regen Brake"/>
  </r>
  <r>
    <n v="2025"/>
    <s v="Lucid USA, Inc"/>
    <s v="Lucid"/>
    <s v="Gravity GT w/21F22R wheels (2R)"/>
    <s v="All Wheel Drive"/>
    <x v="0"/>
    <n v="33"/>
    <n v="36"/>
    <n v="34"/>
    <n v="800"/>
    <n v="9"/>
    <n v="10"/>
    <n v="5500"/>
    <s v=""/>
    <n v="0"/>
    <n v="0"/>
    <n v="0"/>
    <n v="407"/>
    <n v="422"/>
    <n v="389"/>
    <n v="9.5"/>
    <s v=""/>
    <s v="170 and 448"/>
    <s v="Lithium Ion"/>
    <s v="Electrical Regen Brake"/>
  </r>
  <r>
    <n v="2025"/>
    <s v="Lucid USA, Inc"/>
    <s v="Lucid"/>
    <s v="Gravity GT w/22F23R wheels (2R)"/>
    <s v="All Wheel Drive"/>
    <x v="0"/>
    <n v="102"/>
    <n v="94"/>
    <n v="98"/>
    <n v="800"/>
    <n v="9"/>
    <n v="10"/>
    <n v="5500"/>
    <s v=""/>
    <n v="0"/>
    <n v="0"/>
    <n v="0"/>
    <n v="407"/>
    <n v="422"/>
    <n v="389"/>
    <n v="9.5"/>
    <s v=""/>
    <s v="170 and 448"/>
    <s v="Lithium Ion"/>
    <s v="Electrical Regen Brake"/>
  </r>
  <r>
    <n v="2025"/>
    <s v="Lucid USA, Inc"/>
    <s v="Lucid"/>
    <s v="Gravity GT w/22F23R wheels (2R)"/>
    <s v="All Wheel Drive"/>
    <x v="0"/>
    <n v="33"/>
    <n v="36"/>
    <n v="34"/>
    <n v="800"/>
    <n v="9"/>
    <n v="10"/>
    <n v="5500"/>
    <s v=""/>
    <n v="0"/>
    <n v="0"/>
    <n v="0"/>
    <n v="407"/>
    <n v="422"/>
    <n v="389"/>
    <n v="9.5"/>
    <s v=""/>
    <s v="170 and 448"/>
    <s v="Lithium Ion"/>
    <s v="Electrical Regen Brake"/>
  </r>
  <r>
    <n v="2025"/>
    <s v="Lucid USA, Inc"/>
    <s v="Lucid"/>
    <s v="Gravity GT w/20F21R wheels (3R)"/>
    <s v="All Wheel Drive"/>
    <x v="0"/>
    <n v="108"/>
    <n v="100"/>
    <n v="104"/>
    <n v="750"/>
    <n v="9"/>
    <n v="10"/>
    <n v="5750"/>
    <s v=""/>
    <n v="0"/>
    <n v="0"/>
    <n v="0"/>
    <n v="437"/>
    <n v="451"/>
    <n v="419"/>
    <n v="9.5"/>
    <s v=""/>
    <s v="170 and 448"/>
    <s v="Lithium Ion"/>
    <s v="Electrical Regen Brake"/>
  </r>
  <r>
    <n v="2025"/>
    <s v="Lucid USA, Inc"/>
    <s v="Lucid"/>
    <s v="Gravity GT w/20F21R wheels (3R)"/>
    <s v="All Wheel Drive"/>
    <x v="0"/>
    <n v="31"/>
    <n v="34"/>
    <n v="32"/>
    <n v="750"/>
    <n v="9"/>
    <n v="10"/>
    <n v="5750"/>
    <s v=""/>
    <n v="0"/>
    <n v="0"/>
    <n v="0"/>
    <n v="437"/>
    <n v="451"/>
    <n v="419"/>
    <n v="9.5"/>
    <s v=""/>
    <s v="170 and 448"/>
    <s v="Lithium Ion"/>
    <s v="Electrical Regen Brake"/>
  </r>
  <r>
    <n v="2025"/>
    <s v="Lucid USA, Inc"/>
    <s v="Lucid"/>
    <s v="Gravity GT w/21F22R wheels (3R)"/>
    <s v="All Wheel Drive"/>
    <x v="0"/>
    <n v="96"/>
    <n v="89"/>
    <n v="92"/>
    <n v="850"/>
    <n v="9"/>
    <n v="10"/>
    <n v="5250"/>
    <s v=""/>
    <n v="0"/>
    <n v="0"/>
    <n v="0"/>
    <n v="386"/>
    <n v="399"/>
    <n v="370"/>
    <n v="9.5"/>
    <s v=""/>
    <s v="170 and 448"/>
    <s v="Lithium Ion"/>
    <s v="Electrical Regen Brake"/>
  </r>
  <r>
    <n v="2025"/>
    <s v="Lucid USA, Inc"/>
    <s v="Lucid"/>
    <s v="Gravity GT w/21F22R wheels (3R)"/>
    <s v="All Wheel Drive"/>
    <x v="0"/>
    <n v="35"/>
    <n v="38"/>
    <n v="36"/>
    <n v="850"/>
    <n v="9"/>
    <n v="10"/>
    <n v="5250"/>
    <s v=""/>
    <n v="0"/>
    <n v="0"/>
    <n v="0"/>
    <n v="386"/>
    <n v="399"/>
    <n v="370"/>
    <n v="9.5"/>
    <s v=""/>
    <s v="170 and 448"/>
    <s v="Lithium Ion"/>
    <s v="Electrical Regen Brake"/>
  </r>
  <r>
    <n v="2025"/>
    <s v="Lucid USA, Inc"/>
    <s v="Lucid"/>
    <s v="Gravity GT w/22F23R wheels (3R)"/>
    <s v="All Wheel Drive"/>
    <x v="0"/>
    <n v="96"/>
    <n v="89"/>
    <n v="92"/>
    <n v="850"/>
    <n v="9"/>
    <n v="10"/>
    <n v="5250"/>
    <s v=""/>
    <n v="0"/>
    <n v="0"/>
    <n v="0"/>
    <n v="386"/>
    <n v="399"/>
    <n v="370"/>
    <n v="9.5"/>
    <s v=""/>
    <s v="170 and 448"/>
    <s v="Lithium Ion"/>
    <s v="Electrical Regen Brake"/>
  </r>
  <r>
    <n v="2025"/>
    <s v="Lucid USA, Inc"/>
    <s v="Lucid"/>
    <s v="Gravity GT w/22F23R wheels (3R)"/>
    <s v="All Wheel Drive"/>
    <x v="0"/>
    <n v="35"/>
    <n v="38"/>
    <n v="36"/>
    <n v="850"/>
    <n v="9"/>
    <n v="10"/>
    <n v="5250"/>
    <s v=""/>
    <n v="0"/>
    <n v="0"/>
    <n v="0"/>
    <n v="386"/>
    <n v="399"/>
    <n v="370"/>
    <n v="9.5"/>
    <s v=""/>
    <s v="170 and 448"/>
    <s v="Lithium Ion"/>
    <s v="Electrical Regen Brake"/>
  </r>
  <r>
    <n v="2025"/>
    <s v="Maserati"/>
    <s v="MASERATI"/>
    <s v="Grecale Folgore (20&quot; Wheel)"/>
    <s v="All Wheel Drive"/>
    <x v="7"/>
    <n v="80"/>
    <n v="70"/>
    <n v="75"/>
    <n v="1100"/>
    <n v="9"/>
    <n v="10"/>
    <n v="4000"/>
    <s v=""/>
    <n v="0"/>
    <n v="0"/>
    <n v="0"/>
    <n v="245"/>
    <n v="261"/>
    <n v="226"/>
    <n v="11"/>
    <s v=""/>
    <s v="205 and 205"/>
    <s v="Lithium Ion"/>
    <s v="Electrical Regen Brake"/>
  </r>
  <r>
    <n v="2025"/>
    <s v="Maserati"/>
    <s v="MASERATI"/>
    <s v="Grecale Folgore (20&quot; Wheel)"/>
    <s v="All Wheel Drive"/>
    <x v="7"/>
    <n v="42"/>
    <n v="48"/>
    <n v="45"/>
    <n v="1100"/>
    <n v="9"/>
    <n v="10"/>
    <n v="4000"/>
    <s v=""/>
    <n v="0"/>
    <n v="0"/>
    <n v="0"/>
    <n v="245"/>
    <n v="261"/>
    <n v="226"/>
    <n v="11"/>
    <s v=""/>
    <s v="205 and 205"/>
    <s v="Lithium Ion"/>
    <s v="Electrical Regen Brake"/>
  </r>
  <r>
    <n v="2025"/>
    <s v="Maserati"/>
    <s v="MASERATI"/>
    <s v="Grecale Folgore (21&quot; Wheel)"/>
    <s v="All Wheel Drive"/>
    <x v="7"/>
    <n v="65"/>
    <n v="59"/>
    <n v="62"/>
    <n v="1300"/>
    <n v="8"/>
    <n v="10"/>
    <n v="3000"/>
    <s v=""/>
    <n v="0"/>
    <n v="0"/>
    <n v="0"/>
    <n v="206"/>
    <n v="214"/>
    <n v="196"/>
    <n v="11"/>
    <s v=""/>
    <s v="205 and 205"/>
    <s v="Lithium Ion"/>
    <s v="Electrical Regen Brake"/>
  </r>
  <r>
    <n v="2025"/>
    <s v="Maserati"/>
    <s v="MASERATI"/>
    <s v="Grecale Folgore (21&quot; Wheel)"/>
    <s v="All Wheel Drive"/>
    <x v="7"/>
    <n v="52"/>
    <n v="57"/>
    <n v="54"/>
    <n v="1300"/>
    <n v="8"/>
    <n v="10"/>
    <n v="3000"/>
    <s v=""/>
    <n v="0"/>
    <n v="0"/>
    <n v="0"/>
    <n v="206"/>
    <n v="214"/>
    <n v="196"/>
    <n v="11"/>
    <s v=""/>
    <s v="205 and 205"/>
    <s v="Lithium Ion"/>
    <s v="Electrical Regen Brake"/>
  </r>
  <r>
    <n v="2025"/>
    <s v="Maserati"/>
    <s v="MASERATI"/>
    <s v="Granturismo Folgore"/>
    <s v="All Wheel Drive"/>
    <x v="1"/>
    <n v="85"/>
    <n v="81"/>
    <n v="83"/>
    <n v="950"/>
    <n v="9"/>
    <n v="10"/>
    <n v="4750"/>
    <s v=""/>
    <n v="0"/>
    <n v="0"/>
    <n v="0"/>
    <n v="233"/>
    <n v="238"/>
    <n v="227"/>
    <n v="9"/>
    <s v=""/>
    <s v="275, 275 and 275"/>
    <s v="Lithium Ion"/>
    <s v="Electrical Regen Brake"/>
  </r>
  <r>
    <n v="2025"/>
    <s v="Maserati"/>
    <s v="MASERATI"/>
    <s v="Granturismo Folgore"/>
    <s v="All Wheel Drive"/>
    <x v="1"/>
    <n v="40"/>
    <n v="42"/>
    <n v="41"/>
    <n v="950"/>
    <n v="9"/>
    <n v="10"/>
    <n v="4750"/>
    <s v=""/>
    <n v="0"/>
    <n v="0"/>
    <n v="0"/>
    <n v="233"/>
    <n v="238"/>
    <n v="227"/>
    <n v="9"/>
    <s v=""/>
    <s v="275, 275 and 275"/>
    <s v="Lithium Ion"/>
    <s v="Electrical Regen Brake"/>
  </r>
  <r>
    <n v="2025"/>
    <s v="Maserati"/>
    <s v="MASERATI"/>
    <s v="Grancabrio Folgore"/>
    <s v="All Wheel Drive"/>
    <x v="1"/>
    <n v="83"/>
    <n v="81"/>
    <n v="82"/>
    <n v="1000"/>
    <n v="9"/>
    <n v="10"/>
    <n v="4500"/>
    <s v=""/>
    <n v="0"/>
    <n v="0"/>
    <n v="0"/>
    <n v="229"/>
    <n v="232"/>
    <n v="226"/>
    <n v="9"/>
    <s v=""/>
    <s v="275, 275 and 275"/>
    <s v="Lithium Ion"/>
    <s v="Electrical Regen Brake"/>
  </r>
  <r>
    <n v="2025"/>
    <s v="Maserati"/>
    <s v="MASERATI"/>
    <s v="Grancabrio Folgore"/>
    <s v="All Wheel Drive"/>
    <x v="1"/>
    <n v="41"/>
    <n v="42"/>
    <n v="41"/>
    <n v="1000"/>
    <n v="9"/>
    <n v="10"/>
    <n v="4500"/>
    <s v=""/>
    <n v="0"/>
    <n v="0"/>
    <n v="0"/>
    <n v="229"/>
    <n v="232"/>
    <n v="226"/>
    <n v="9"/>
    <s v=""/>
    <s v="275, 275 and 275"/>
    <s v="Lithium Ion"/>
    <s v="Electrical Regen Brake"/>
  </r>
  <r>
    <n v="2025"/>
    <s v="Mercedes-Benz"/>
    <s v="Mercedes-Benz"/>
    <s v="G 580 with EQ Technology"/>
    <s v="4-Wheel Drive"/>
    <x v="0"/>
    <n v="68"/>
    <n v="56"/>
    <n v="62"/>
    <n v="1300"/>
    <n v="8"/>
    <n v="10"/>
    <n v="3000"/>
    <s v=""/>
    <n v="0"/>
    <n v="0"/>
    <n v="0"/>
    <n v="239"/>
    <n v="258"/>
    <n v="215"/>
    <n v="14"/>
    <s v=""/>
    <s v="108"/>
    <s v="Lithium Ion"/>
    <s v="Electrical Regen Brake"/>
  </r>
  <r>
    <n v="2025"/>
    <s v="Mercedes-Benz"/>
    <s v="Mercedes-Benz"/>
    <s v="G 580 with EQ Technology"/>
    <s v="4-Wheel Drive"/>
    <x v="0"/>
    <n v="40"/>
    <n v="42"/>
    <n v="41"/>
    <n v="1300"/>
    <n v="8"/>
    <n v="10"/>
    <n v="3000"/>
    <s v=""/>
    <n v="0"/>
    <n v="0"/>
    <n v="0"/>
    <n v="239"/>
    <n v="258"/>
    <n v="215"/>
    <n v="14"/>
    <s v=""/>
    <s v="108"/>
    <s v="Lithium Ion"/>
    <s v="Electrical Regen Brake"/>
  </r>
  <r>
    <n v="2025"/>
    <s v="Mercedes-Benz"/>
    <s v="Mercedes-Benz"/>
    <s v="AMG EQS 4MATIC+"/>
    <s v="All Wheel Drive"/>
    <x v="4"/>
    <n v="76"/>
    <n v="81"/>
    <n v="78"/>
    <n v="1000"/>
    <n v="9"/>
    <n v="10"/>
    <n v="4250"/>
    <s v=""/>
    <n v="0"/>
    <n v="0"/>
    <n v="0"/>
    <n v="315"/>
    <n v="305"/>
    <n v="327"/>
    <n v="12.75"/>
    <s v=""/>
    <s v="174 and 310"/>
    <s v="Lithium Ion"/>
    <s v="Electrical Regen Brake"/>
  </r>
  <r>
    <n v="2025"/>
    <s v="Mercedes-Benz"/>
    <s v="Mercedes-Benz"/>
    <s v="AMG EQS 4MATIC+"/>
    <s v="All Wheel Drive"/>
    <x v="4"/>
    <n v="44"/>
    <n v="41"/>
    <n v="43"/>
    <n v="1050"/>
    <n v="9"/>
    <n v="10"/>
    <n v="4250"/>
    <s v=""/>
    <n v="0"/>
    <n v="0"/>
    <n v="0"/>
    <n v="315"/>
    <n v="305"/>
    <n v="327"/>
    <n v="12.75"/>
    <s v=""/>
    <s v="174 and 310"/>
    <s v="Lithium Ion"/>
    <s v="Electrical Regen Brake"/>
  </r>
  <r>
    <n v="2025"/>
    <s v="Mercedes-Benz"/>
    <s v="Mercedes-Benz"/>
    <s v="EQS 450+"/>
    <s v="2-Wheel Drive, Rear"/>
    <x v="4"/>
    <n v="98"/>
    <n v="98"/>
    <n v="98"/>
    <n v="800"/>
    <n v="9"/>
    <n v="10"/>
    <n v="5500"/>
    <s v=""/>
    <n v="0"/>
    <n v="0"/>
    <n v="0"/>
    <n v="390"/>
    <n v="390"/>
    <n v="390"/>
    <n v="14"/>
    <s v=""/>
    <s v="265"/>
    <s v="Lithium Ion"/>
    <s v="Electrical Regen Brake"/>
  </r>
  <r>
    <n v="2025"/>
    <s v="Mercedes-Benz"/>
    <s v="Mercedes-Benz"/>
    <s v="EQS 450+"/>
    <s v="2-Wheel Drive, Rear"/>
    <x v="4"/>
    <n v="34"/>
    <n v="34"/>
    <n v="34"/>
    <n v="800"/>
    <n v="9"/>
    <n v="10"/>
    <n v="5500"/>
    <s v=""/>
    <n v="0"/>
    <n v="0"/>
    <n v="0"/>
    <n v="390"/>
    <n v="390"/>
    <n v="390"/>
    <n v="14"/>
    <s v=""/>
    <s v="265"/>
    <s v="Lithium Ion"/>
    <s v="Electrical Regen Brake"/>
  </r>
  <r>
    <n v="2025"/>
    <s v="Mercedes-Benz"/>
    <s v="Mercedes-Benz"/>
    <s v="EQS 580 4MATIC"/>
    <s v="All Wheel Drive"/>
    <x v="4"/>
    <n v="93"/>
    <n v="93"/>
    <n v="93"/>
    <n v="850"/>
    <n v="9"/>
    <n v="10"/>
    <n v="5250"/>
    <s v=""/>
    <n v="0"/>
    <n v="0"/>
    <n v="0"/>
    <n v="371"/>
    <n v="370"/>
    <n v="372"/>
    <n v="11.5"/>
    <s v=""/>
    <s v="174 and 310"/>
    <s v="Lithium Ion"/>
    <s v="Electrical Regen Brake"/>
  </r>
  <r>
    <n v="2025"/>
    <s v="Mercedes-Benz"/>
    <s v="Mercedes-Benz"/>
    <s v="EQS 580 4MATIC"/>
    <s v="All Wheel Drive"/>
    <x v="4"/>
    <n v="36"/>
    <n v="36"/>
    <n v="36"/>
    <n v="850"/>
    <n v="9"/>
    <n v="10"/>
    <n v="5250"/>
    <s v=""/>
    <n v="0"/>
    <n v="0"/>
    <n v="0"/>
    <n v="371"/>
    <n v="370"/>
    <n v="372"/>
    <n v="11.5"/>
    <s v=""/>
    <s v="174 and 310"/>
    <s v="Lithium Ion"/>
    <s v="Electrical Regen Brake"/>
  </r>
  <r>
    <n v="2025"/>
    <s v="Mercedes-Benz"/>
    <s v="Mercedes-Benz"/>
    <s v="EQS 450+ (SUV)"/>
    <s v="2-Wheel Drive, Rear"/>
    <x v="2"/>
    <n v="84"/>
    <n v="79"/>
    <n v="82"/>
    <n v="1000"/>
    <n v="9"/>
    <n v="10"/>
    <n v="4500"/>
    <s v=""/>
    <n v="0"/>
    <n v="0"/>
    <n v="0"/>
    <n v="323"/>
    <n v="329"/>
    <n v="316"/>
    <n v="14"/>
    <s v=""/>
    <s v="265"/>
    <s v="Lithium Ion"/>
    <s v="Electrical Regen Brake"/>
  </r>
  <r>
    <n v="2025"/>
    <s v="Mercedes-Benz"/>
    <s v="Mercedes-Benz"/>
    <s v="EQS 450+ (SUV)"/>
    <s v="2-Wheel Drive, Rear"/>
    <x v="2"/>
    <n v="40"/>
    <n v="42"/>
    <n v="42"/>
    <n v="1000"/>
    <n v="9"/>
    <n v="10"/>
    <n v="4500"/>
    <s v=""/>
    <n v="0"/>
    <n v="0"/>
    <n v="0"/>
    <n v="323"/>
    <n v="329"/>
    <n v="316"/>
    <n v="14"/>
    <s v=""/>
    <s v="265"/>
    <s v="Lithium Ion"/>
    <s v="Electrical Regen Brake"/>
  </r>
  <r>
    <n v="2025"/>
    <s v="Mercedes-Benz"/>
    <s v="Mercedes-Benz"/>
    <s v="EQS 450 4MATIC"/>
    <s v="All Wheel Drive"/>
    <x v="4"/>
    <n v="91"/>
    <n v="93"/>
    <n v="92"/>
    <n v="900"/>
    <n v="9"/>
    <n v="10"/>
    <n v="5000"/>
    <s v=""/>
    <n v="0"/>
    <n v="0"/>
    <n v="0"/>
    <n v="367"/>
    <n v="362"/>
    <n v="373"/>
    <n v="12.75"/>
    <s v=""/>
    <s v="174 and 310"/>
    <s v="Lithium Ion"/>
    <s v="Electrical Regen Brake"/>
  </r>
  <r>
    <n v="2025"/>
    <s v="Mercedes-Benz"/>
    <s v="Mercedes-Benz"/>
    <s v="EQS 450 4MATIC"/>
    <s v="All Wheel Drive"/>
    <x v="4"/>
    <n v="36"/>
    <n v="35"/>
    <n v="36"/>
    <n v="900"/>
    <n v="9"/>
    <n v="10"/>
    <n v="5000"/>
    <s v=""/>
    <n v="0"/>
    <n v="0"/>
    <n v="0"/>
    <n v="367"/>
    <n v="362"/>
    <n v="373"/>
    <n v="12.75"/>
    <s v=""/>
    <s v="174 and 310"/>
    <s v="Lithium Ion"/>
    <s v="Electrical Regen Brake"/>
  </r>
  <r>
    <n v="2025"/>
    <s v="Mercedes-Benz"/>
    <s v="Mercedes-Benz"/>
    <s v="EQB 250+"/>
    <s v="2-Wheel Drive, Front"/>
    <x v="6"/>
    <n v="114"/>
    <n v="100"/>
    <n v="107"/>
    <n v="750"/>
    <n v="9"/>
    <n v="10"/>
    <n v="5750"/>
    <s v=""/>
    <n v="0"/>
    <n v="0"/>
    <n v="0"/>
    <n v="251"/>
    <n v="265"/>
    <n v="234"/>
    <n v="8.25"/>
    <s v=""/>
    <s v="140"/>
    <s v="Lithium Ion"/>
    <s v="Electrical Regen Brake"/>
  </r>
  <r>
    <n v="2025"/>
    <s v="Mercedes-Benz"/>
    <s v="Mercedes-Benz"/>
    <s v="EQB 250+"/>
    <s v="2-Wheel Drive, Front"/>
    <x v="6"/>
    <n v="30"/>
    <n v="34"/>
    <n v="31"/>
    <n v="750"/>
    <n v="9"/>
    <n v="10"/>
    <n v="5750"/>
    <s v=""/>
    <n v="0"/>
    <n v="0"/>
    <n v="0"/>
    <n v="251"/>
    <n v="265"/>
    <n v="234"/>
    <n v="8.25"/>
    <s v=""/>
    <s v="140"/>
    <s v="Lithium Ion"/>
    <s v="Electrical Regen Brake"/>
  </r>
  <r>
    <n v="2025"/>
    <s v="Mercedes-Benz"/>
    <s v="Mercedes-Benz"/>
    <s v="EQB 300 4MATIC"/>
    <s v="All Wheel Drive"/>
    <x v="7"/>
    <n v="89"/>
    <n v="85"/>
    <n v="87"/>
    <n v="950"/>
    <n v="9"/>
    <n v="10"/>
    <n v="4750"/>
    <s v=""/>
    <n v="0"/>
    <n v="0"/>
    <n v="0"/>
    <n v="205"/>
    <n v="210"/>
    <n v="199"/>
    <n v="8.32"/>
    <s v=""/>
    <s v="72 and 96"/>
    <s v="Lithium Ion"/>
    <s v="Electrical Regen Brake"/>
  </r>
  <r>
    <n v="2025"/>
    <s v="Mercedes-Benz"/>
    <s v="Mercedes-Benz"/>
    <s v="EQB 300 4MATIC"/>
    <s v="All Wheel Drive"/>
    <x v="7"/>
    <n v="38"/>
    <n v="40"/>
    <n v="39"/>
    <n v="950"/>
    <n v="9"/>
    <n v="10"/>
    <n v="4750"/>
    <s v=""/>
    <n v="0"/>
    <n v="0"/>
    <n v="0"/>
    <n v="205"/>
    <n v="210"/>
    <n v="199"/>
    <n v="8.32"/>
    <s v=""/>
    <s v="72 and 96"/>
    <s v="Lithium Ion"/>
    <s v="Electrical Regen Brake"/>
  </r>
  <r>
    <n v="2025"/>
    <s v="Mercedes-Benz"/>
    <s v="Mercedes-Benz"/>
    <s v="EQB 350 4MATIC"/>
    <s v="All Wheel Drive"/>
    <x v="7"/>
    <n v="89"/>
    <n v="85"/>
    <n v="87"/>
    <n v="950"/>
    <n v="9"/>
    <n v="10"/>
    <n v="4750"/>
    <s v=""/>
    <n v="0"/>
    <n v="0"/>
    <n v="0"/>
    <n v="207"/>
    <n v="211"/>
    <n v="202"/>
    <n v="8.25"/>
    <s v=""/>
    <s v="72 and 96"/>
    <s v="Lithium Ion"/>
    <s v="Electrical Regen Brake"/>
  </r>
  <r>
    <n v="2025"/>
    <s v="Mercedes-Benz"/>
    <s v="Mercedes-Benz"/>
    <s v="EQB 350 4MATIC"/>
    <s v="All Wheel Drive"/>
    <x v="7"/>
    <n v="38"/>
    <n v="40"/>
    <n v="39"/>
    <n v="950"/>
    <n v="9"/>
    <n v="10"/>
    <n v="4750"/>
    <s v=""/>
    <n v="0"/>
    <n v="0"/>
    <n v="0"/>
    <n v="207"/>
    <n v="211"/>
    <n v="202"/>
    <n v="8.25"/>
    <s v=""/>
    <s v="72 and 96"/>
    <s v="Lithium Ion"/>
    <s v="Electrical Regen Brake"/>
  </r>
  <r>
    <n v="2025"/>
    <s v="Mercedes-Benz"/>
    <s v="Mercedes-Benz"/>
    <s v="AMG EQE 4MATIC+"/>
    <s v="All Wheel Drive"/>
    <x v="11"/>
    <n v="69"/>
    <n v="71"/>
    <n v="70"/>
    <n v="1150"/>
    <n v="9"/>
    <n v="10"/>
    <n v="3750"/>
    <s v=""/>
    <n v="0"/>
    <n v="0"/>
    <n v="0"/>
    <n v="220"/>
    <n v="218"/>
    <n v="222"/>
    <n v="10.75"/>
    <s v=""/>
    <s v="165 and 295"/>
    <s v="Lithium Ion"/>
    <s v="Electrical Regen Brake"/>
  </r>
  <r>
    <n v="2025"/>
    <s v="Mercedes-Benz"/>
    <s v="Mercedes-Benz"/>
    <s v="AMG EQE 4MATIC+"/>
    <s v="All Wheel Drive"/>
    <x v="11"/>
    <n v="48"/>
    <n v="47"/>
    <n v="47"/>
    <n v="1150"/>
    <n v="9"/>
    <n v="10"/>
    <n v="3750"/>
    <s v=""/>
    <n v="0"/>
    <n v="0"/>
    <n v="0"/>
    <n v="220"/>
    <n v="218"/>
    <n v="222"/>
    <n v="10.75"/>
    <s v=""/>
    <s v="165 and 295"/>
    <s v="Lithium Ion"/>
    <s v="Electrical Regen Brake"/>
  </r>
  <r>
    <n v="2025"/>
    <s v="Mercedes-Benz"/>
    <s v="Mercedes-Benz"/>
    <s v="EQE 350+"/>
    <s v="2-Wheel Drive, Rear"/>
    <x v="11"/>
    <n v="94"/>
    <n v="94"/>
    <n v="94"/>
    <n v="850"/>
    <n v="9"/>
    <n v="10"/>
    <n v="5250"/>
    <s v=""/>
    <n v="0"/>
    <n v="0"/>
    <n v="0"/>
    <n v="308"/>
    <n v="308"/>
    <n v="308"/>
    <n v="11.5"/>
    <s v=""/>
    <s v="215"/>
    <s v="Lithium Ion"/>
    <s v="Electrical Regen Brake"/>
  </r>
  <r>
    <n v="2025"/>
    <s v="Mercedes-Benz"/>
    <s v="Mercedes-Benz"/>
    <s v="EQE 350+"/>
    <s v="2-Wheel Drive, Rear"/>
    <x v="11"/>
    <n v="36"/>
    <n v="36"/>
    <n v="36"/>
    <n v="850"/>
    <n v="9"/>
    <n v="10"/>
    <n v="5250"/>
    <s v=""/>
    <n v="0"/>
    <n v="0"/>
    <n v="0"/>
    <n v="308"/>
    <n v="308"/>
    <n v="308"/>
    <n v="11.5"/>
    <s v=""/>
    <s v="215"/>
    <s v="Lithium Ion"/>
    <s v="Electrical Regen Brake"/>
  </r>
  <r>
    <n v="2025"/>
    <s v="Mercedes-Benz"/>
    <s v="Mercedes-Benz"/>
    <s v="EQE 350 4MATIC"/>
    <s v="All Wheel Drive"/>
    <x v="11"/>
    <n v="87"/>
    <n v="85"/>
    <n v="86"/>
    <n v="950"/>
    <n v="9"/>
    <n v="10"/>
    <n v="4750"/>
    <s v=""/>
    <n v="0"/>
    <n v="0"/>
    <n v="0"/>
    <n v="267"/>
    <n v="266"/>
    <n v="269"/>
    <n v="10.75"/>
    <s v=""/>
    <s v="71 and 144"/>
    <s v="Lithium Ion"/>
    <s v="Electrical Regen Brake"/>
  </r>
  <r>
    <n v="2025"/>
    <s v="Mercedes-Benz"/>
    <s v="Mercedes-Benz"/>
    <s v="EQE 350 4MATIC"/>
    <s v="All Wheel Drive"/>
    <x v="11"/>
    <n v="38"/>
    <n v="39"/>
    <n v="38"/>
    <n v="950"/>
    <n v="9"/>
    <n v="10"/>
    <n v="4750"/>
    <s v=""/>
    <n v="0"/>
    <n v="0"/>
    <n v="0"/>
    <n v="267"/>
    <n v="266"/>
    <n v="269"/>
    <n v="10.75"/>
    <s v=""/>
    <s v="71 and 144"/>
    <s v="Lithium Ion"/>
    <s v="Electrical Regen Brake"/>
  </r>
  <r>
    <n v="2025"/>
    <s v="Mercedes-Benz"/>
    <s v="Mercedes-Benz"/>
    <s v="EQE 500 4MATIC"/>
    <s v="All Wheel Drive"/>
    <x v="11"/>
    <n v="85"/>
    <n v="84"/>
    <n v="85"/>
    <n v="950"/>
    <n v="9"/>
    <n v="10"/>
    <n v="4750"/>
    <s v=""/>
    <n v="0"/>
    <n v="0"/>
    <n v="0"/>
    <n v="266"/>
    <n v="269"/>
    <n v="262"/>
    <n v="11.5"/>
    <s v=""/>
    <s v="71 and 144"/>
    <s v="Lithium Ion"/>
    <s v="Electrical Regen Brake"/>
  </r>
  <r>
    <n v="2025"/>
    <s v="Mercedes-Benz"/>
    <s v="Mercedes-Benz"/>
    <s v="EQE 500 4MATIC"/>
    <s v="All Wheel Drive"/>
    <x v="11"/>
    <n v="38"/>
    <n v="39"/>
    <n v="39"/>
    <n v="950"/>
    <n v="9"/>
    <n v="10"/>
    <n v="4750"/>
    <s v=""/>
    <n v="0"/>
    <n v="0"/>
    <n v="0"/>
    <n v="266"/>
    <n v="269"/>
    <n v="262"/>
    <n v="11.5"/>
    <s v=""/>
    <s v="71 and 144"/>
    <s v="Lithium Ion"/>
    <s v="Electrical Regen Brake"/>
  </r>
  <r>
    <n v="2025"/>
    <s v="Mercedes-Benz"/>
    <s v="Mercedes-Benz"/>
    <s v="EQE 350+ (SUV)"/>
    <s v="2-Wheel Drive, Rear"/>
    <x v="14"/>
    <n v="98"/>
    <n v="87"/>
    <n v="93"/>
    <n v="850"/>
    <n v="9"/>
    <n v="10"/>
    <n v="5250"/>
    <s v=""/>
    <n v="0"/>
    <n v="0"/>
    <n v="0"/>
    <n v="302"/>
    <n v="320"/>
    <n v="280"/>
    <n v="11.5"/>
    <s v=""/>
    <s v="215"/>
    <s v="Lithium Ion"/>
    <s v="Electrical Regen Brake"/>
  </r>
  <r>
    <n v="2025"/>
    <s v="Mercedes-Benz"/>
    <s v="Mercedes-Benz"/>
    <s v="EQE 350+ (SUV)"/>
    <s v="2-Wheel Drive, Rear"/>
    <x v="14"/>
    <n v="34"/>
    <n v="38"/>
    <n v="36"/>
    <n v="850"/>
    <n v="9"/>
    <n v="10"/>
    <n v="5250"/>
    <s v=""/>
    <n v="0"/>
    <n v="0"/>
    <n v="0"/>
    <n v="302"/>
    <n v="320"/>
    <n v="280"/>
    <n v="11.5"/>
    <s v=""/>
    <s v="215"/>
    <s v="Lithium Ion"/>
    <s v="Electrical Regen Brake"/>
  </r>
  <r>
    <n v="2025"/>
    <s v="Mercedes-Benz"/>
    <s v="Mercedes-Benz"/>
    <s v="EQE 350 4MATIC (SUV)"/>
    <s v="All Wheel Drive"/>
    <x v="14"/>
    <n v="84"/>
    <n v="78"/>
    <n v="81"/>
    <n v="1000"/>
    <n v="9"/>
    <n v="10"/>
    <n v="4500"/>
    <s v=""/>
    <n v="0"/>
    <n v="0"/>
    <n v="0"/>
    <n v="253"/>
    <n v="261"/>
    <n v="243"/>
    <n v="10.75"/>
    <s v=""/>
    <s v="71 and 144"/>
    <s v="Lithium Ion"/>
    <s v="Electrical Regen Brake"/>
  </r>
  <r>
    <n v="2025"/>
    <s v="Mercedes-Benz"/>
    <s v="Mercedes-Benz"/>
    <s v="EQE 350 4MATIC (SUV)"/>
    <s v="All Wheel Drive"/>
    <x v="14"/>
    <n v="39"/>
    <n v="42"/>
    <n v="40"/>
    <n v="1000"/>
    <n v="9"/>
    <n v="10"/>
    <n v="4500"/>
    <s v=""/>
    <n v="0"/>
    <n v="0"/>
    <n v="0"/>
    <n v="253"/>
    <n v="261"/>
    <n v="243"/>
    <n v="10.75"/>
    <s v=""/>
    <s v="71 and 144"/>
    <s v="Lithium Ion"/>
    <s v="Electrical Regen Brake"/>
  </r>
  <r>
    <n v="2025"/>
    <s v="Mercedes-Benz"/>
    <s v="Mercedes-Benz"/>
    <s v="EQS 450 4MATIC (SUV)"/>
    <s v="All Wheel Drive"/>
    <x v="0"/>
    <n v="80"/>
    <n v="78"/>
    <n v="79"/>
    <n v="1050"/>
    <n v="9"/>
    <n v="10"/>
    <n v="4250"/>
    <s v=""/>
    <n v="0"/>
    <n v="0"/>
    <n v="0"/>
    <n v="312"/>
    <n v="316"/>
    <n v="307"/>
    <n v="14"/>
    <s v=""/>
    <s v="174 and 310"/>
    <s v="Lithium Ion"/>
    <s v="Electrical Regen Brake"/>
  </r>
  <r>
    <n v="2025"/>
    <s v="Mercedes-Benz"/>
    <s v="Mercedes-Benz"/>
    <s v="EQS 450 4MATIC (SUV)"/>
    <s v="All Wheel Drive"/>
    <x v="0"/>
    <n v="42"/>
    <n v="43"/>
    <n v="42"/>
    <n v="1050"/>
    <n v="9"/>
    <n v="10"/>
    <n v="4250"/>
    <s v=""/>
    <n v="0"/>
    <n v="0"/>
    <n v="0"/>
    <n v="312"/>
    <n v="316"/>
    <n v="307"/>
    <n v="14"/>
    <s v=""/>
    <s v="174 and 310"/>
    <s v="Lithium Ion"/>
    <s v="Electrical Regen Brake"/>
  </r>
  <r>
    <n v="2025"/>
    <s v="Mercedes-Benz"/>
    <s v="Mercedes-Benz"/>
    <s v="EQS 580 4MATIC (SUV)"/>
    <s v="All Wheel Drive"/>
    <x v="0"/>
    <n v="82"/>
    <n v="78"/>
    <n v="80"/>
    <n v="1000"/>
    <n v="9"/>
    <n v="10"/>
    <n v="4500"/>
    <s v=""/>
    <n v="0"/>
    <n v="0"/>
    <n v="0"/>
    <n v="317"/>
    <n v="324"/>
    <n v="309"/>
    <n v="14"/>
    <s v=""/>
    <s v="174 and 310"/>
    <s v="Lithium Ion"/>
    <s v="Electrical Regen Brake"/>
  </r>
  <r>
    <n v="2025"/>
    <s v="Mercedes-Benz"/>
    <s v="Mercedes-Benz"/>
    <s v="EQS 580 4MATIC (SUV)"/>
    <s v="All Wheel Drive"/>
    <x v="0"/>
    <n v="40"/>
    <n v="42"/>
    <n v="41"/>
    <n v="1000"/>
    <n v="9"/>
    <n v="10"/>
    <n v="4500"/>
    <s v=""/>
    <n v="0"/>
    <n v="0"/>
    <n v="0"/>
    <n v="317"/>
    <n v="324"/>
    <n v="309"/>
    <n v="14"/>
    <s v=""/>
    <s v="174 and 310"/>
    <s v="Lithium Ion"/>
    <s v="Electrical Regen Brake"/>
  </r>
  <r>
    <n v="2025"/>
    <s v="Mercedes-Benz"/>
    <s v="Mercedes-Benz"/>
    <s v="EQE 500 4MATIC (SUV)"/>
    <s v="All Wheel Drive"/>
    <x v="14"/>
    <n v="83"/>
    <n v="78"/>
    <n v="81"/>
    <n v="1000"/>
    <n v="9"/>
    <n v="10"/>
    <n v="4500"/>
    <s v=""/>
    <n v="0"/>
    <n v="0"/>
    <n v="0"/>
    <n v="264"/>
    <n v="268"/>
    <n v="259"/>
    <n v="11.5"/>
    <s v=""/>
    <s v="71 and 144"/>
    <s v="Lithium Ion"/>
    <s v="Electrical Regen Brake"/>
  </r>
  <r>
    <n v="2025"/>
    <s v="Mercedes-Benz"/>
    <s v="Mercedes-Benz"/>
    <s v="EQE 500 4MATIC (SUV)"/>
    <s v="All Wheel Drive"/>
    <x v="14"/>
    <n v="40"/>
    <n v="43"/>
    <n v="41"/>
    <n v="1000"/>
    <n v="9"/>
    <n v="10"/>
    <n v="4500"/>
    <s v=""/>
    <n v="0"/>
    <n v="0"/>
    <n v="0"/>
    <n v="264"/>
    <n v="268"/>
    <n v="259"/>
    <n v="11.5"/>
    <s v=""/>
    <s v="71 and 144"/>
    <s v="Lithium Ion"/>
    <s v="Electrical Regen Brake"/>
  </r>
  <r>
    <n v="2025"/>
    <s v="Mercedes-Benz"/>
    <s v="Mercedes-Benz"/>
    <s v="EQS 680 4MATIC Maybach (SUV)"/>
    <s v="All Wheel Drive"/>
    <x v="0"/>
    <n v="76"/>
    <n v="76"/>
    <n v="76"/>
    <n v="1050"/>
    <n v="9"/>
    <n v="10"/>
    <n v="4250"/>
    <s v=""/>
    <n v="0"/>
    <n v="0"/>
    <n v="0"/>
    <n v="302"/>
    <n v="303"/>
    <n v="301"/>
    <n v="14"/>
    <s v=""/>
    <s v="174 and 310"/>
    <s v="Lithium Ion"/>
    <s v="Electrical Regen Brake"/>
  </r>
  <r>
    <n v="2025"/>
    <s v="Mercedes-Benz"/>
    <s v="Mercedes-Benz"/>
    <s v="EQS 680 4MATIC Maybach (SUV)"/>
    <s v="All Wheel Drive"/>
    <x v="0"/>
    <n v="44"/>
    <n v="43"/>
    <n v="44"/>
    <n v="1050"/>
    <n v="9"/>
    <n v="10"/>
    <n v="4250"/>
    <s v=""/>
    <n v="0"/>
    <n v="0"/>
    <n v="0"/>
    <n v="302"/>
    <n v="303"/>
    <n v="301"/>
    <n v="14"/>
    <s v=""/>
    <s v="174 and 310"/>
    <s v="Lithium Ion"/>
    <s v="Electrical Regen Brake"/>
  </r>
  <r>
    <n v="2025"/>
    <s v="Mercedes-Benz"/>
    <s v="Mercedes-Benz"/>
    <s v="AMG EQE 4MATIC+ (SUV)"/>
    <s v="All Wheel Drive"/>
    <x v="14"/>
    <n v="76"/>
    <n v="72"/>
    <n v="74"/>
    <n v="1100"/>
    <n v="9"/>
    <n v="10"/>
    <n v="4000"/>
    <s v=""/>
    <n v="0"/>
    <n v="0"/>
    <n v="0"/>
    <n v="230"/>
    <n v="236"/>
    <n v="223"/>
    <n v="10.75"/>
    <s v=""/>
    <s v="165 and 295"/>
    <s v="Lithium Ion"/>
    <s v="Electrical Regen Brake"/>
  </r>
  <r>
    <n v="2025"/>
    <s v="Mercedes-Benz"/>
    <s v="Mercedes-Benz"/>
    <s v="AMG EQE 4MATIC+ (SUV)"/>
    <s v="All Wheel Drive"/>
    <x v="14"/>
    <n v="44"/>
    <n v="47"/>
    <n v="46"/>
    <n v="1100"/>
    <n v="9"/>
    <n v="10"/>
    <n v="4000"/>
    <s v=""/>
    <n v="0"/>
    <n v="0"/>
    <n v="0"/>
    <n v="230"/>
    <n v="236"/>
    <n v="223"/>
    <n v="10.75"/>
    <s v=""/>
    <s v="165 and 295"/>
    <s v="Lithium Ion"/>
    <s v="Electrical Regen Brake"/>
  </r>
  <r>
    <n v="2025"/>
    <s v="BMW"/>
    <s v="Mini"/>
    <s v="Countryman SE ALL4 (18'' Wheels)"/>
    <s v="All Wheel Drive"/>
    <x v="7"/>
    <n v="99"/>
    <n v="94"/>
    <n v="96"/>
    <n v="850"/>
    <n v="9"/>
    <n v="10"/>
    <n v="5250"/>
    <s v=""/>
    <n v="0"/>
    <n v="0"/>
    <n v="0"/>
    <n v="212"/>
    <n v="217"/>
    <n v="206"/>
    <n v="8"/>
    <s v=""/>
    <s v="140 and 140"/>
    <s v="Lithium Ion"/>
    <s v="Electrical Regen Brake"/>
  </r>
  <r>
    <n v="2025"/>
    <s v="BMW"/>
    <s v="Mini"/>
    <s v="Countryman SE ALL4 (18'' Wheels)"/>
    <s v="All Wheel Drive"/>
    <x v="7"/>
    <n v="34"/>
    <n v="36"/>
    <n v="35"/>
    <n v="850"/>
    <n v="9"/>
    <n v="10"/>
    <n v="5250"/>
    <s v=""/>
    <n v="0"/>
    <n v="0"/>
    <n v="0"/>
    <n v="212"/>
    <n v="217"/>
    <n v="206"/>
    <n v="8"/>
    <s v=""/>
    <s v="140 and 140"/>
    <s v="Lithium Ion"/>
    <s v="Electrical Regen Brake"/>
  </r>
  <r>
    <n v="2025"/>
    <s v="BMW"/>
    <s v="Mini"/>
    <s v="Countryman SE ALL4 (19'' Wheels)"/>
    <s v="All Wheel Drive"/>
    <x v="7"/>
    <n v="94"/>
    <n v="88"/>
    <n v="91"/>
    <n v="900"/>
    <n v="9"/>
    <n v="10"/>
    <n v="5000"/>
    <s v=""/>
    <n v="0"/>
    <n v="0"/>
    <n v="0"/>
    <n v="204"/>
    <n v="210"/>
    <n v="197"/>
    <n v="8"/>
    <s v=""/>
    <s v="140 and 140"/>
    <s v="Lithium Ion"/>
    <s v="Electrical Regen Brake"/>
  </r>
  <r>
    <n v="2025"/>
    <s v="BMW"/>
    <s v="Mini"/>
    <s v="Countryman SE ALL4 (19'' Wheels)"/>
    <s v="All Wheel Drive"/>
    <x v="7"/>
    <n v="36"/>
    <n v="38"/>
    <n v="37"/>
    <n v="900"/>
    <n v="9"/>
    <n v="10"/>
    <n v="5000"/>
    <s v=""/>
    <n v="0"/>
    <n v="0"/>
    <n v="0"/>
    <n v="204"/>
    <n v="210"/>
    <n v="197"/>
    <n v="8"/>
    <s v=""/>
    <s v="140 and 140"/>
    <s v="Lithium Ion"/>
    <s v="Electrical Regen Brake"/>
  </r>
  <r>
    <n v="2025"/>
    <s v="Nissan"/>
    <s v="NISSAN"/>
    <s v="ARIYA ENGAGE+/EVOLVE+ e-4ORCE 87kWh"/>
    <s v="All Wheel Drive"/>
    <x v="7"/>
    <n v="97"/>
    <n v="86"/>
    <n v="92"/>
    <n v="900"/>
    <n v="9"/>
    <n v="10"/>
    <n v="5000"/>
    <s v=""/>
    <n v="0"/>
    <n v="0"/>
    <n v="0"/>
    <n v="272"/>
    <n v="286"/>
    <n v="254"/>
    <n v="13"/>
    <s v=""/>
    <s v="160 and 160"/>
    <s v="Lithium Ion"/>
    <s v="Electrical Regen Brake"/>
  </r>
  <r>
    <n v="2025"/>
    <s v="Nissan"/>
    <s v="NISSAN"/>
    <s v="ARIYA ENGAGE+/EVOLVE+ e-4ORCE 87kWh"/>
    <s v="All Wheel Drive"/>
    <x v="7"/>
    <n v="35"/>
    <n v="39"/>
    <n v="37"/>
    <n v="900"/>
    <n v="9"/>
    <n v="10"/>
    <n v="5000"/>
    <s v=""/>
    <n v="0"/>
    <n v="0"/>
    <n v="0"/>
    <n v="272"/>
    <n v="286"/>
    <n v="254"/>
    <n v="13"/>
    <s v=""/>
    <s v="160 and 160"/>
    <s v="Lithium Ion"/>
    <s v="Electrical Regen Brake"/>
  </r>
  <r>
    <n v="2025"/>
    <s v="Nissan"/>
    <s v="NISSAN"/>
    <s v="ARIYA PLATINUM+ e-4ORCE 87kWh 19in. Wheels"/>
    <s v="All Wheel Drive"/>
    <x v="7"/>
    <n v="93"/>
    <n v="87"/>
    <n v="90"/>
    <n v="900"/>
    <n v="9"/>
    <n v="10"/>
    <n v="5000"/>
    <s v=""/>
    <n v="0"/>
    <n v="0"/>
    <n v="0"/>
    <n v="267"/>
    <n v="276"/>
    <n v="256"/>
    <n v="14"/>
    <s v=""/>
    <s v="160 and 160"/>
    <s v="Lithium Ion"/>
    <s v="Electrical Regen Brake"/>
  </r>
  <r>
    <n v="2025"/>
    <s v="Nissan"/>
    <s v="NISSAN"/>
    <s v="ARIYA PLATINUM+ e-4ORCE 87kWh 19in. Wheels"/>
    <s v="All Wheel Drive"/>
    <x v="7"/>
    <n v="36"/>
    <n v="39"/>
    <n v="37"/>
    <n v="900"/>
    <n v="9"/>
    <n v="10"/>
    <n v="5000"/>
    <s v=""/>
    <n v="0"/>
    <n v="0"/>
    <n v="0"/>
    <n v="267"/>
    <n v="276"/>
    <n v="256"/>
    <n v="14"/>
    <s v=""/>
    <s v="160 and 160"/>
    <s v="Lithium Ion"/>
    <s v="Electrical Regen Brake"/>
  </r>
  <r>
    <n v="2025"/>
    <s v="Nissan"/>
    <s v="NISSAN"/>
    <s v="ARIYA PLATINUM+ e-4ORCE 87kWh 20in. Wheels"/>
    <s v="All Wheel Drive"/>
    <x v="7"/>
    <n v="89"/>
    <n v="84"/>
    <n v="87"/>
    <n v="950"/>
    <n v="9"/>
    <n v="10"/>
    <n v="4750"/>
    <s v=""/>
    <n v="0"/>
    <n v="0"/>
    <n v="0"/>
    <n v="257"/>
    <n v="264"/>
    <n v="248"/>
    <n v="14"/>
    <s v=""/>
    <s v="160 and 160"/>
    <s v="Lithium Ion"/>
    <s v="Electrical Regen Brake"/>
  </r>
  <r>
    <n v="2025"/>
    <s v="Nissan"/>
    <s v="NISSAN"/>
    <s v="ARIYA PLATINUM+ e-4ORCE 87kWh 20in. Wheels"/>
    <s v="All Wheel Drive"/>
    <x v="7"/>
    <n v="38"/>
    <n v="40"/>
    <n v="39"/>
    <n v="950"/>
    <n v="9"/>
    <n v="10"/>
    <n v="4750"/>
    <s v=""/>
    <n v="0"/>
    <n v="0"/>
    <n v="0"/>
    <n v="257"/>
    <n v="264"/>
    <n v="248"/>
    <n v="14"/>
    <s v=""/>
    <s v="160 and 160"/>
    <s v="Lithium Ion"/>
    <s v="Electrical Regen Brake"/>
  </r>
  <r>
    <n v="2025"/>
    <s v="Nissan"/>
    <s v="NISSAN"/>
    <s v="ARIYA EVOLVE+ FWD 87kWh"/>
    <s v="2-Wheel Drive, Front"/>
    <x v="6"/>
    <n v="105"/>
    <n v="91"/>
    <n v="98"/>
    <n v="800"/>
    <n v="9"/>
    <n v="10"/>
    <n v="5500"/>
    <s v=""/>
    <n v="0"/>
    <n v="0"/>
    <n v="0"/>
    <n v="289"/>
    <n v="308"/>
    <n v="266"/>
    <n v="14"/>
    <s v=""/>
    <s v="178"/>
    <s v="Lithium Ion"/>
    <s v="Electrical Regen Brake"/>
  </r>
  <r>
    <n v="2025"/>
    <s v="Nissan"/>
    <s v="NISSAN"/>
    <s v="ARIYA EVOLVE+ FWD 87kWh"/>
    <s v="2-Wheel Drive, Front"/>
    <x v="6"/>
    <n v="32"/>
    <n v="37"/>
    <n v="34"/>
    <n v="800"/>
    <n v="9"/>
    <n v="10"/>
    <n v="5500"/>
    <s v=""/>
    <n v="0"/>
    <n v="0"/>
    <n v="0"/>
    <n v="289"/>
    <n v="308"/>
    <n v="266"/>
    <n v="14"/>
    <s v=""/>
    <s v="178"/>
    <s v="Lithium Ion"/>
    <s v="Electrical Regen Brake"/>
  </r>
  <r>
    <n v="2025"/>
    <s v="Nissan"/>
    <s v="NISSAN"/>
    <s v="ARIYA FWD 63kWh"/>
    <s v="2-Wheel Drive, Front"/>
    <x v="6"/>
    <n v="109"/>
    <n v="94"/>
    <n v="101"/>
    <n v="800"/>
    <n v="9"/>
    <n v="10"/>
    <n v="5500"/>
    <s v=""/>
    <n v="0"/>
    <n v="0"/>
    <n v="0"/>
    <n v="216"/>
    <n v="230"/>
    <n v="199"/>
    <n v="10"/>
    <s v=""/>
    <s v="160"/>
    <s v="Lithium Ion"/>
    <s v="Electrical Regen Brake"/>
  </r>
  <r>
    <n v="2025"/>
    <s v="Nissan"/>
    <s v="NISSAN"/>
    <s v="ARIYA FWD 63kWh"/>
    <s v="2-Wheel Drive, Front"/>
    <x v="6"/>
    <n v="31"/>
    <n v="36"/>
    <n v="33"/>
    <n v="800"/>
    <n v="9"/>
    <n v="10"/>
    <n v="5500"/>
    <s v=""/>
    <n v="0"/>
    <n v="0"/>
    <n v="0"/>
    <n v="216"/>
    <n v="230"/>
    <n v="199"/>
    <n v="10"/>
    <s v=""/>
    <s v="160"/>
    <s v="Lithium Ion"/>
    <s v="Electrical Regen Brake"/>
  </r>
  <r>
    <n v="2025"/>
    <s v="Nissan"/>
    <s v="NISSAN"/>
    <s v="ARIYA e-4ORCE 63kWh"/>
    <s v="All Wheel Drive"/>
    <x v="7"/>
    <n v="101"/>
    <n v="89"/>
    <n v="95"/>
    <n v="850"/>
    <n v="9"/>
    <n v="10"/>
    <n v="5250"/>
    <s v=""/>
    <n v="0"/>
    <n v="0"/>
    <n v="0"/>
    <n v="205"/>
    <n v="216"/>
    <n v="191"/>
    <n v="10"/>
    <s v=""/>
    <s v="160 and 160"/>
    <s v="Lithium Ion"/>
    <s v="Electrical Regen Brake"/>
  </r>
  <r>
    <n v="2025"/>
    <s v="Nissan"/>
    <s v="NISSAN"/>
    <s v="ARIYA e-4ORCE 63kWh"/>
    <s v="All Wheel Drive"/>
    <x v="7"/>
    <n v="33"/>
    <n v="38"/>
    <n v="35"/>
    <n v="850"/>
    <n v="9"/>
    <n v="10"/>
    <n v="5250"/>
    <s v=""/>
    <n v="0"/>
    <n v="0"/>
    <n v="0"/>
    <n v="205"/>
    <n v="216"/>
    <n v="191"/>
    <n v="10"/>
    <s v=""/>
    <s v="160 and 160"/>
    <s v="Lithium Ion"/>
    <s v="Electrical Regen Brake"/>
  </r>
  <r>
    <n v="2025"/>
    <s v="Nissan"/>
    <s v="NISSAN"/>
    <s v="LEAF"/>
    <s v="2-Wheel Drive, Front"/>
    <x v="11"/>
    <n v="123"/>
    <n v="99"/>
    <n v="111"/>
    <n v="700"/>
    <n v="9"/>
    <n v="10"/>
    <n v="6000"/>
    <s v=""/>
    <n v="0"/>
    <n v="0"/>
    <n v="0"/>
    <n v="149"/>
    <n v="163"/>
    <n v="131"/>
    <n v="8"/>
    <s v=""/>
    <s v="110"/>
    <s v="Lithium Ion"/>
    <s v="Electrical Regen Brake"/>
  </r>
  <r>
    <n v="2025"/>
    <s v="Nissan"/>
    <s v="NISSAN"/>
    <s v="LEAF"/>
    <s v="2-Wheel Drive, Front"/>
    <x v="11"/>
    <n v="27"/>
    <n v="34"/>
    <n v="30"/>
    <n v="700"/>
    <n v="9"/>
    <n v="10"/>
    <n v="6000"/>
    <s v=""/>
    <n v="0"/>
    <n v="0"/>
    <n v="0"/>
    <n v="149"/>
    <n v="163"/>
    <n v="131"/>
    <n v="8"/>
    <s v=""/>
    <s v="110"/>
    <s v="Lithium Ion"/>
    <s v="Electrical Regen Brake"/>
  </r>
  <r>
    <n v="2025"/>
    <s v="Nissan"/>
    <s v="NISSAN"/>
    <s v="LEAF"/>
    <s v="2-Wheel Drive, Front"/>
    <x v="11"/>
    <n v="121"/>
    <n v="98"/>
    <n v="109"/>
    <n v="750"/>
    <n v="9"/>
    <n v="10"/>
    <n v="5750"/>
    <s v=""/>
    <n v="0"/>
    <n v="0"/>
    <n v="0"/>
    <n v="212"/>
    <n v="232"/>
    <n v="188"/>
    <n v="11"/>
    <s v=""/>
    <s v="160"/>
    <s v="Lithium Ion"/>
    <s v="Electrical Regen Brake"/>
  </r>
  <r>
    <n v="2025"/>
    <s v="Nissan"/>
    <s v="NISSAN"/>
    <s v="LEAF"/>
    <s v="2-Wheel Drive, Front"/>
    <x v="11"/>
    <n v="28"/>
    <n v="34"/>
    <n v="31"/>
    <n v="750"/>
    <n v="9"/>
    <n v="10"/>
    <n v="5750"/>
    <s v=""/>
    <n v="0"/>
    <n v="0"/>
    <n v="0"/>
    <n v="212"/>
    <n v="232"/>
    <n v="188"/>
    <n v="11"/>
    <s v=""/>
    <s v="160"/>
    <s v="Lithium Ion"/>
    <s v="Electrical Regen Brake"/>
  </r>
  <r>
    <n v="2025"/>
    <s v="Volvo"/>
    <s v="Polestar Automotive USA Inc"/>
    <s v="Polestar 2 Dual Motor (19 Inch Wheels)"/>
    <s v="All Wheel Drive"/>
    <x v="11"/>
    <n v="105"/>
    <n v="95"/>
    <n v="101"/>
    <n v="800"/>
    <n v="9"/>
    <n v="10"/>
    <n v="5500"/>
    <s v=""/>
    <n v="0"/>
    <n v="0"/>
    <n v="0"/>
    <n v="278"/>
    <n v="290"/>
    <n v="263"/>
    <n v="8"/>
    <s v=""/>
    <s v="200 and 215"/>
    <s v="Lithium Ion"/>
    <s v="Electrical Regen Brake"/>
  </r>
  <r>
    <n v="2025"/>
    <s v="Volvo"/>
    <s v="Polestar Automotive USA Inc"/>
    <s v="Polestar 2 Dual Motor (19 Inch Wheels)"/>
    <s v="All Wheel Drive"/>
    <x v="11"/>
    <n v="32"/>
    <n v="35"/>
    <n v="34"/>
    <n v="800"/>
    <n v="9"/>
    <n v="10"/>
    <n v="5500"/>
    <s v=""/>
    <n v="0"/>
    <n v="0"/>
    <n v="0"/>
    <n v="278"/>
    <n v="290"/>
    <n v="263"/>
    <n v="8"/>
    <s v=""/>
    <s v="200 and 215"/>
    <s v="Lithium Ion"/>
    <s v="Electrical Regen Brake"/>
  </r>
  <r>
    <n v="2025"/>
    <s v="Volvo"/>
    <s v="Polestar Automotive USA Inc"/>
    <s v="Polestar 2 Single Motor (19 Inch Wheels)"/>
    <s v="2-Wheel Drive, Rear"/>
    <x v="11"/>
    <n v="123"/>
    <n v="104"/>
    <n v="114"/>
    <n v="700"/>
    <n v="9"/>
    <n v="10"/>
    <n v="6000"/>
    <s v=""/>
    <n v="0"/>
    <n v="0"/>
    <n v="0"/>
    <n v="314"/>
    <n v="337"/>
    <n v="286"/>
    <n v="8"/>
    <s v=""/>
    <s v="185 and 220"/>
    <s v="Lithium Ion"/>
    <s v="Electrical Regen Brake"/>
  </r>
  <r>
    <n v="2025"/>
    <s v="Volvo"/>
    <s v="Polestar Automotive USA Inc"/>
    <s v="Polestar 2 Single Motor (19 Inch Wheels)"/>
    <s v="2-Wheel Drive, Rear"/>
    <x v="11"/>
    <n v="27"/>
    <n v="32"/>
    <n v="30"/>
    <n v="700"/>
    <n v="9"/>
    <n v="10"/>
    <n v="6000"/>
    <s v=""/>
    <n v="0"/>
    <n v="0"/>
    <n v="0"/>
    <n v="314"/>
    <n v="337"/>
    <n v="286"/>
    <n v="8"/>
    <s v=""/>
    <s v="185 and 220"/>
    <s v="Lithium Ion"/>
    <s v="Electrical Regen Brake"/>
  </r>
  <r>
    <n v="2025"/>
    <s v="Volvo"/>
    <s v="Polestar Automotive USA Inc"/>
    <s v="Polestar 3 Long Range Dual Motor (21 Inch Wheels)"/>
    <s v="All Wheel Drive"/>
    <x v="0"/>
    <n v="92"/>
    <n v="84"/>
    <n v="88"/>
    <n v="900"/>
    <n v="9"/>
    <n v="10"/>
    <n v="5000"/>
    <s v=""/>
    <n v="0"/>
    <n v="0"/>
    <n v="0"/>
    <n v="315"/>
    <n v="328"/>
    <n v="299"/>
    <n v="10"/>
    <s v=""/>
    <s v="127 and 180"/>
    <s v="Lithium Ion"/>
    <s v="Electrical Regen Brake"/>
  </r>
  <r>
    <n v="2025"/>
    <s v="Volvo"/>
    <s v="Polestar Automotive USA Inc"/>
    <s v="Polestar 3 Long Range Dual Motor (21 Inch Wheels)"/>
    <s v="All Wheel Drive"/>
    <x v="0"/>
    <n v="37"/>
    <n v="40"/>
    <n v="38"/>
    <n v="900"/>
    <n v="9"/>
    <n v="10"/>
    <n v="5000"/>
    <s v=""/>
    <n v="0"/>
    <n v="0"/>
    <n v="0"/>
    <n v="315"/>
    <n v="328"/>
    <n v="299"/>
    <n v="10"/>
    <s v=""/>
    <s v="127 and 180"/>
    <s v="Lithium Ion"/>
    <s v="Electrical Regen Brake"/>
  </r>
  <r>
    <n v="2025"/>
    <s v="Volvo"/>
    <s v="Polestar Automotive USA Inc"/>
    <s v="Polestar 3 Long Range Dual Motor (22 Inch Wheels)"/>
    <s v="All Wheel Drive"/>
    <x v="0"/>
    <n v="84"/>
    <n v="76"/>
    <n v="80"/>
    <n v="1000"/>
    <n v="9"/>
    <n v="10"/>
    <n v="4500"/>
    <s v=""/>
    <n v="0"/>
    <n v="0"/>
    <n v="0"/>
    <n v="287"/>
    <n v="299"/>
    <n v="272"/>
    <n v="10"/>
    <s v=""/>
    <s v="173 and 200"/>
    <s v="Lithium Ion"/>
    <s v="Electrical Regen Brake"/>
  </r>
  <r>
    <n v="2025"/>
    <s v="Volvo"/>
    <s v="Polestar Automotive USA Inc"/>
    <s v="Polestar 3 Long Range Dual Motor (22 Inch Wheels)"/>
    <s v="All Wheel Drive"/>
    <x v="0"/>
    <n v="40"/>
    <n v="44"/>
    <n v="42"/>
    <n v="1000"/>
    <n v="9"/>
    <n v="10"/>
    <n v="4500"/>
    <s v=""/>
    <n v="0"/>
    <n v="0"/>
    <n v="0"/>
    <n v="287"/>
    <n v="299"/>
    <n v="272"/>
    <n v="10"/>
    <s v=""/>
    <s v="173 and 200"/>
    <s v="Lithium Ion"/>
    <s v="Electrical Regen Brake"/>
  </r>
  <r>
    <n v="2025"/>
    <s v="Volvo"/>
    <s v="Polestar Automotive USA Inc"/>
    <s v="Polestar 2 Dual Motor (20 Inch Wheels)"/>
    <s v="All Wheel Drive"/>
    <x v="11"/>
    <n v="101"/>
    <n v="92"/>
    <n v="97"/>
    <n v="850"/>
    <n v="9"/>
    <n v="10"/>
    <n v="5250"/>
    <s v=""/>
    <n v="0"/>
    <n v="0"/>
    <n v="0"/>
    <n v="268"/>
    <n v="282"/>
    <n v="251"/>
    <n v="8"/>
    <s v=""/>
    <s v="190 and 215"/>
    <s v="Lithium Ion"/>
    <s v="Electrical Regen Brake"/>
  </r>
  <r>
    <n v="2025"/>
    <s v="Volvo"/>
    <s v="Polestar Automotive USA Inc"/>
    <s v="Polestar 2 Dual Motor (20 Inch Wheels)"/>
    <s v="All Wheel Drive"/>
    <x v="11"/>
    <n v="33"/>
    <n v="37"/>
    <n v="35"/>
    <n v="850"/>
    <n v="9"/>
    <n v="10"/>
    <n v="5250"/>
    <s v=""/>
    <n v="0"/>
    <n v="0"/>
    <n v="0"/>
    <n v="268"/>
    <n v="282"/>
    <n v="251"/>
    <n v="8"/>
    <s v=""/>
    <s v="190 and 215"/>
    <s v="Lithium Ion"/>
    <s v="Electrical Regen Brake"/>
  </r>
  <r>
    <n v="2025"/>
    <s v="Volvo"/>
    <s v="Polestar Automotive USA Inc"/>
    <s v="Polestar 2 Single Motor (20 Inch Wheels)"/>
    <s v="2-Wheel Drive, Rear"/>
    <x v="11"/>
    <n v="117"/>
    <n v="101"/>
    <n v="109"/>
    <n v="750"/>
    <n v="9"/>
    <n v="10"/>
    <n v="5750"/>
    <s v=""/>
    <n v="0"/>
    <n v="0"/>
    <n v="0"/>
    <n v="300"/>
    <n v="320"/>
    <n v="275"/>
    <n v="8"/>
    <s v=""/>
    <s v="185 and 220"/>
    <s v="Lithium Ion"/>
    <s v="Electrical Regen Brake"/>
  </r>
  <r>
    <n v="2025"/>
    <s v="Volvo"/>
    <s v="Polestar Automotive USA Inc"/>
    <s v="Polestar 2 Single Motor (20 Inch Wheels)"/>
    <s v="2-Wheel Drive, Rear"/>
    <x v="11"/>
    <n v="29"/>
    <n v="33"/>
    <n v="31"/>
    <n v="750"/>
    <n v="9"/>
    <n v="10"/>
    <n v="5750"/>
    <s v=""/>
    <n v="0"/>
    <n v="0"/>
    <n v="0"/>
    <n v="300"/>
    <n v="320"/>
    <n v="275"/>
    <n v="8"/>
    <s v=""/>
    <s v="185 and 220"/>
    <s v="Lithium Ion"/>
    <s v="Electrical Regen Brake"/>
  </r>
  <r>
    <n v="2025"/>
    <s v="Volvo"/>
    <s v="Polestar Automotive USA Inc"/>
    <s v="Polestar 2 Dual Motor Performance Pack"/>
    <s v="All Wheel Drive"/>
    <x v="11"/>
    <n v="95"/>
    <n v="87"/>
    <n v="91"/>
    <n v="900"/>
    <n v="9"/>
    <n v="10"/>
    <n v="5000"/>
    <s v=""/>
    <n v="0"/>
    <n v="0"/>
    <n v="0"/>
    <n v="254"/>
    <n v="264"/>
    <n v="242"/>
    <n v="8"/>
    <s v=""/>
    <s v="190 and 215"/>
    <s v="Lithium Ion"/>
    <s v="Electrical Regen Brake"/>
  </r>
  <r>
    <n v="2025"/>
    <s v="Volvo"/>
    <s v="Polestar Automotive USA Inc"/>
    <s v="Polestar 2 Dual Motor Performance Pack"/>
    <s v="All Wheel Drive"/>
    <x v="11"/>
    <n v="35"/>
    <n v="39"/>
    <n v="37"/>
    <n v="900"/>
    <n v="9"/>
    <n v="10"/>
    <n v="5000"/>
    <s v=""/>
    <n v="0"/>
    <n v="0"/>
    <n v="0"/>
    <n v="254"/>
    <n v="264"/>
    <n v="242"/>
    <n v="8"/>
    <s v=""/>
    <s v="190 and 215"/>
    <s v="Lithium Ion"/>
    <s v="Electrical Regen Brake"/>
  </r>
  <r>
    <n v="2025"/>
    <s v="Volvo"/>
    <s v="Polestar Automotive USA Inc"/>
    <s v="Polestar 3 Long Range Dual Motor Performance Pack"/>
    <s v="All Wheel Drive"/>
    <x v="0"/>
    <n v="81"/>
    <n v="73"/>
    <n v="77"/>
    <n v="1050"/>
    <n v="9"/>
    <n v="10"/>
    <n v="4250"/>
    <s v=""/>
    <n v="0"/>
    <n v="0"/>
    <n v="0"/>
    <n v="279"/>
    <n v="292"/>
    <n v="263"/>
    <n v="10"/>
    <s v=""/>
    <s v="127 and 200"/>
    <s v="Lithium Ion"/>
    <s v="Electrical Regen Brake"/>
  </r>
  <r>
    <n v="2025"/>
    <s v="Volvo"/>
    <s v="Polestar Automotive USA Inc"/>
    <s v="Polestar 3 Long Range Dual Motor Performance Pack"/>
    <s v="All Wheel Drive"/>
    <x v="0"/>
    <n v="42"/>
    <n v="46"/>
    <n v="44"/>
    <n v="1050"/>
    <n v="9"/>
    <n v="10"/>
    <n v="4250"/>
    <s v=""/>
    <n v="0"/>
    <n v="0"/>
    <n v="0"/>
    <n v="279"/>
    <n v="292"/>
    <n v="263"/>
    <n v="10"/>
    <s v=""/>
    <s v="127 and 200"/>
    <s v="Lithium Ion"/>
    <s v="Electrical Regen Brake"/>
  </r>
  <r>
    <n v="2025"/>
    <s v="Volvo"/>
    <s v="Polestar Automotive USA Inc"/>
    <s v="Polestar 3 Long Range Dual Motor (20 Inch Wheels)"/>
    <s v="All Wheel Drive"/>
    <x v="0"/>
    <n v="91"/>
    <n v="82"/>
    <n v="87"/>
    <n v="950"/>
    <n v="9"/>
    <n v="10"/>
    <n v="4750"/>
    <s v=""/>
    <n v="0"/>
    <n v="0"/>
    <n v="0"/>
    <n v="310"/>
    <n v="321"/>
    <n v="297"/>
    <n v="10"/>
    <s v=""/>
    <s v="173 and 180"/>
    <s v="Lithium Ion"/>
    <s v="Electrical Regen Brake"/>
  </r>
  <r>
    <n v="2025"/>
    <s v="Volvo"/>
    <s v="Polestar Automotive USA Inc"/>
    <s v="Polestar 3 Long Range Dual Motor (20 Inch Wheels)"/>
    <s v="All Wheel Drive"/>
    <x v="0"/>
    <n v="38"/>
    <n v="41"/>
    <n v="39"/>
    <n v="950"/>
    <n v="9"/>
    <n v="10"/>
    <n v="4750"/>
    <s v=""/>
    <n v="0"/>
    <n v="0"/>
    <n v="0"/>
    <n v="310"/>
    <n v="321"/>
    <n v="297"/>
    <n v="10"/>
    <s v=""/>
    <s v="173 and 180"/>
    <s v="Lithium Ion"/>
    <s v="Electrical Regen Brake"/>
  </r>
  <r>
    <n v="2025"/>
    <s v="Volvo"/>
    <s v="Polestar Automotive USA Inc"/>
    <s v="Polestar 4 Long Range Dual Motor"/>
    <s v="All Wheel Drive"/>
    <x v="0"/>
    <n v="86"/>
    <n v="80"/>
    <n v="83"/>
    <n v="1000"/>
    <n v="9"/>
    <n v="10"/>
    <n v="4500"/>
    <s v=""/>
    <n v="0"/>
    <n v="0"/>
    <n v="0"/>
    <n v="272"/>
    <n v="281"/>
    <n v="261"/>
    <n v="11"/>
    <s v=""/>
    <s v="200"/>
    <s v="Lithium Ion"/>
    <s v="Electrical Regen Brake"/>
  </r>
  <r>
    <n v="2025"/>
    <s v="Volvo"/>
    <s v="Polestar Automotive USA Inc"/>
    <s v="Polestar 4 Long Range Dual Motor"/>
    <s v="All Wheel Drive"/>
    <x v="0"/>
    <n v="39"/>
    <n v="42"/>
    <n v="41"/>
    <n v="1000"/>
    <n v="9"/>
    <n v="10"/>
    <n v="4500"/>
    <s v=""/>
    <n v="0"/>
    <n v="0"/>
    <n v="0"/>
    <n v="272"/>
    <n v="281"/>
    <n v="261"/>
    <n v="11"/>
    <s v=""/>
    <s v="200"/>
    <s v="Lithium Ion"/>
    <s v="Electrical Regen Brake"/>
  </r>
  <r>
    <n v="2025"/>
    <s v="Volvo"/>
    <s v="Polestar Automotive USA Inc"/>
    <s v="Polestar 4 Long Range Single Motor"/>
    <s v="2-Wheel Drive, Rear"/>
    <x v="2"/>
    <n v="93"/>
    <n v="87"/>
    <n v="90"/>
    <n v="900"/>
    <n v="9"/>
    <n v="10"/>
    <n v="5000"/>
    <s v=""/>
    <n v="0"/>
    <n v="0"/>
    <n v="0"/>
    <n v="300"/>
    <n v="311"/>
    <n v="287"/>
    <n v="11"/>
    <s v=""/>
    <s v="200"/>
    <s v="Lithium Ion"/>
    <s v="Electrical Regen Brake"/>
  </r>
  <r>
    <n v="2025"/>
    <s v="Volvo"/>
    <s v="Polestar Automotive USA Inc"/>
    <s v="Polestar 4 Long Range Single Motor"/>
    <s v="2-Wheel Drive, Rear"/>
    <x v="2"/>
    <n v="35"/>
    <n v="38"/>
    <n v="36"/>
    <n v="900"/>
    <n v="9"/>
    <n v="10"/>
    <n v="5000"/>
    <s v=""/>
    <n v="0"/>
    <n v="0"/>
    <n v="0"/>
    <n v="300"/>
    <n v="311"/>
    <n v="287"/>
    <n v="11"/>
    <s v=""/>
    <s v="200"/>
    <s v="Lithium Ion"/>
    <s v="Electrical Regen Brake"/>
  </r>
  <r>
    <n v="2025"/>
    <s v="Volvo"/>
    <s v="Polestar Automotive USA Inc"/>
    <s v="Polestar 3 Long Range Single Motor 20 Inch Wheels"/>
    <s v="2-Wheel Drive, Rear"/>
    <x v="2"/>
    <n v="103"/>
    <n v="84"/>
    <n v="94"/>
    <n v="850"/>
    <n v="9"/>
    <n v="10"/>
    <n v="5250"/>
    <s v=""/>
    <n v="0"/>
    <n v="0"/>
    <n v="0"/>
    <n v="342"/>
    <n v="374"/>
    <n v="303"/>
    <n v="10"/>
    <s v=""/>
    <s v="220"/>
    <s v="Lithium Ion"/>
    <s v="Electrical Regen Brake"/>
  </r>
  <r>
    <n v="2025"/>
    <s v="Volvo"/>
    <s v="Polestar Automotive USA Inc"/>
    <s v="Polestar 3 Long Range Single Motor 20 Inch Wheels"/>
    <s v="2-Wheel Drive, Rear"/>
    <x v="2"/>
    <n v="33"/>
    <n v="40"/>
    <n v="36"/>
    <n v="850"/>
    <n v="9"/>
    <n v="10"/>
    <n v="5250"/>
    <s v=""/>
    <n v="0"/>
    <n v="0"/>
    <n v="0"/>
    <n v="342"/>
    <n v="374"/>
    <n v="303"/>
    <n v="10"/>
    <s v=""/>
    <s v="220"/>
    <s v="Lithium Ion"/>
    <s v="Electrical Regen Brake"/>
  </r>
  <r>
    <n v="2025"/>
    <s v="Volvo"/>
    <s v="Polestar Automotive USA Inc"/>
    <s v="Polestar 3 Long Range Single Motor 21 Inch Wheels"/>
    <s v="2-Wheel Drive, Rear"/>
    <x v="2"/>
    <n v="105"/>
    <n v="86"/>
    <n v="95"/>
    <n v="850"/>
    <n v="9"/>
    <n v="10"/>
    <n v="5250"/>
    <s v=""/>
    <n v="0"/>
    <n v="0"/>
    <n v="0"/>
    <n v="350"/>
    <n v="317"/>
    <n v="390"/>
    <n v="10"/>
    <s v=""/>
    <s v="220"/>
    <s v="Lithium Ion"/>
    <s v="Electrical Regen Brake"/>
  </r>
  <r>
    <n v="2025"/>
    <s v="Volvo"/>
    <s v="Polestar Automotive USA Inc"/>
    <s v="Polestar 3 Long Range Single Motor 21 Inch Wheels"/>
    <s v="2-Wheel Drive, Rear"/>
    <x v="2"/>
    <n v="32"/>
    <n v="39"/>
    <n v="35"/>
    <n v="850"/>
    <n v="9"/>
    <n v="10"/>
    <n v="5250"/>
    <s v=""/>
    <n v="0"/>
    <n v="0"/>
    <n v="0"/>
    <n v="350"/>
    <n v="303"/>
    <n v="370"/>
    <n v="10"/>
    <s v=""/>
    <s v="220"/>
    <s v="Lithium Ion"/>
    <s v="Electrical Regen Brake"/>
  </r>
  <r>
    <n v="2025"/>
    <s v="Volvo"/>
    <s v="Polestar Automotive USA Inc"/>
    <s v="Polestar 3 Long Range Single Motor 22 Inch Wheels"/>
    <s v="2-Wheel Drive, Rear"/>
    <x v="2"/>
    <n v="100"/>
    <n v="82"/>
    <n v="91"/>
    <n v="900"/>
    <n v="9"/>
    <n v="10"/>
    <n v="5000"/>
    <s v=""/>
    <n v="0"/>
    <n v="0"/>
    <n v="0"/>
    <n v="333"/>
    <n v="362"/>
    <n v="297"/>
    <n v="10"/>
    <s v=""/>
    <s v="220"/>
    <s v="Lithium Ion"/>
    <s v="Electrical Regen Brake"/>
  </r>
  <r>
    <n v="2025"/>
    <s v="Volvo"/>
    <s v="Polestar Automotive USA Inc"/>
    <s v="Polestar 3 Long Range Single Motor 22 Inch Wheels"/>
    <s v="2-Wheel Drive, Rear"/>
    <x v="2"/>
    <n v="34"/>
    <n v="41"/>
    <n v="37"/>
    <n v="900"/>
    <n v="9"/>
    <n v="10"/>
    <n v="5000"/>
    <s v=""/>
    <n v="0"/>
    <n v="0"/>
    <n v="0"/>
    <n v="333"/>
    <n v="362"/>
    <n v="297"/>
    <n v="10"/>
    <s v=""/>
    <s v="220"/>
    <s v="Lithium Ion"/>
    <s v="Electrical Regen Brake"/>
  </r>
  <r>
    <n v="2025"/>
    <s v="Porsche"/>
    <s v="Porsche"/>
    <s v="Macan Electric"/>
    <s v="2-Wheel Drive, Rear"/>
    <x v="7"/>
    <n v="108"/>
    <n v="90"/>
    <n v="99"/>
    <n v="800"/>
    <n v="9"/>
    <n v="10"/>
    <n v="5500"/>
    <s v=""/>
    <n v="0"/>
    <n v="0"/>
    <n v="0"/>
    <n v="315"/>
    <n v="340"/>
    <n v="284"/>
    <n v="11.5"/>
    <s v=""/>
    <s v="280"/>
    <s v="Lithium Ion"/>
    <s v="Electrical Regen Brake"/>
  </r>
  <r>
    <n v="2025"/>
    <s v="Porsche"/>
    <s v="Porsche"/>
    <s v="Macan Electric"/>
    <s v="2-Wheel Drive, Rear"/>
    <x v="7"/>
    <n v="31"/>
    <n v="37"/>
    <n v="34"/>
    <n v="800"/>
    <n v="9"/>
    <n v="10"/>
    <n v="5500"/>
    <s v=""/>
    <n v="0"/>
    <n v="0"/>
    <n v="0"/>
    <n v="315"/>
    <n v="340"/>
    <n v="284"/>
    <n v="11.5"/>
    <s v=""/>
    <s v="280"/>
    <s v="Lithium Ion"/>
    <s v="Electrical Regen Brake"/>
  </r>
  <r>
    <n v="2025"/>
    <s v="Porsche"/>
    <s v="Porsche"/>
    <s v="Macan 4S Electric"/>
    <s v="All Wheel Drive"/>
    <x v="7"/>
    <n v="98"/>
    <n v="83"/>
    <n v="91"/>
    <n v="900"/>
    <n v="9"/>
    <n v="10"/>
    <n v="5000"/>
    <s v=""/>
    <n v="0"/>
    <n v="0"/>
    <n v="0"/>
    <n v="288"/>
    <n v="309"/>
    <n v="263"/>
    <n v="11.5"/>
    <s v=""/>
    <s v="280,280 and 495"/>
    <s v="Lithium Ion"/>
    <s v="Electrical Regen Brake"/>
  </r>
  <r>
    <n v="2025"/>
    <s v="Porsche"/>
    <s v="Porsche"/>
    <s v="Macan 4S Electric"/>
    <s v="All Wheel Drive"/>
    <x v="7"/>
    <n v="34"/>
    <n v="40"/>
    <n v="37"/>
    <n v="900"/>
    <n v="9"/>
    <n v="10"/>
    <n v="5000"/>
    <s v=""/>
    <n v="0"/>
    <n v="0"/>
    <n v="0"/>
    <n v="288"/>
    <n v="309"/>
    <n v="263"/>
    <n v="11.5"/>
    <s v=""/>
    <s v="280,280 and 495"/>
    <s v="Lithium Ion"/>
    <s v="Electrical Regen Brake"/>
  </r>
  <r>
    <n v="2025"/>
    <s v="Porsche"/>
    <s v="Porsche"/>
    <s v="Macan 4 Electric"/>
    <s v="All Wheel Drive"/>
    <x v="7"/>
    <n v="107"/>
    <n v="89"/>
    <n v="98"/>
    <n v="800"/>
    <n v="9"/>
    <n v="10"/>
    <n v="5500"/>
    <s v=""/>
    <n v="0"/>
    <n v="0"/>
    <n v="0"/>
    <n v="308"/>
    <n v="333"/>
    <n v="277"/>
    <n v="11.5"/>
    <s v=""/>
    <s v="175, 280, and 495"/>
    <s v="Lithium Ion"/>
    <s v="Electrical Regen Brake"/>
  </r>
  <r>
    <n v="2025"/>
    <s v="Porsche"/>
    <s v="Porsche"/>
    <s v="Macan 4 Electric"/>
    <s v="All Wheel Drive"/>
    <x v="7"/>
    <n v="32"/>
    <n v="38"/>
    <n v="34"/>
    <n v="800"/>
    <n v="9"/>
    <n v="10"/>
    <n v="5500"/>
    <s v=""/>
    <n v="0"/>
    <n v="0"/>
    <n v="0"/>
    <n v="308"/>
    <n v="333"/>
    <n v="277"/>
    <n v="11.5"/>
    <s v=""/>
    <s v="175, 280, and 495"/>
    <s v="Lithium Ion"/>
    <s v="Electrical Regen Brake"/>
  </r>
  <r>
    <n v="2025"/>
    <s v="Porsche"/>
    <s v="Porsche"/>
    <s v="Macan Turbo Electric"/>
    <s v="All Wheel Drive"/>
    <x v="7"/>
    <n v="99"/>
    <n v="84"/>
    <n v="91"/>
    <n v="900"/>
    <n v="9"/>
    <n v="10"/>
    <n v="5000"/>
    <s v=""/>
    <n v="0"/>
    <n v="0"/>
    <n v="0"/>
    <n v="288"/>
    <n v="309"/>
    <n v="262"/>
    <n v="11.5"/>
    <s v=""/>
    <s v="280,280 and 495"/>
    <s v="Lithium Ion"/>
    <s v="Electrical Regen Brake"/>
  </r>
  <r>
    <n v="2025"/>
    <s v="Porsche"/>
    <s v="Porsche"/>
    <s v="Macan Turbo Electric"/>
    <s v="All Wheel Drive"/>
    <x v="7"/>
    <n v="34"/>
    <n v="40"/>
    <n v="37"/>
    <n v="900"/>
    <n v="9"/>
    <n v="10"/>
    <n v="5000"/>
    <s v=""/>
    <n v="0"/>
    <n v="0"/>
    <n v="0"/>
    <n v="288"/>
    <n v="309"/>
    <n v="262"/>
    <n v="11.5"/>
    <s v=""/>
    <s v="280,280 and 495"/>
    <s v="Lithium Ion"/>
    <s v="Electrical Regen Brake"/>
  </r>
  <r>
    <n v="2025"/>
    <s v="Porsche"/>
    <s v="Porsche"/>
    <s v="Taycan Performance Battery"/>
    <s v="2-Wheel Drive, Rear"/>
    <x v="3"/>
    <n v="94"/>
    <n v="88"/>
    <n v="91"/>
    <n v="900"/>
    <n v="9"/>
    <n v="10"/>
    <n v="5000"/>
    <s v=""/>
    <n v="0"/>
    <n v="0"/>
    <n v="0"/>
    <n v="274"/>
    <n v="282"/>
    <n v="264"/>
    <n v="11.5"/>
    <s v=""/>
    <s v="300 and 320"/>
    <s v="Lithium Ion"/>
    <s v="Electrical Regen Brake"/>
  </r>
  <r>
    <n v="2025"/>
    <s v="Porsche"/>
    <s v="Porsche"/>
    <s v="Taycan Performance Battery"/>
    <s v="2-Wheel Drive, Rear"/>
    <x v="3"/>
    <n v="36"/>
    <n v="38"/>
    <n v="37"/>
    <n v="900"/>
    <n v="9"/>
    <n v="10"/>
    <n v="5000"/>
    <s v=""/>
    <n v="0"/>
    <n v="0"/>
    <n v="0"/>
    <n v="274"/>
    <n v="282"/>
    <n v="264"/>
    <n v="11.5"/>
    <s v=""/>
    <s v="300 and 320"/>
    <s v="Lithium Ion"/>
    <s v="Electrical Regen Brake"/>
  </r>
  <r>
    <n v="2025"/>
    <s v="Porsche"/>
    <s v="Porsche"/>
    <s v="Taycan Perf Battery Plus"/>
    <s v="2-Wheel Drive, Rear"/>
    <x v="3"/>
    <n v="94"/>
    <n v="90"/>
    <n v="92"/>
    <n v="900"/>
    <n v="9"/>
    <n v="10"/>
    <n v="5000"/>
    <s v=""/>
    <n v="0"/>
    <n v="0"/>
    <n v="0"/>
    <n v="318"/>
    <n v="325"/>
    <n v="309"/>
    <n v="13"/>
    <s v=""/>
    <s v="300 and 320"/>
    <s v="Lithium Ion"/>
    <s v="Electrical Regen Brake"/>
  </r>
  <r>
    <n v="2025"/>
    <s v="Porsche"/>
    <s v="Porsche"/>
    <s v="Taycan Perf Battery Plus"/>
    <s v="2-Wheel Drive, Rear"/>
    <x v="3"/>
    <n v="36"/>
    <n v="38"/>
    <n v="37"/>
    <n v="900"/>
    <n v="9"/>
    <n v="10"/>
    <n v="5000"/>
    <s v=""/>
    <n v="0"/>
    <n v="0"/>
    <n v="0"/>
    <n v="318"/>
    <n v="325"/>
    <n v="309"/>
    <n v="13"/>
    <s v=""/>
    <s v="300 and 320"/>
    <s v="Lithium Ion"/>
    <s v="Electrical Regen Brake"/>
  </r>
  <r>
    <n v="2025"/>
    <s v="Porsche"/>
    <s v="Porsche"/>
    <s v="Taycan 4 Perf Battery Plus"/>
    <s v="All Wheel Drive"/>
    <x v="3"/>
    <n v="89"/>
    <n v="85"/>
    <n v="87"/>
    <n v="950"/>
    <n v="9"/>
    <n v="10"/>
    <n v="4750"/>
    <s v=""/>
    <n v="0"/>
    <n v="0"/>
    <n v="0"/>
    <n v="294"/>
    <n v="300"/>
    <n v="286"/>
    <n v="13"/>
    <s v=""/>
    <s v="150, 175, 190, 201, 234, 235, 254, 415, and 503"/>
    <s v="Lithium Ion"/>
    <s v="Electrical Regen Brake"/>
  </r>
  <r>
    <n v="2025"/>
    <s v="Porsche"/>
    <s v="Porsche"/>
    <s v="Taycan 4 Perf Battery Plus"/>
    <s v="All Wheel Drive"/>
    <x v="3"/>
    <n v="38"/>
    <n v="40"/>
    <n v="39"/>
    <n v="950"/>
    <n v="9"/>
    <n v="10"/>
    <n v="4750"/>
    <s v=""/>
    <n v="0"/>
    <n v="0"/>
    <n v="0"/>
    <n v="294"/>
    <n v="300"/>
    <n v="286"/>
    <n v="13"/>
    <s v=""/>
    <s v="150, 175, 190, 201, 234, 235, 254, 415, and 503"/>
    <s v="Lithium Ion"/>
    <s v="Electrical Regen Brake"/>
  </r>
  <r>
    <n v="2025"/>
    <s v="Porsche"/>
    <s v="Porsche"/>
    <s v="Taycan 4 Cross Turismo"/>
    <s v="All Wheel Drive"/>
    <x v="11"/>
    <n v="84"/>
    <n v="79"/>
    <n v="81"/>
    <n v="1000"/>
    <n v="9"/>
    <n v="10"/>
    <n v="4500"/>
    <s v=""/>
    <n v="0"/>
    <n v="0"/>
    <n v="0"/>
    <n v="277"/>
    <n v="285"/>
    <n v="268"/>
    <n v="13"/>
    <s v=""/>
    <s v="150 and 354"/>
    <s v="Lithium Ion"/>
    <s v="Electrical Regen Brake"/>
  </r>
  <r>
    <n v="2025"/>
    <s v="Porsche"/>
    <s v="Porsche"/>
    <s v="Taycan 4 Cross Turismo"/>
    <s v="All Wheel Drive"/>
    <x v="11"/>
    <n v="40"/>
    <n v="43"/>
    <n v="42"/>
    <n v="1000"/>
    <n v="9"/>
    <n v="10"/>
    <n v="4500"/>
    <s v=""/>
    <n v="0"/>
    <n v="0"/>
    <n v="0"/>
    <n v="277"/>
    <n v="285"/>
    <n v="268"/>
    <n v="13"/>
    <s v=""/>
    <s v="150 and 354"/>
    <s v="Lithium Ion"/>
    <s v="Electrical Regen Brake"/>
  </r>
  <r>
    <n v="2025"/>
    <s v="Porsche"/>
    <s v="Porsche"/>
    <s v="Taycan 4S Performance Battery"/>
    <s v="All Wheel Drive"/>
    <x v="3"/>
    <n v="90"/>
    <n v="85"/>
    <n v="88"/>
    <n v="900"/>
    <n v="9"/>
    <n v="10"/>
    <n v="5000"/>
    <s v=""/>
    <n v="0"/>
    <n v="0"/>
    <n v="0"/>
    <n v="252"/>
    <n v="260"/>
    <n v="243"/>
    <n v="11.5"/>
    <s v=""/>
    <s v="150 and 234"/>
    <s v="Lithium Ion"/>
    <s v="Electrical Regen Brake"/>
  </r>
  <r>
    <n v="2025"/>
    <s v="Porsche"/>
    <s v="Porsche"/>
    <s v="Taycan 4S Performance Battery"/>
    <s v="All Wheel Drive"/>
    <x v="3"/>
    <n v="37"/>
    <n v="40"/>
    <n v="38"/>
    <n v="900"/>
    <n v="9"/>
    <n v="10"/>
    <n v="5000"/>
    <s v=""/>
    <n v="0"/>
    <n v="0"/>
    <n v="0"/>
    <n v="252"/>
    <n v="260"/>
    <n v="243"/>
    <n v="11.5"/>
    <s v=""/>
    <s v="150 and 234"/>
    <s v="Lithium Ion"/>
    <s v="Electrical Regen Brake"/>
  </r>
  <r>
    <n v="2025"/>
    <s v="Porsche"/>
    <s v="Porsche"/>
    <s v="Taycan 4S Perf Battery Plus"/>
    <s v="All Wheel Drive"/>
    <x v="3"/>
    <n v="89"/>
    <n v="85"/>
    <n v="87"/>
    <n v="950"/>
    <n v="9"/>
    <n v="10"/>
    <n v="4750"/>
    <s v=""/>
    <n v="0"/>
    <n v="0"/>
    <n v="0"/>
    <n v="295"/>
    <n v="301"/>
    <n v="287"/>
    <n v="13"/>
    <s v=""/>
    <s v="201 and 234"/>
    <s v="Lithium Ion"/>
    <s v="Electrical Regen Brake"/>
  </r>
  <r>
    <n v="2025"/>
    <s v="Porsche"/>
    <s v="Porsche"/>
    <s v="Taycan 4S Perf Battery Plus"/>
    <s v="All Wheel Drive"/>
    <x v="3"/>
    <n v="38"/>
    <n v="40"/>
    <n v="39"/>
    <n v="950"/>
    <n v="9"/>
    <n v="10"/>
    <n v="4750"/>
    <s v=""/>
    <n v="0"/>
    <n v="0"/>
    <n v="0"/>
    <n v="295"/>
    <n v="301"/>
    <n v="287"/>
    <n v="13"/>
    <s v=""/>
    <s v="201 and 234"/>
    <s v="Lithium Ion"/>
    <s v="Electrical Regen Brake"/>
  </r>
  <r>
    <n v="2025"/>
    <s v="Porsche"/>
    <s v="Porsche"/>
    <s v="Taycan 4S Perf Battery Plus 19in All-Season (M+S)"/>
    <s v="All Wheel Drive"/>
    <x v="3"/>
    <n v="94"/>
    <n v="92"/>
    <n v="93"/>
    <n v="850"/>
    <n v="9"/>
    <n v="10"/>
    <n v="5000"/>
    <s v=""/>
    <n v="0"/>
    <n v="0"/>
    <n v="0"/>
    <n v="315"/>
    <n v="319"/>
    <n v="310"/>
    <n v="13"/>
    <s v=""/>
    <s v="201 and 235"/>
    <s v="Lithium Ion"/>
    <s v="Electrical Regen Brake"/>
  </r>
  <r>
    <n v="2025"/>
    <s v="Porsche"/>
    <s v="Porsche"/>
    <s v="Taycan 4S Perf Battery Plus 19in All-Season (M+S)"/>
    <s v="All Wheel Drive"/>
    <x v="3"/>
    <n v="36"/>
    <n v="37"/>
    <n v="36"/>
    <n v="850"/>
    <n v="9"/>
    <n v="10"/>
    <n v="5000"/>
    <s v=""/>
    <n v="0"/>
    <n v="0"/>
    <n v="0"/>
    <n v="315"/>
    <n v="319"/>
    <n v="310"/>
    <n v="13"/>
    <s v=""/>
    <s v="201 and 235"/>
    <s v="Lithium Ion"/>
    <s v="Electrical Regen Brake"/>
  </r>
  <r>
    <n v="2025"/>
    <s v="Porsche"/>
    <s v="Porsche"/>
    <s v="Taycan 4S Cross Turismo"/>
    <s v="All Wheel Drive"/>
    <x v="11"/>
    <n v="82"/>
    <n v="77"/>
    <n v="80"/>
    <n v="1000"/>
    <n v="9"/>
    <n v="10"/>
    <n v="4500"/>
    <s v=""/>
    <n v="0"/>
    <n v="0"/>
    <n v="0"/>
    <n v="272"/>
    <n v="279"/>
    <n v="263"/>
    <n v="13"/>
    <s v=""/>
    <s v="150 and 175"/>
    <s v="Lithium Ion"/>
    <s v="Electrical Regen Brake"/>
  </r>
  <r>
    <n v="2025"/>
    <s v="Porsche"/>
    <s v="Porsche"/>
    <s v="Taycan 4S Cross Turismo"/>
    <s v="All Wheel Drive"/>
    <x v="11"/>
    <n v="41"/>
    <n v="44"/>
    <n v="42"/>
    <n v="1000"/>
    <n v="9"/>
    <n v="10"/>
    <n v="4500"/>
    <s v=""/>
    <n v="0"/>
    <n v="0"/>
    <n v="0"/>
    <n v="272"/>
    <n v="279"/>
    <n v="263"/>
    <n v="13"/>
    <s v=""/>
    <s v="150 and 175"/>
    <s v="Lithium Ion"/>
    <s v="Electrical Regen Brake"/>
  </r>
  <r>
    <n v="2025"/>
    <s v="Porsche"/>
    <s v="Porsche"/>
    <s v="Taycan Turbo"/>
    <s v="All Wheel Drive"/>
    <x v="3"/>
    <n v="88"/>
    <n v="83"/>
    <n v="86"/>
    <n v="950"/>
    <n v="9"/>
    <n v="10"/>
    <n v="4750"/>
    <s v=""/>
    <n v="0"/>
    <n v="0"/>
    <n v="0"/>
    <n v="292"/>
    <n v="299"/>
    <n v="284"/>
    <n v="13"/>
    <s v=""/>
    <s v="175 and 234"/>
    <s v="Lithium Ion"/>
    <s v="Electrical Regen Brake"/>
  </r>
  <r>
    <n v="2025"/>
    <s v="Porsche"/>
    <s v="Porsche"/>
    <s v="Taycan Turbo"/>
    <s v="All Wheel Drive"/>
    <x v="3"/>
    <n v="38"/>
    <n v="40"/>
    <n v="39"/>
    <n v="950"/>
    <n v="9"/>
    <n v="10"/>
    <n v="4750"/>
    <s v=""/>
    <n v="0"/>
    <n v="0"/>
    <n v="0"/>
    <n v="292"/>
    <n v="299"/>
    <n v="284"/>
    <n v="13"/>
    <s v=""/>
    <s v="175 and 234"/>
    <s v="Lithium Ion"/>
    <s v="Electrical Regen Brake"/>
  </r>
  <r>
    <n v="2025"/>
    <s v="Porsche"/>
    <s v="Porsche"/>
    <s v="Taycan Turbo 21in Aero-Design wheel (285/35)"/>
    <s v="All Wheel Drive"/>
    <x v="3"/>
    <n v="94"/>
    <n v="92"/>
    <n v="93"/>
    <n v="850"/>
    <n v="9"/>
    <n v="10"/>
    <n v="5250"/>
    <s v=""/>
    <n v="0"/>
    <n v="0"/>
    <n v="0"/>
    <n v="317"/>
    <n v="319"/>
    <n v="314"/>
    <n v="13"/>
    <s v=""/>
    <s v="175 and 234"/>
    <s v="Lithium Ion"/>
    <s v="Electrical Regen Brake"/>
  </r>
  <r>
    <n v="2025"/>
    <s v="Porsche"/>
    <s v="Porsche"/>
    <s v="Taycan Turbo 21in Aero-Design wheel (285/35)"/>
    <s v="All Wheel Drive"/>
    <x v="3"/>
    <n v="36"/>
    <n v="37"/>
    <n v="36"/>
    <n v="850"/>
    <n v="9"/>
    <n v="10"/>
    <n v="5250"/>
    <s v=""/>
    <n v="0"/>
    <n v="0"/>
    <n v="0"/>
    <n v="317"/>
    <n v="319"/>
    <n v="314"/>
    <n v="13"/>
    <s v=""/>
    <s v="175 and 234"/>
    <s v="Lithium Ion"/>
    <s v="Electrical Regen Brake"/>
  </r>
  <r>
    <n v="2025"/>
    <s v="Porsche"/>
    <s v="Porsche"/>
    <s v="Taycan Turbo Cross Turismo"/>
    <s v="All Wheel Drive"/>
    <x v="11"/>
    <n v="80"/>
    <n v="76"/>
    <n v="78"/>
    <n v="1050"/>
    <n v="9"/>
    <n v="10"/>
    <n v="4250"/>
    <s v=""/>
    <n v="0"/>
    <n v="0"/>
    <n v="0"/>
    <n v="265"/>
    <n v="271"/>
    <n v="258"/>
    <n v="13"/>
    <s v=""/>
    <s v="190 and 201"/>
    <s v="Lithium Ion"/>
    <s v="Electrical Regen Brake"/>
  </r>
  <r>
    <n v="2025"/>
    <s v="Porsche"/>
    <s v="Porsche"/>
    <s v="Taycan Turbo Cross Turismo"/>
    <s v="All Wheel Drive"/>
    <x v="11"/>
    <n v="42"/>
    <n v="44"/>
    <n v="43"/>
    <n v="1050"/>
    <n v="9"/>
    <n v="10"/>
    <n v="4250"/>
    <s v=""/>
    <n v="0"/>
    <n v="0"/>
    <n v="0"/>
    <n v="265"/>
    <n v="271"/>
    <n v="258"/>
    <n v="13"/>
    <s v=""/>
    <s v="190 and 201"/>
    <s v="Lithium Ion"/>
    <s v="Electrical Regen Brake"/>
  </r>
  <r>
    <n v="2025"/>
    <s v="Porsche"/>
    <s v="Porsche"/>
    <s v="Taycan Turbo S"/>
    <s v="All Wheel Drive"/>
    <x v="3"/>
    <n v="80"/>
    <n v="78"/>
    <n v="79"/>
    <n v="1050"/>
    <n v="9"/>
    <n v="10"/>
    <n v="4250"/>
    <s v=""/>
    <n v="0"/>
    <n v="0"/>
    <n v="0"/>
    <n v="266"/>
    <n v="270"/>
    <n v="262"/>
    <n v="13"/>
    <s v=""/>
    <s v="150, 175, 190, 201, 234, 235, 254, 415, and 503"/>
    <s v="Lithium Ion"/>
    <s v="Electrical Regen Brake"/>
  </r>
  <r>
    <n v="2025"/>
    <s v="Porsche"/>
    <s v="Porsche"/>
    <s v="Taycan Turbo S"/>
    <s v="All Wheel Drive"/>
    <x v="3"/>
    <n v="42"/>
    <n v="43"/>
    <n v="43"/>
    <n v="1050"/>
    <n v="9"/>
    <n v="10"/>
    <n v="4250"/>
    <s v=""/>
    <n v="0"/>
    <n v="0"/>
    <n v="0"/>
    <n v="266"/>
    <n v="270"/>
    <n v="262"/>
    <n v="13"/>
    <s v=""/>
    <s v="150, 175, 190, 201, 234, 235, 254, 415, and 503"/>
    <s v="Lithium Ion"/>
    <s v="Electrical Regen Brake"/>
  </r>
  <r>
    <n v="2025"/>
    <s v="Porsche"/>
    <s v="Porsche"/>
    <s v="Taycan Turbo S 21in Aero-Design wheel (285/35)"/>
    <s v="All Wheel Drive"/>
    <x v="3"/>
    <n v="90"/>
    <n v="90"/>
    <n v="90"/>
    <n v="900"/>
    <n v="9"/>
    <n v="10"/>
    <n v="5000"/>
    <s v=""/>
    <n v="0"/>
    <n v="0"/>
    <n v="0"/>
    <n v="298"/>
    <n v="298"/>
    <n v="297"/>
    <n v="13"/>
    <s v=""/>
    <s v="234 and 254"/>
    <s v="Lithium Ion"/>
    <s v="Electrical Regen Brake"/>
  </r>
  <r>
    <n v="2025"/>
    <s v="Porsche"/>
    <s v="Porsche"/>
    <s v="Taycan Turbo S 21in Aero-Design wheel (285/35)"/>
    <s v="All Wheel Drive"/>
    <x v="3"/>
    <n v="38"/>
    <n v="38"/>
    <n v="38"/>
    <n v="900"/>
    <n v="9"/>
    <n v="10"/>
    <n v="5000"/>
    <s v=""/>
    <n v="0"/>
    <n v="0"/>
    <n v="0"/>
    <n v="298"/>
    <n v="298"/>
    <n v="297"/>
    <n v="13"/>
    <s v=""/>
    <s v="234 and 254"/>
    <s v="Lithium Ion"/>
    <s v="Electrical Regen Brake"/>
  </r>
  <r>
    <n v="2025"/>
    <s v="Porsche"/>
    <s v="Porsche"/>
    <s v="Taycan Turbo S Cross Turismo"/>
    <s v="All Wheel Drive"/>
    <x v="11"/>
    <n v="79"/>
    <n v="75"/>
    <n v="77"/>
    <n v="1050"/>
    <n v="9"/>
    <n v="10"/>
    <n v="4250"/>
    <s v=""/>
    <n v="0"/>
    <n v="0"/>
    <n v="0"/>
    <n v="261"/>
    <n v="255"/>
    <n v="268"/>
    <n v="13"/>
    <s v=""/>
    <s v="150 and 253"/>
    <s v="Lithium Ion"/>
    <s v="Electrical Regen Brake"/>
  </r>
  <r>
    <n v="2025"/>
    <s v="Porsche"/>
    <s v="Porsche"/>
    <s v="Taycan Turbo S Cross Turismo"/>
    <s v="All Wheel Drive"/>
    <x v="11"/>
    <n v="43"/>
    <n v="45"/>
    <n v="44"/>
    <n v="1050"/>
    <n v="9"/>
    <n v="10"/>
    <n v="4250"/>
    <s v=""/>
    <n v="0"/>
    <n v="0"/>
    <n v="0"/>
    <n v="261"/>
    <n v="268"/>
    <n v="315"/>
    <n v="13"/>
    <s v=""/>
    <s v="150 and 253"/>
    <s v="Lithium Ion"/>
    <s v="Electrical Regen Brake"/>
  </r>
  <r>
    <n v="2025"/>
    <s v="Porsche"/>
    <s v="Porsche"/>
    <s v="Taycan Turbo GT"/>
    <s v="All Wheel Drive"/>
    <x v="3"/>
    <n v="86"/>
    <n v="78"/>
    <n v="82"/>
    <n v="1000"/>
    <n v="9"/>
    <n v="10"/>
    <n v="4500"/>
    <s v=""/>
    <n v="0"/>
    <n v="0"/>
    <n v="0"/>
    <n v="276"/>
    <n v="288"/>
    <n v="261"/>
    <n v="13"/>
    <s v=""/>
    <s v="150 and 253"/>
    <s v="Lithium Ion"/>
    <s v="Electrical Regen Brake"/>
  </r>
  <r>
    <n v="2025"/>
    <s v="Porsche"/>
    <s v="Porsche"/>
    <s v="Taycan Turbo GT"/>
    <s v="All Wheel Drive"/>
    <x v="3"/>
    <n v="39"/>
    <n v="43"/>
    <n v="41"/>
    <n v="1000"/>
    <n v="9"/>
    <n v="10"/>
    <n v="4500"/>
    <s v=""/>
    <n v="0"/>
    <n v="0"/>
    <n v="0"/>
    <n v="276"/>
    <n v="288"/>
    <n v="261"/>
    <n v="13"/>
    <s v=""/>
    <s v="150 and 253"/>
    <s v="Lithium Ion"/>
    <s v="Electrical Regen Brake"/>
  </r>
  <r>
    <n v="2025"/>
    <s v="Porsche"/>
    <s v="Porsche"/>
    <s v="Taycan Turbo GT with Weissach Package"/>
    <s v="All Wheel Drive"/>
    <x v="3"/>
    <n v="85"/>
    <n v="76"/>
    <n v="81"/>
    <n v="1000"/>
    <n v="9"/>
    <n v="10"/>
    <n v="4500"/>
    <s v=""/>
    <n v="0"/>
    <n v="0"/>
    <n v="0"/>
    <n v="269"/>
    <n v="282"/>
    <n v="253"/>
    <n v="13"/>
    <s v=""/>
    <s v="175 and 234"/>
    <s v="Lithium Ion"/>
    <s v="Electrical Regen Brake"/>
  </r>
  <r>
    <n v="2025"/>
    <s v="Porsche"/>
    <s v="Porsche"/>
    <s v="Taycan Turbo GT with Weissach Package"/>
    <s v="All Wheel Drive"/>
    <x v="3"/>
    <n v="40"/>
    <n v="44"/>
    <n v="42"/>
    <n v="1000"/>
    <n v="9"/>
    <n v="10"/>
    <n v="4500"/>
    <s v=""/>
    <n v="0"/>
    <n v="0"/>
    <n v="0"/>
    <n v="269"/>
    <n v="282"/>
    <n v="253"/>
    <n v="13"/>
    <s v=""/>
    <s v="175 and 234"/>
    <s v="Lithium Ion"/>
    <s v="Electrical Regen Brake"/>
  </r>
  <r>
    <n v="2025"/>
    <s v="Porsche"/>
    <s v="Porsche"/>
    <s v="Taycan GTS"/>
    <s v="All Wheel Drive"/>
    <x v="3"/>
    <n v="88"/>
    <n v="85"/>
    <n v="86"/>
    <n v="950"/>
    <n v="9"/>
    <n v="10"/>
    <n v="4750"/>
    <s v=""/>
    <n v="0"/>
    <n v="0"/>
    <n v="0"/>
    <n v="293"/>
    <n v="298"/>
    <n v="287"/>
    <n v="13"/>
    <s v=""/>
    <s v="150, 175, 190, 201, 234, 235, 254, 415, and 503"/>
    <s v="Lithium Ion"/>
    <s v="Electrical Regen Brake"/>
  </r>
  <r>
    <n v="2025"/>
    <s v="Porsche"/>
    <s v="Porsche"/>
    <s v="Taycan GTS"/>
    <s v="All Wheel Drive"/>
    <x v="3"/>
    <n v="38"/>
    <n v="40"/>
    <n v="39"/>
    <n v="950"/>
    <n v="9"/>
    <n v="10"/>
    <n v="4750"/>
    <s v=""/>
    <n v="0"/>
    <n v="0"/>
    <n v="0"/>
    <n v="293"/>
    <n v="298"/>
    <n v="287"/>
    <n v="13"/>
    <s v=""/>
    <s v="150, 175, 190, 201, 234, 235, 254, 415, and 503"/>
    <s v="Lithium Ion"/>
    <s v="Electrical Regen Brake"/>
  </r>
  <r>
    <n v="2025"/>
    <s v="Porsche"/>
    <s v="Porsche"/>
    <s v="Taycan GTS Sport Turismo"/>
    <s v="All Wheel Drive"/>
    <x v="3"/>
    <n v="84"/>
    <n v="80"/>
    <n v="82"/>
    <n v="1000"/>
    <n v="9"/>
    <n v="10"/>
    <n v="4500"/>
    <s v=""/>
    <n v="0"/>
    <n v="0"/>
    <n v="0"/>
    <n v="279"/>
    <n v="284"/>
    <n v="272"/>
    <n v="13"/>
    <s v=""/>
    <s v="150, 175, 190, 201, 234, 235, 254, 415, and 503"/>
    <s v="Lithium Ion"/>
    <s v="Electrical Regen Brake"/>
  </r>
  <r>
    <n v="2025"/>
    <s v="Porsche"/>
    <s v="Porsche"/>
    <s v="Taycan GTS Sport Turismo"/>
    <s v="All Wheel Drive"/>
    <x v="3"/>
    <n v="40"/>
    <n v="42"/>
    <n v="41"/>
    <n v="1000"/>
    <n v="9"/>
    <n v="10"/>
    <n v="4500"/>
    <s v=""/>
    <n v="0"/>
    <n v="0"/>
    <n v="0"/>
    <n v="279"/>
    <n v="284"/>
    <n v="272"/>
    <n v="13"/>
    <s v=""/>
    <s v="150, 175, 190, 201, 234, 235, 254, 415, and 503"/>
    <s v="Lithium Ion"/>
    <s v="Electrical Regen Brake"/>
  </r>
  <r>
    <n v="2025"/>
    <s v="Rivian Automotive L"/>
    <s v="Rivian"/>
    <s v="R1T Dual Standard (22in)"/>
    <s v="Part-time 4-Wheel Drive"/>
    <x v="9"/>
    <n v="92"/>
    <n v="77"/>
    <n v="85"/>
    <n v="950"/>
    <n v="9"/>
    <n v="10"/>
    <n v="4750"/>
    <s v=""/>
    <n v="0"/>
    <n v="0"/>
    <n v="0"/>
    <n v="270"/>
    <n v="291"/>
    <n v="244"/>
    <n v="9.5"/>
    <s v=""/>
    <s v="208 and 208"/>
    <s v="Other"/>
    <s v="Electrical Regen Brake"/>
  </r>
  <r>
    <n v="2025"/>
    <s v="Rivian Automotive L"/>
    <s v="Rivian"/>
    <s v="R1T Dual Standard (22in)"/>
    <s v="Part-time 4-Wheel Drive"/>
    <x v="9"/>
    <n v="37"/>
    <n v="44"/>
    <n v="40"/>
    <n v="950"/>
    <n v="9"/>
    <n v="10"/>
    <n v="4750"/>
    <s v=""/>
    <n v="0"/>
    <n v="0"/>
    <n v="0"/>
    <n v="270"/>
    <n v="291"/>
    <n v="244"/>
    <n v="9.5"/>
    <s v=""/>
    <s v="208 and 208"/>
    <s v="Other"/>
    <s v="Electrical Regen Brake"/>
  </r>
  <r>
    <n v="2025"/>
    <s v="Rivian Automotive L"/>
    <s v="Rivian"/>
    <s v="R1S Dual Standard (22in)"/>
    <s v="Part-time 4-Wheel Drive"/>
    <x v="0"/>
    <n v="92"/>
    <n v="77"/>
    <n v="85"/>
    <n v="950"/>
    <n v="9"/>
    <n v="10"/>
    <n v="4750"/>
    <s v=""/>
    <n v="0"/>
    <n v="0"/>
    <n v="0"/>
    <n v="270"/>
    <n v="291"/>
    <n v="244"/>
    <n v="9.5"/>
    <s v=""/>
    <s v="208 and 208"/>
    <s v="Other"/>
    <s v="Electrical Regen Brake"/>
  </r>
  <r>
    <n v="2025"/>
    <s v="Rivian Automotive L"/>
    <s v="Rivian"/>
    <s v="R1S Dual Standard (22in)"/>
    <s v="Part-time 4-Wheel Drive"/>
    <x v="0"/>
    <n v="37"/>
    <n v="44"/>
    <n v="40"/>
    <n v="950"/>
    <n v="9"/>
    <n v="10"/>
    <n v="4750"/>
    <s v=""/>
    <n v="0"/>
    <n v="0"/>
    <n v="0"/>
    <n v="270"/>
    <n v="291"/>
    <n v="244"/>
    <n v="9.5"/>
    <s v=""/>
    <s v="208 and 208"/>
    <s v="Other"/>
    <s v="Electrical Regen Brake"/>
  </r>
  <r>
    <n v="2025"/>
    <s v="Rivian Automotive L"/>
    <s v="Rivian"/>
    <s v="R1T Dual Standard (20in)"/>
    <s v="Part-time 4-Wheel Drive"/>
    <x v="9"/>
    <n v="85"/>
    <n v="72"/>
    <n v="79"/>
    <n v="1050"/>
    <n v="9"/>
    <n v="10"/>
    <n v="4250"/>
    <s v=""/>
    <n v="0"/>
    <n v="0"/>
    <n v="0"/>
    <n v="258"/>
    <n v="277"/>
    <n v="235"/>
    <n v="9.5"/>
    <s v=""/>
    <s v="208 and 208"/>
    <s v="Other"/>
    <s v="Electrical Regen Brake"/>
  </r>
  <r>
    <n v="2025"/>
    <s v="Rivian Automotive L"/>
    <s v="Rivian"/>
    <s v="R1T Dual Standard (20in)"/>
    <s v="Part-time 4-Wheel Drive"/>
    <x v="9"/>
    <n v="40"/>
    <n v="47"/>
    <n v="43"/>
    <n v="1050"/>
    <n v="9"/>
    <n v="10"/>
    <n v="4250"/>
    <s v=""/>
    <n v="0"/>
    <n v="0"/>
    <n v="0"/>
    <n v="258"/>
    <n v="277"/>
    <n v="235"/>
    <n v="9.5"/>
    <s v=""/>
    <s v="208 and 208"/>
    <s v="Other"/>
    <s v="Electrical Regen Brake"/>
  </r>
  <r>
    <n v="2025"/>
    <s v="Rivian Automotive L"/>
    <s v="Rivian"/>
    <s v="R1S Dual Standard (20in)"/>
    <s v="Part-time 4-Wheel Drive"/>
    <x v="0"/>
    <n v="85"/>
    <n v="72"/>
    <n v="79"/>
    <n v="1050"/>
    <n v="9"/>
    <n v="10"/>
    <n v="4250"/>
    <s v=""/>
    <n v="0"/>
    <n v="0"/>
    <n v="0"/>
    <n v="258"/>
    <n v="277"/>
    <n v="235"/>
    <n v="9.5"/>
    <s v=""/>
    <s v="208 and 208"/>
    <s v="Other"/>
    <s v="Electrical Regen Brake"/>
  </r>
  <r>
    <n v="2025"/>
    <s v="Rivian Automotive L"/>
    <s v="Rivian"/>
    <s v="R1S Dual Standard (20in)"/>
    <s v="Part-time 4-Wheel Drive"/>
    <x v="0"/>
    <n v="40"/>
    <n v="47"/>
    <n v="43"/>
    <n v="1050"/>
    <n v="9"/>
    <n v="10"/>
    <n v="4250"/>
    <s v=""/>
    <n v="0"/>
    <n v="0"/>
    <n v="0"/>
    <n v="258"/>
    <n v="277"/>
    <n v="235"/>
    <n v="9.5"/>
    <s v=""/>
    <s v="208 and 208"/>
    <s v="Other"/>
    <s v="Electrical Regen Brake"/>
  </r>
  <r>
    <n v="2025"/>
    <s v="Rivian Automotive L"/>
    <s v="Rivian"/>
    <s v="R1T Dual Max (20in)"/>
    <s v="Part-time 4-Wheel Drive"/>
    <x v="9"/>
    <n v="86"/>
    <n v="74"/>
    <n v="80"/>
    <n v="1000"/>
    <n v="9"/>
    <n v="10"/>
    <n v="4500"/>
    <s v=""/>
    <n v="0"/>
    <n v="0"/>
    <n v="0"/>
    <n v="380"/>
    <n v="407"/>
    <n v="348"/>
    <n v="15"/>
    <s v=""/>
    <s v="264 and 264"/>
    <s v="Lithium Ion"/>
    <s v="Electrical Regen Brake"/>
  </r>
  <r>
    <n v="2025"/>
    <s v="Rivian Automotive L"/>
    <s v="Rivian"/>
    <s v="R1T Dual Max (20in)"/>
    <s v="Part-time 4-Wheel Drive"/>
    <x v="9"/>
    <n v="39"/>
    <n v="46"/>
    <n v="42"/>
    <n v="1000"/>
    <n v="9"/>
    <n v="10"/>
    <n v="4500"/>
    <s v=""/>
    <n v="0"/>
    <n v="0"/>
    <n v="0"/>
    <n v="380"/>
    <n v="407"/>
    <n v="348"/>
    <n v="15"/>
    <s v=""/>
    <s v="264 and 264"/>
    <s v="Lithium Ion"/>
    <s v="Electrical Regen Brake"/>
  </r>
  <r>
    <n v="2025"/>
    <s v="Rivian Automotive L"/>
    <s v="Rivian"/>
    <s v="R1S Dual Max (20in)"/>
    <s v="Part-time 4-Wheel Drive"/>
    <x v="0"/>
    <n v="86"/>
    <n v="74"/>
    <n v="80"/>
    <n v="1000"/>
    <n v="9"/>
    <n v="10"/>
    <n v="4500"/>
    <s v=""/>
    <n v="0"/>
    <n v="0"/>
    <n v="0"/>
    <n v="380"/>
    <n v="407"/>
    <n v="348"/>
    <n v="15"/>
    <s v=""/>
    <s v="264 and 264"/>
    <s v="Lithium Ion"/>
    <s v="Electrical Regen Brake"/>
  </r>
  <r>
    <n v="2025"/>
    <s v="Rivian Automotive L"/>
    <s v="Rivian"/>
    <s v="R1S Dual Max (20in)"/>
    <s v="Part-time 4-Wheel Drive"/>
    <x v="0"/>
    <n v="39"/>
    <n v="46"/>
    <n v="42"/>
    <n v="1000"/>
    <n v="9"/>
    <n v="10"/>
    <n v="4500"/>
    <s v=""/>
    <n v="0"/>
    <n v="0"/>
    <n v="0"/>
    <n v="380"/>
    <n v="407"/>
    <n v="348"/>
    <n v="15"/>
    <s v=""/>
    <s v="264 and 264"/>
    <s v="Lithium Ion"/>
    <s v="Electrical Regen Brake"/>
  </r>
  <r>
    <n v="2025"/>
    <s v="Rivian Automotive L"/>
    <s v="Rivian"/>
    <s v="R1T Dual Max (22in)"/>
    <s v="Part-time 4-Wheel Drive"/>
    <x v="9"/>
    <n v="93"/>
    <n v="80"/>
    <n v="87"/>
    <n v="950"/>
    <n v="9"/>
    <n v="10"/>
    <n v="4750"/>
    <s v=""/>
    <n v="0"/>
    <n v="0"/>
    <n v="0"/>
    <n v="420"/>
    <n v="448"/>
    <n v="386"/>
    <n v="15"/>
    <s v=""/>
    <s v="264 and 264"/>
    <s v="Lithium Ion"/>
    <s v="Electrical Regen Brake"/>
  </r>
  <r>
    <n v="2025"/>
    <s v="Rivian Automotive L"/>
    <s v="Rivian"/>
    <s v="R1T Dual Max (22in)"/>
    <s v="Part-time 4-Wheel Drive"/>
    <x v="9"/>
    <n v="36"/>
    <n v="42"/>
    <n v="39"/>
    <n v="950"/>
    <n v="9"/>
    <n v="10"/>
    <n v="4750"/>
    <s v=""/>
    <n v="0"/>
    <n v="0"/>
    <n v="0"/>
    <n v="420"/>
    <n v="448"/>
    <n v="386"/>
    <n v="15"/>
    <s v=""/>
    <s v="264 and 264"/>
    <s v="Lithium Ion"/>
    <s v="Electrical Regen Brake"/>
  </r>
  <r>
    <n v="2025"/>
    <s v="Rivian Automotive L"/>
    <s v="Rivian"/>
    <s v="R1S Dual Max (22in)"/>
    <s v="Part-time 4-Wheel Drive"/>
    <x v="0"/>
    <n v="91"/>
    <n v="77"/>
    <n v="84"/>
    <n v="950"/>
    <n v="9"/>
    <n v="10"/>
    <n v="4750"/>
    <s v=""/>
    <n v="0"/>
    <n v="0"/>
    <n v="0"/>
    <n v="410"/>
    <n v="441"/>
    <n v="373"/>
    <n v="15"/>
    <s v=""/>
    <s v="264 and 264"/>
    <s v="Lithium Ion"/>
    <s v="Electrical Regen Brake"/>
  </r>
  <r>
    <n v="2025"/>
    <s v="Rivian Automotive L"/>
    <s v="Rivian"/>
    <s v="R1S Dual Max (22in)"/>
    <s v="Part-time 4-Wheel Drive"/>
    <x v="0"/>
    <n v="37"/>
    <n v="44"/>
    <n v="40"/>
    <n v="950"/>
    <n v="9"/>
    <n v="10"/>
    <n v="4750"/>
    <s v=""/>
    <n v="0"/>
    <n v="0"/>
    <n v="0"/>
    <n v="410"/>
    <n v="441"/>
    <n v="373"/>
    <n v="15"/>
    <s v=""/>
    <s v="264 and 264"/>
    <s v="Lithium Ion"/>
    <s v="Electrical Regen Brake"/>
  </r>
  <r>
    <n v="2025"/>
    <s v="Rivian Automotive L"/>
    <s v="Rivian"/>
    <s v="R1T All-Terrain Dual Max (20in)"/>
    <s v="Part-time 4-Wheel Drive"/>
    <x v="9"/>
    <n v="82"/>
    <n v="73"/>
    <n v="78"/>
    <n v="1050"/>
    <n v="9"/>
    <n v="10"/>
    <n v="4250"/>
    <s v=""/>
    <n v="0"/>
    <n v="0"/>
    <n v="0"/>
    <n v="370"/>
    <n v="389"/>
    <n v="347"/>
    <n v="15"/>
    <s v=""/>
    <s v="264 and 264"/>
    <s v="Lithium Ion"/>
    <s v="Electrical Regen Brake"/>
  </r>
  <r>
    <n v="2025"/>
    <s v="Rivian Automotive L"/>
    <s v="Rivian"/>
    <s v="R1T All-Terrain Dual Max (20in)"/>
    <s v="Part-time 4-Wheel Drive"/>
    <x v="9"/>
    <n v="41"/>
    <n v="46"/>
    <n v="43"/>
    <n v="1050"/>
    <n v="9"/>
    <n v="10"/>
    <n v="4250"/>
    <s v=""/>
    <n v="0"/>
    <n v="0"/>
    <n v="0"/>
    <n v="370"/>
    <n v="389"/>
    <n v="347"/>
    <n v="15"/>
    <s v=""/>
    <s v="264 and 264"/>
    <s v="Lithium Ion"/>
    <s v="Electrical Regen Brake"/>
  </r>
  <r>
    <n v="2025"/>
    <s v="Rivian Automotive L"/>
    <s v="Rivian"/>
    <s v="R1S All-Terrain Dual Max (20in)"/>
    <s v="Part-time 4-Wheel Drive"/>
    <x v="0"/>
    <n v="82"/>
    <n v="73"/>
    <n v="78"/>
    <n v="1050"/>
    <n v="9"/>
    <n v="10"/>
    <n v="4250"/>
    <s v=""/>
    <n v="0"/>
    <n v="0"/>
    <n v="0"/>
    <n v="370"/>
    <n v="389"/>
    <n v="347"/>
    <n v="15"/>
    <s v=""/>
    <s v="264 and 264"/>
    <s v="Lithium Ion"/>
    <s v="Electrical Regen Brake"/>
  </r>
  <r>
    <n v="2025"/>
    <s v="Rivian Automotive L"/>
    <s v="Rivian"/>
    <s v="R1S All-Terrain Dual Max (20in)"/>
    <s v="Part-time 4-Wheel Drive"/>
    <x v="0"/>
    <n v="41"/>
    <n v="46"/>
    <n v="43"/>
    <n v="1050"/>
    <n v="9"/>
    <n v="10"/>
    <n v="4250"/>
    <s v=""/>
    <n v="0"/>
    <n v="0"/>
    <n v="0"/>
    <n v="370"/>
    <n v="389"/>
    <n v="347"/>
    <n v="15"/>
    <s v=""/>
    <s v="264 and 264"/>
    <s v="Lithium Ion"/>
    <s v="Electrical Regen Brake"/>
  </r>
  <r>
    <n v="2025"/>
    <s v="Rivian Automotive L"/>
    <s v="Rivian"/>
    <s v="R1T Performance Dual Max (20in)"/>
    <s v="Part-time 4-Wheel Drive"/>
    <x v="9"/>
    <n v="86"/>
    <n v="74"/>
    <n v="80"/>
    <n v="1000"/>
    <n v="9"/>
    <n v="10"/>
    <n v="4500"/>
    <s v=""/>
    <n v="0"/>
    <n v="0"/>
    <n v="0"/>
    <n v="380"/>
    <n v="407"/>
    <n v="348"/>
    <n v="15"/>
    <s v=""/>
    <s v="264 and 264"/>
    <s v="Lithium Ion"/>
    <s v="Electrical Regen Brake"/>
  </r>
  <r>
    <n v="2025"/>
    <s v="Rivian Automotive L"/>
    <s v="Rivian"/>
    <s v="R1T Performance Dual Max (20in)"/>
    <s v="Part-time 4-Wheel Drive"/>
    <x v="9"/>
    <n v="39"/>
    <n v="46"/>
    <n v="42"/>
    <n v="1000"/>
    <n v="9"/>
    <n v="10"/>
    <n v="4500"/>
    <s v=""/>
    <n v="0"/>
    <n v="0"/>
    <n v="0"/>
    <n v="380"/>
    <n v="407"/>
    <n v="348"/>
    <n v="15"/>
    <s v=""/>
    <s v="264 and 264"/>
    <s v="Lithium Ion"/>
    <s v="Electrical Regen Brake"/>
  </r>
  <r>
    <n v="2025"/>
    <s v="Rivian Automotive L"/>
    <s v="Rivian"/>
    <s v="R1S Performance Dual Max (20in)"/>
    <s v="Part-time 4-Wheel Drive"/>
    <x v="0"/>
    <n v="86"/>
    <n v="74"/>
    <n v="80"/>
    <n v="1000"/>
    <n v="9"/>
    <n v="10"/>
    <n v="4500"/>
    <s v=""/>
    <n v="0"/>
    <n v="0"/>
    <n v="0"/>
    <n v="380"/>
    <n v="407"/>
    <n v="348"/>
    <n v="15"/>
    <s v=""/>
    <s v="208 and 208"/>
    <s v="Lithium Ion"/>
    <s v="Electrical Regen Brake"/>
  </r>
  <r>
    <n v="2025"/>
    <s v="Rivian Automotive L"/>
    <s v="Rivian"/>
    <s v="R1S Performance Dual Max (20in)"/>
    <s v="Part-time 4-Wheel Drive"/>
    <x v="0"/>
    <n v="39"/>
    <n v="46"/>
    <n v="42"/>
    <n v="1000"/>
    <n v="9"/>
    <n v="10"/>
    <n v="4500"/>
    <s v=""/>
    <n v="0"/>
    <n v="0"/>
    <n v="0"/>
    <n v="380"/>
    <n v="407"/>
    <n v="348"/>
    <n v="15"/>
    <s v=""/>
    <s v="208 and 208"/>
    <s v="Lithium Ion"/>
    <s v="Electrical Regen Brake"/>
  </r>
  <r>
    <n v="2025"/>
    <s v="Rivian Automotive L"/>
    <s v="Rivian"/>
    <s v="R1T Performance Dual Max (22in)"/>
    <s v="Part-time 4-Wheel Drive"/>
    <x v="9"/>
    <n v="93"/>
    <n v="80"/>
    <n v="87"/>
    <n v="950"/>
    <n v="9"/>
    <n v="10"/>
    <n v="4750"/>
    <s v=""/>
    <n v="0"/>
    <n v="0"/>
    <n v="0"/>
    <n v="420"/>
    <n v="448"/>
    <n v="386"/>
    <n v="15"/>
    <s v=""/>
    <s v="264 and 264"/>
    <s v="Lithium Ion"/>
    <s v="Electrical Regen Brake"/>
  </r>
  <r>
    <n v="2025"/>
    <s v="Rivian Automotive L"/>
    <s v="Rivian"/>
    <s v="R1T Performance Dual Max (22in)"/>
    <s v="Part-time 4-Wheel Drive"/>
    <x v="9"/>
    <n v="36"/>
    <n v="42"/>
    <n v="39"/>
    <n v="950"/>
    <n v="9"/>
    <n v="10"/>
    <n v="4750"/>
    <s v=""/>
    <n v="0"/>
    <n v="0"/>
    <n v="0"/>
    <n v="420"/>
    <n v="448"/>
    <n v="386"/>
    <n v="15"/>
    <s v=""/>
    <s v="264 and 264"/>
    <s v="Lithium Ion"/>
    <s v="Electrical Regen Brake"/>
  </r>
  <r>
    <n v="2025"/>
    <s v="Rivian Automotive L"/>
    <s v="Rivian"/>
    <s v="R1S Performance Dual Max (22in)"/>
    <s v="Part-time 4-Wheel Drive"/>
    <x v="0"/>
    <n v="91"/>
    <n v="77"/>
    <n v="84"/>
    <n v="950"/>
    <n v="9"/>
    <n v="10"/>
    <n v="4750"/>
    <s v=""/>
    <n v="0"/>
    <n v="0"/>
    <n v="0"/>
    <n v="410"/>
    <n v="441"/>
    <n v="373"/>
    <n v="15"/>
    <s v=""/>
    <s v="208 and 208"/>
    <s v="Lithium Ion"/>
    <s v="Electrical Regen Brake"/>
  </r>
  <r>
    <n v="2025"/>
    <s v="Rivian Automotive L"/>
    <s v="Rivian"/>
    <s v="R1S Performance Dual Max (22in)"/>
    <s v="Part-time 4-Wheel Drive"/>
    <x v="0"/>
    <n v="37"/>
    <n v="44"/>
    <n v="40"/>
    <n v="950"/>
    <n v="9"/>
    <n v="10"/>
    <n v="4750"/>
    <s v=""/>
    <n v="0"/>
    <n v="0"/>
    <n v="0"/>
    <n v="410"/>
    <n v="441"/>
    <n v="373"/>
    <n v="15"/>
    <s v=""/>
    <s v="208 and 208"/>
    <s v="Lithium Ion"/>
    <s v="Electrical Regen Brake"/>
  </r>
  <r>
    <n v="2025"/>
    <s v="Rivian Automotive L"/>
    <s v="Rivian"/>
    <s v="R1T All-Terrain Performance Dual Max (20in)"/>
    <s v="Part-time 4-Wheel Drive"/>
    <x v="9"/>
    <n v="82"/>
    <n v="73"/>
    <n v="78"/>
    <n v="1050"/>
    <n v="9"/>
    <n v="10"/>
    <n v="4250"/>
    <s v=""/>
    <n v="0"/>
    <n v="0"/>
    <n v="0"/>
    <n v="370"/>
    <n v="389"/>
    <n v="347"/>
    <n v="15"/>
    <s v=""/>
    <s v="264 and 264"/>
    <s v="Lithium Ion"/>
    <s v="Electrical Regen Brake"/>
  </r>
  <r>
    <n v="2025"/>
    <s v="Rivian Automotive L"/>
    <s v="Rivian"/>
    <s v="R1T All-Terrain Performance Dual Max (20in)"/>
    <s v="Part-time 4-Wheel Drive"/>
    <x v="9"/>
    <n v="41"/>
    <n v="46"/>
    <n v="43"/>
    <n v="1050"/>
    <n v="9"/>
    <n v="10"/>
    <n v="4250"/>
    <s v=""/>
    <n v="0"/>
    <n v="0"/>
    <n v="0"/>
    <n v="370"/>
    <n v="389"/>
    <n v="347"/>
    <n v="15"/>
    <s v=""/>
    <s v="264 and 264"/>
    <s v="Lithium Ion"/>
    <s v="Electrical Regen Brake"/>
  </r>
  <r>
    <n v="2025"/>
    <s v="Rivian Automotive L"/>
    <s v="Rivian"/>
    <s v="R1S All-Terrain Performance  Dual Max (20in)"/>
    <s v="Part-time 4-Wheel Drive"/>
    <x v="0"/>
    <n v="82"/>
    <n v="73"/>
    <n v="78"/>
    <n v="1050"/>
    <n v="9"/>
    <n v="10"/>
    <n v="4250"/>
    <s v=""/>
    <n v="0"/>
    <n v="0"/>
    <n v="0"/>
    <n v="370"/>
    <n v="389"/>
    <n v="347"/>
    <n v="15"/>
    <s v=""/>
    <s v="264 and 264"/>
    <s v="Lithium Ion"/>
    <s v="Electrical Regen Brake"/>
  </r>
  <r>
    <n v="2025"/>
    <s v="Rivian Automotive L"/>
    <s v="Rivian"/>
    <s v="R1S All-Terrain Performance  Dual Max (20in)"/>
    <s v="Part-time 4-Wheel Drive"/>
    <x v="0"/>
    <n v="41"/>
    <n v="46"/>
    <n v="43"/>
    <n v="1050"/>
    <n v="9"/>
    <n v="10"/>
    <n v="4250"/>
    <s v=""/>
    <n v="0"/>
    <n v="0"/>
    <n v="0"/>
    <n v="370"/>
    <n v="389"/>
    <n v="347"/>
    <n v="15"/>
    <s v=""/>
    <s v="264 and 264"/>
    <s v="Lithium Ion"/>
    <s v="Electrical Regen Brake"/>
  </r>
  <r>
    <n v="2025"/>
    <s v="Rivian Automotive L"/>
    <s v="Rivian"/>
    <s v="R1T Dual Large Plus (22in)"/>
    <s v="4-Wheel Drive"/>
    <x v="9"/>
    <n v="89"/>
    <n v="75"/>
    <n v="82"/>
    <n v="1000"/>
    <n v="9"/>
    <n v="10"/>
    <n v="4500"/>
    <s v=""/>
    <n v="0"/>
    <n v="0"/>
    <n v="0"/>
    <n v="330"/>
    <n v="354"/>
    <n v="300"/>
    <n v="12"/>
    <s v=""/>
    <s v="264"/>
    <s v="Lithium Ion"/>
    <s v="Electrical Regen Brake"/>
  </r>
  <r>
    <n v="2025"/>
    <s v="Rivian Automotive L"/>
    <s v="Rivian"/>
    <s v="R1T Dual Large Plus (22in)"/>
    <s v="4-Wheel Drive"/>
    <x v="9"/>
    <n v="38"/>
    <n v="45"/>
    <n v="41"/>
    <n v="1000"/>
    <n v="9"/>
    <n v="10"/>
    <n v="4500"/>
    <s v=""/>
    <n v="0"/>
    <n v="0"/>
    <n v="0"/>
    <n v="330"/>
    <n v="354"/>
    <n v="300"/>
    <n v="12"/>
    <s v=""/>
    <s v="264"/>
    <s v="Lithium Ion"/>
    <s v="Electrical Regen Brake"/>
  </r>
  <r>
    <n v="2025"/>
    <s v="Rivian Automotive L"/>
    <s v="Rivian"/>
    <s v="R1S Dual Large Plus (22in)"/>
    <s v="4-Wheel Drive"/>
    <x v="0"/>
    <n v="89"/>
    <n v="75"/>
    <n v="82"/>
    <n v="1000"/>
    <n v="9"/>
    <n v="10"/>
    <n v="4500"/>
    <s v=""/>
    <n v="0"/>
    <n v="0"/>
    <n v="0"/>
    <n v="330"/>
    <n v="354"/>
    <n v="300"/>
    <n v="12"/>
    <s v=""/>
    <s v="264"/>
    <s v="Lithium Ion"/>
    <s v="Electrical Regen Brake"/>
  </r>
  <r>
    <n v="2025"/>
    <s v="Rivian Automotive L"/>
    <s v="Rivian"/>
    <s v="R1S Dual Large Plus (22in)"/>
    <s v="4-Wheel Drive"/>
    <x v="0"/>
    <n v="38"/>
    <n v="45"/>
    <n v="41"/>
    <n v="1000"/>
    <n v="9"/>
    <n v="10"/>
    <n v="4500"/>
    <s v=""/>
    <n v="0"/>
    <n v="0"/>
    <n v="0"/>
    <n v="330"/>
    <n v="354"/>
    <n v="300"/>
    <n v="12"/>
    <s v=""/>
    <s v="264"/>
    <s v="Lithium Ion"/>
    <s v="Electrical Regen Brake"/>
  </r>
  <r>
    <n v="2025"/>
    <s v="Rivian Automotive L"/>
    <s v="Rivian"/>
    <s v="R1T All-Terrain Dual Large Plus (20in)"/>
    <s v="4-Wheel Drive"/>
    <x v="9"/>
    <n v="76"/>
    <n v="67"/>
    <n v="72"/>
    <n v="1150"/>
    <n v="9"/>
    <n v="10"/>
    <n v="3750"/>
    <s v=""/>
    <n v="0"/>
    <n v="0"/>
    <n v="0"/>
    <n v="292"/>
    <n v="308"/>
    <n v="272"/>
    <n v="12"/>
    <s v=""/>
    <s v="264 and 264"/>
    <s v="Lithium Ion"/>
    <s v="Electrical Regen Brake"/>
  </r>
  <r>
    <n v="2025"/>
    <s v="Rivian Automotive L"/>
    <s v="Rivian"/>
    <s v="R1T All-Terrain Dual Large Plus (20in)"/>
    <s v="4-Wheel Drive"/>
    <x v="9"/>
    <n v="44"/>
    <n v="50"/>
    <n v="47"/>
    <n v="1150"/>
    <n v="9"/>
    <n v="10"/>
    <n v="3750"/>
    <s v=""/>
    <n v="0"/>
    <n v="0"/>
    <n v="0"/>
    <n v="292"/>
    <n v="308"/>
    <n v="272"/>
    <n v="12"/>
    <s v=""/>
    <s v="264 and 264"/>
    <s v="Lithium Ion"/>
    <s v="Electrical Regen Brake"/>
  </r>
  <r>
    <n v="2025"/>
    <s v="Rivian Automotive L"/>
    <s v="Rivian"/>
    <s v="R1S All-Terrain Dual Large Plus (20in)"/>
    <s v="4-Wheel Drive"/>
    <x v="0"/>
    <n v="76"/>
    <n v="67"/>
    <n v="72"/>
    <n v="1150"/>
    <n v="9"/>
    <n v="10"/>
    <n v="3750"/>
    <s v=""/>
    <n v="0"/>
    <n v="0"/>
    <n v="0"/>
    <n v="292"/>
    <n v="308"/>
    <n v="272"/>
    <n v="12"/>
    <s v=""/>
    <s v="264 and 264"/>
    <s v="Lithium Ion"/>
    <s v="Electrical Regen Brake"/>
  </r>
  <r>
    <n v="2025"/>
    <s v="Rivian Automotive L"/>
    <s v="Rivian"/>
    <s v="R1S All-Terrain Dual Large Plus (20in)"/>
    <s v="4-Wheel Drive"/>
    <x v="0"/>
    <n v="44"/>
    <n v="50"/>
    <n v="47"/>
    <n v="1150"/>
    <n v="9"/>
    <n v="10"/>
    <n v="3750"/>
    <s v=""/>
    <n v="0"/>
    <n v="0"/>
    <n v="0"/>
    <n v="292"/>
    <n v="308"/>
    <n v="272"/>
    <n v="12"/>
    <s v=""/>
    <s v="264 and 264"/>
    <s v="Lithium Ion"/>
    <s v="Electrical Regen Brake"/>
  </r>
  <r>
    <n v="2025"/>
    <s v="Rivian Automotive L"/>
    <s v="Rivian"/>
    <s v="R1T Performance Dual Large Plus (22in)"/>
    <s v="4-Wheel Drive"/>
    <x v="9"/>
    <n v="89"/>
    <n v="75"/>
    <n v="82"/>
    <n v="1000"/>
    <n v="9"/>
    <n v="10"/>
    <n v="4500"/>
    <s v=""/>
    <n v="0"/>
    <n v="0"/>
    <n v="0"/>
    <n v="330"/>
    <n v="354"/>
    <n v="300"/>
    <n v="12"/>
    <s v=""/>
    <s v="264 and 264"/>
    <s v="Lithium Ion"/>
    <s v="Electrical Regen Brake"/>
  </r>
  <r>
    <n v="2025"/>
    <s v="Rivian Automotive L"/>
    <s v="Rivian"/>
    <s v="R1T Performance Dual Large Plus (22in)"/>
    <s v="4-Wheel Drive"/>
    <x v="9"/>
    <n v="38"/>
    <n v="45"/>
    <n v="41"/>
    <n v="1000"/>
    <n v="9"/>
    <n v="10"/>
    <n v="4500"/>
    <s v=""/>
    <n v="0"/>
    <n v="0"/>
    <n v="0"/>
    <n v="330"/>
    <n v="354"/>
    <n v="300"/>
    <n v="12"/>
    <s v=""/>
    <s v="264 and 264"/>
    <s v="Lithium Ion"/>
    <s v="Electrical Regen Brake"/>
  </r>
  <r>
    <n v="2025"/>
    <s v="Rivian Automotive L"/>
    <s v="Rivian"/>
    <s v="R1S Performance Dual Large Plus (22in)"/>
    <s v="4-Wheel Drive"/>
    <x v="0"/>
    <n v="89"/>
    <n v="75"/>
    <n v="82"/>
    <n v="1000"/>
    <n v="9"/>
    <n v="10"/>
    <n v="4500"/>
    <s v=""/>
    <n v="0"/>
    <n v="0"/>
    <n v="0"/>
    <n v="330"/>
    <n v="305"/>
    <n v="360"/>
    <n v="12"/>
    <s v=""/>
    <s v="264"/>
    <s v="Lithium Ion"/>
    <s v="Electrical Regen Brake"/>
  </r>
  <r>
    <n v="2025"/>
    <s v="Rivian Automotive L"/>
    <s v="Rivian"/>
    <s v="R1S Performance Dual Large Plus (22in)"/>
    <s v="4-Wheel Drive"/>
    <x v="0"/>
    <n v="38"/>
    <n v="45"/>
    <n v="41"/>
    <n v="1000"/>
    <n v="9"/>
    <n v="10"/>
    <n v="4500"/>
    <s v=""/>
    <n v="0"/>
    <n v="0"/>
    <n v="0"/>
    <n v="330"/>
    <n v="353"/>
    <n v="413"/>
    <n v="12"/>
    <s v=""/>
    <s v="264"/>
    <s v="Lithium Ion"/>
    <s v="Electrical Regen Brake"/>
  </r>
  <r>
    <n v="2025"/>
    <s v="Rivian Automotive L"/>
    <s v="Rivian"/>
    <s v="R1T All-Terrain Performance Dual Large Plus (20in)"/>
    <s v="4-Wheel Drive"/>
    <x v="9"/>
    <n v="76"/>
    <n v="67"/>
    <n v="72"/>
    <n v="1150"/>
    <n v="9"/>
    <n v="10"/>
    <n v="3750"/>
    <s v=""/>
    <n v="0"/>
    <n v="0"/>
    <n v="0"/>
    <n v="292"/>
    <n v="308"/>
    <n v="272"/>
    <n v="12"/>
    <s v=""/>
    <s v="264 and 264"/>
    <s v="Lithium Ion"/>
    <s v="Electrical Regen Brake"/>
  </r>
  <r>
    <n v="2025"/>
    <s v="Rivian Automotive L"/>
    <s v="Rivian"/>
    <s v="R1T All-Terrain Performance Dual Large Plus (20in)"/>
    <s v="4-Wheel Drive"/>
    <x v="9"/>
    <n v="44"/>
    <n v="50"/>
    <n v="47"/>
    <n v="1150"/>
    <n v="9"/>
    <n v="10"/>
    <n v="3750"/>
    <s v=""/>
    <n v="0"/>
    <n v="0"/>
    <n v="0"/>
    <n v="292"/>
    <n v="308"/>
    <n v="272"/>
    <n v="12"/>
    <s v=""/>
    <s v="264 and 264"/>
    <s v="Lithium Ion"/>
    <s v="Electrical Regen Brake"/>
  </r>
  <r>
    <n v="2025"/>
    <s v="Rivian Automotive L"/>
    <s v="Rivian"/>
    <s v="R1S All-Terrain Performance Dual Large Plus (20in)"/>
    <s v="4-Wheel Drive"/>
    <x v="0"/>
    <n v="76"/>
    <n v="67"/>
    <n v="72"/>
    <n v="1150"/>
    <n v="9"/>
    <n v="10"/>
    <n v="3750"/>
    <s v=""/>
    <n v="0"/>
    <n v="0"/>
    <n v="0"/>
    <n v="292"/>
    <n v="308"/>
    <n v="272"/>
    <n v="12"/>
    <s v=""/>
    <s v="264 and 264"/>
    <s v="Lithium Ion"/>
    <s v="Electrical Regen Brake"/>
  </r>
  <r>
    <n v="2025"/>
    <s v="Rivian Automotive L"/>
    <s v="Rivian"/>
    <s v="R1S All-Terrain Performance Dual Large Plus (20in)"/>
    <s v="4-Wheel Drive"/>
    <x v="0"/>
    <n v="44"/>
    <n v="50"/>
    <n v="47"/>
    <n v="1150"/>
    <n v="9"/>
    <n v="10"/>
    <n v="3750"/>
    <s v=""/>
    <n v="0"/>
    <n v="0"/>
    <n v="0"/>
    <n v="292"/>
    <n v="308"/>
    <n v="272"/>
    <n v="12"/>
    <s v=""/>
    <s v="264 and 264"/>
    <s v="Lithium Ion"/>
    <s v="Electrical Regen Brake"/>
  </r>
  <r>
    <n v="2025"/>
    <s v="Rivian Automotive L"/>
    <s v="Rivian"/>
    <s v="R1T Dual Large Plus (20in)"/>
    <s v="4-Wheel Drive"/>
    <x v="9"/>
    <n v="85"/>
    <n v="72"/>
    <n v="78"/>
    <n v="1050"/>
    <n v="9"/>
    <n v="10"/>
    <n v="4250"/>
    <s v=""/>
    <n v="0"/>
    <n v="0"/>
    <n v="0"/>
    <n v="317"/>
    <n v="341"/>
    <n v="288"/>
    <n v="12"/>
    <s v=""/>
    <s v="264"/>
    <s v="Lithium Ion"/>
    <s v="Electrical Regen Brake"/>
  </r>
  <r>
    <n v="2025"/>
    <s v="Rivian Automotive L"/>
    <s v="Rivian"/>
    <s v="R1T Dual Large Plus (20in)"/>
    <s v="4-Wheel Drive"/>
    <x v="9"/>
    <n v="40"/>
    <n v="47"/>
    <n v="43"/>
    <n v="1050"/>
    <n v="9"/>
    <n v="10"/>
    <n v="4250"/>
    <s v=""/>
    <n v="0"/>
    <n v="0"/>
    <n v="0"/>
    <n v="317"/>
    <n v="341"/>
    <n v="288"/>
    <n v="12"/>
    <s v=""/>
    <s v="264"/>
    <s v="Lithium Ion"/>
    <s v="Electrical Regen Brake"/>
  </r>
  <r>
    <n v="2025"/>
    <s v="Rivian Automotive L"/>
    <s v="Rivian"/>
    <s v="R1S Dual Large Plus (20in)"/>
    <s v="4-Wheel Drive"/>
    <x v="0"/>
    <n v="85"/>
    <n v="72"/>
    <n v="78"/>
    <n v="1050"/>
    <n v="9"/>
    <n v="10"/>
    <n v="4250"/>
    <s v=""/>
    <n v="0"/>
    <n v="0"/>
    <n v="0"/>
    <n v="317"/>
    <n v="341"/>
    <n v="288"/>
    <n v="12"/>
    <s v=""/>
    <s v="264"/>
    <s v="Lithium Ion"/>
    <s v="Electrical Regen Brake"/>
  </r>
  <r>
    <n v="2025"/>
    <s v="Rivian Automotive L"/>
    <s v="Rivian"/>
    <s v="R1S Dual Large Plus (20in)"/>
    <s v="4-Wheel Drive"/>
    <x v="0"/>
    <n v="40"/>
    <n v="47"/>
    <n v="43"/>
    <n v="1050"/>
    <n v="9"/>
    <n v="10"/>
    <n v="4250"/>
    <s v=""/>
    <n v="0"/>
    <n v="0"/>
    <n v="0"/>
    <n v="317"/>
    <n v="341"/>
    <n v="288"/>
    <n v="12"/>
    <s v=""/>
    <s v="264"/>
    <s v="Lithium Ion"/>
    <s v="Electrical Regen Brake"/>
  </r>
  <r>
    <n v="2025"/>
    <s v="Rivian Automotive L"/>
    <s v="Rivian"/>
    <s v="R1T Performance Dual Large Plus (20in)"/>
    <s v="4-Wheel Drive"/>
    <x v="9"/>
    <n v="85"/>
    <n v="72"/>
    <n v="78"/>
    <n v="1050"/>
    <n v="9"/>
    <n v="10"/>
    <n v="4250"/>
    <s v=""/>
    <n v="0"/>
    <n v="0"/>
    <n v="0"/>
    <n v="317"/>
    <n v="341"/>
    <n v="288"/>
    <n v="12"/>
    <s v=""/>
    <s v="264 and 264"/>
    <s v="Lithium Ion"/>
    <s v="Electrical Regen Brake"/>
  </r>
  <r>
    <n v="2025"/>
    <s v="Rivian Automotive L"/>
    <s v="Rivian"/>
    <s v="R1T Performance Dual Large Plus (20in)"/>
    <s v="4-Wheel Drive"/>
    <x v="9"/>
    <n v="40"/>
    <n v="47"/>
    <n v="43"/>
    <n v="1050"/>
    <n v="9"/>
    <n v="10"/>
    <n v="4250"/>
    <s v=""/>
    <n v="0"/>
    <n v="0"/>
    <n v="0"/>
    <n v="317"/>
    <n v="341"/>
    <n v="288"/>
    <n v="12"/>
    <s v=""/>
    <s v="264 and 264"/>
    <s v="Lithium Ion"/>
    <s v="Electrical Regen Brake"/>
  </r>
  <r>
    <n v="2025"/>
    <s v="Rivian Automotive L"/>
    <s v="Rivian"/>
    <s v="R1S Performance Dual Large Plus (20in)"/>
    <s v="4-Wheel Drive"/>
    <x v="0"/>
    <n v="85"/>
    <n v="72"/>
    <n v="78"/>
    <n v="1050"/>
    <n v="9"/>
    <n v="10"/>
    <n v="4250"/>
    <s v=""/>
    <n v="0"/>
    <n v="0"/>
    <n v="0"/>
    <n v="317"/>
    <n v="341"/>
    <n v="288"/>
    <n v="12"/>
    <s v=""/>
    <s v="264"/>
    <s v="Lithium Ion"/>
    <s v="Electrical Regen Brake"/>
  </r>
  <r>
    <n v="2025"/>
    <s v="Rivian Automotive L"/>
    <s v="Rivian"/>
    <s v="R1S Performance Dual Large Plus (20in)"/>
    <s v="4-Wheel Drive"/>
    <x v="0"/>
    <n v="40"/>
    <n v="47"/>
    <n v="43"/>
    <n v="1050"/>
    <n v="9"/>
    <n v="10"/>
    <n v="4250"/>
    <s v=""/>
    <n v="0"/>
    <n v="0"/>
    <n v="0"/>
    <n v="317"/>
    <n v="341"/>
    <n v="288"/>
    <n v="12"/>
    <s v=""/>
    <s v="264"/>
    <s v="Lithium Ion"/>
    <s v="Electrical Regen Brake"/>
  </r>
  <r>
    <n v="2025"/>
    <s v="Rivian Automotive L"/>
    <s v="Rivian"/>
    <s v="R1T Tri Max (22in)"/>
    <s v="4-Wheel Drive"/>
    <x v="9"/>
    <n v="81"/>
    <n v="70"/>
    <n v="76"/>
    <n v="11000"/>
    <n v="9"/>
    <n v="10"/>
    <n v="4000"/>
    <s v=""/>
    <n v="0"/>
    <n v="0"/>
    <n v="0"/>
    <n v="371"/>
    <n v="395"/>
    <n v="341"/>
    <n v="15"/>
    <s v=""/>
    <s v="201 and 233"/>
    <s v="Lithium Ion"/>
    <s v="Electrical Regen Brake"/>
  </r>
  <r>
    <n v="2025"/>
    <s v="Rivian Automotive L"/>
    <s v="Rivian"/>
    <s v="R1T Tri Max (22in)"/>
    <s v="4-Wheel Drive"/>
    <x v="9"/>
    <n v="42"/>
    <n v="48"/>
    <n v="45"/>
    <n v="1000"/>
    <n v="9"/>
    <n v="10"/>
    <n v="4000"/>
    <s v=""/>
    <n v="0"/>
    <n v="0"/>
    <n v="0"/>
    <n v="371"/>
    <n v="395"/>
    <n v="341"/>
    <n v="15"/>
    <s v=""/>
    <s v="201 and 233"/>
    <s v="Lithium Ion"/>
    <s v="Electrical Regen Brake"/>
  </r>
  <r>
    <n v="2025"/>
    <s v="Rivian Automotive L"/>
    <s v="Rivian"/>
    <s v="R1S Tri Max (22in)"/>
    <s v="4-Wheel Drive"/>
    <x v="0"/>
    <n v="81"/>
    <n v="70"/>
    <n v="76"/>
    <n v="1100"/>
    <n v="9"/>
    <n v="10"/>
    <n v="4000"/>
    <s v=""/>
    <n v="0"/>
    <n v="0"/>
    <n v="0"/>
    <n v="371"/>
    <n v="395"/>
    <n v="341"/>
    <n v="15"/>
    <s v=""/>
    <s v="201 and 233"/>
    <s v="Lithium Ion"/>
    <s v="Electrical Regen Brake"/>
  </r>
  <r>
    <n v="2025"/>
    <s v="Rivian Automotive L"/>
    <s v="Rivian"/>
    <s v="R1S Tri Max (22in)"/>
    <s v="4-Wheel Drive"/>
    <x v="0"/>
    <n v="42"/>
    <n v="48"/>
    <n v="45"/>
    <n v="1100"/>
    <n v="9"/>
    <n v="10"/>
    <n v="4000"/>
    <s v=""/>
    <n v="0"/>
    <n v="0"/>
    <n v="0"/>
    <n v="371"/>
    <n v="395"/>
    <n v="341"/>
    <n v="15"/>
    <s v=""/>
    <s v="201 and 233"/>
    <s v="Lithium Ion"/>
    <s v="Electrical Regen Brake"/>
  </r>
  <r>
    <n v="2025"/>
    <s v="Rivian Automotive L"/>
    <s v="Rivian"/>
    <s v="R1T All-Terrain Tri Max (20in)"/>
    <s v="4-Wheel Drive"/>
    <x v="9"/>
    <n v="72"/>
    <n v="63"/>
    <n v="68"/>
    <n v="1200"/>
    <n v="9"/>
    <n v="10"/>
    <n v="3500"/>
    <s v=""/>
    <n v="0"/>
    <n v="0"/>
    <n v="0"/>
    <n v="329"/>
    <n v="348"/>
    <n v="306"/>
    <n v="15"/>
    <s v=""/>
    <s v="201, 201 and 233"/>
    <s v="Lithium Ion"/>
    <s v="Electrical Regen Brake"/>
  </r>
  <r>
    <n v="2025"/>
    <s v="Rivian Automotive L"/>
    <s v="Rivian"/>
    <s v="R1T All-Terrain Tri Max (20in)"/>
    <s v="4-Wheel Drive"/>
    <x v="9"/>
    <n v="47"/>
    <n v="53"/>
    <n v="50"/>
    <n v="1200"/>
    <n v="9"/>
    <n v="10"/>
    <n v="3500"/>
    <s v=""/>
    <n v="0"/>
    <n v="0"/>
    <n v="0"/>
    <n v="329"/>
    <n v="348"/>
    <n v="306"/>
    <n v="15"/>
    <s v=""/>
    <s v="201, 201 and 233"/>
    <s v="Lithium Ion"/>
    <s v="Electrical Regen Brake"/>
  </r>
  <r>
    <n v="2025"/>
    <s v="Rivian Automotive L"/>
    <s v="Rivian"/>
    <s v="R1S All-Terrain Tri Max (20in)"/>
    <s v="4-Wheel Drive"/>
    <x v="0"/>
    <n v="72"/>
    <n v="63"/>
    <n v="68"/>
    <n v="1200"/>
    <n v="9"/>
    <n v="10"/>
    <n v="3500"/>
    <s v=""/>
    <n v="0"/>
    <n v="0"/>
    <n v="0"/>
    <n v="329"/>
    <n v="348"/>
    <n v="306"/>
    <n v="15"/>
    <s v=""/>
    <s v="201 and 233"/>
    <s v="Lithium Ion"/>
    <s v="Electrical Regen Brake"/>
  </r>
  <r>
    <n v="2025"/>
    <s v="Rivian Automotive L"/>
    <s v="Rivian"/>
    <s v="R1S All-Terrain Tri Max (20in)"/>
    <s v="4-Wheel Drive"/>
    <x v="0"/>
    <n v="47"/>
    <n v="53"/>
    <n v="50"/>
    <n v="1200"/>
    <n v="9"/>
    <n v="10"/>
    <n v="3500"/>
    <s v=""/>
    <n v="0"/>
    <n v="0"/>
    <n v="0"/>
    <n v="329"/>
    <n v="348"/>
    <n v="306"/>
    <n v="15"/>
    <s v=""/>
    <s v="201 and 233"/>
    <s v="Lithium Ion"/>
    <s v="Electrical Regen Brake"/>
  </r>
  <r>
    <n v="2025"/>
    <s v="Rivian Automotive L"/>
    <s v="Rivian"/>
    <s v="R1T Dual Large (22in)"/>
    <s v="4-Wheel Drive"/>
    <x v="9"/>
    <n v="94"/>
    <n v="77"/>
    <n v="85"/>
    <n v="950"/>
    <n v="9"/>
    <n v="10"/>
    <n v="4750"/>
    <s v=""/>
    <n v="0"/>
    <n v="0"/>
    <n v="0"/>
    <n v="329"/>
    <n v="358"/>
    <n v="293"/>
    <n v="12"/>
    <s v=""/>
    <s v="264"/>
    <s v="Lithium Ion"/>
    <s v="Electrical Regen Brake"/>
  </r>
  <r>
    <n v="2025"/>
    <s v="Rivian Automotive L"/>
    <s v="Rivian"/>
    <s v="R1T Dual Large (22in)"/>
    <s v="4-Wheel Drive"/>
    <x v="9"/>
    <n v="36"/>
    <n v="44"/>
    <n v="39"/>
    <n v="950"/>
    <n v="9"/>
    <n v="10"/>
    <n v="4750"/>
    <s v=""/>
    <n v="0"/>
    <n v="0"/>
    <n v="0"/>
    <n v="329"/>
    <n v="358"/>
    <n v="293"/>
    <n v="12"/>
    <s v=""/>
    <s v="264"/>
    <s v="Lithium Ion"/>
    <s v="Electrical Regen Brake"/>
  </r>
  <r>
    <n v="2025"/>
    <s v="Rivian Automotive L"/>
    <s v="Rivian"/>
    <s v="R1S Dual Large (22in)"/>
    <s v="4-Wheel Drive"/>
    <x v="0"/>
    <n v="94"/>
    <n v="77"/>
    <n v="85"/>
    <n v="950"/>
    <n v="9"/>
    <n v="10"/>
    <n v="4750"/>
    <s v=""/>
    <n v="0"/>
    <n v="0"/>
    <n v="0"/>
    <n v="329"/>
    <n v="358"/>
    <n v="293"/>
    <n v="12"/>
    <s v=""/>
    <s v="264"/>
    <s v="Lithium Ion"/>
    <s v="Electrical Regen Brake"/>
  </r>
  <r>
    <n v="2025"/>
    <s v="Rivian Automotive L"/>
    <s v="Rivian"/>
    <s v="R1S Dual Large (22in)"/>
    <s v="4-Wheel Drive"/>
    <x v="0"/>
    <n v="36"/>
    <n v="44"/>
    <n v="39"/>
    <n v="950"/>
    <n v="9"/>
    <n v="10"/>
    <n v="4750"/>
    <s v=""/>
    <n v="0"/>
    <n v="0"/>
    <n v="0"/>
    <n v="329"/>
    <n v="358"/>
    <n v="293"/>
    <n v="12"/>
    <s v=""/>
    <s v="264"/>
    <s v="Lithium Ion"/>
    <s v="Electrical Regen Brake"/>
  </r>
  <r>
    <n v="2025"/>
    <s v="Rivian Automotive L"/>
    <s v="Rivian"/>
    <s v="R1T Dual Large (20in)"/>
    <s v="4-Wheel Drive"/>
    <x v="9"/>
    <n v="85"/>
    <n v="72"/>
    <n v="79"/>
    <n v="1050"/>
    <n v="9"/>
    <n v="10"/>
    <n v="4250"/>
    <s v=""/>
    <n v="0"/>
    <n v="0"/>
    <n v="0"/>
    <n v="300"/>
    <n v="322"/>
    <n v="273"/>
    <n v="12"/>
    <s v=""/>
    <s v="264"/>
    <s v="Lithium Ion"/>
    <s v="Electrical Regen Brake"/>
  </r>
  <r>
    <n v="2025"/>
    <s v="Rivian Automotive L"/>
    <s v="Rivian"/>
    <s v="R1T Dual Large (20in)"/>
    <s v="4-Wheel Drive"/>
    <x v="9"/>
    <n v="40"/>
    <n v="47"/>
    <n v="43"/>
    <n v="1050"/>
    <n v="9"/>
    <n v="10"/>
    <n v="4250"/>
    <s v=""/>
    <n v="0"/>
    <n v="0"/>
    <n v="0"/>
    <n v="300"/>
    <n v="322"/>
    <n v="273"/>
    <n v="12"/>
    <s v=""/>
    <s v="264"/>
    <s v="Lithium Ion"/>
    <s v="Electrical Regen Brake"/>
  </r>
  <r>
    <n v="2025"/>
    <s v="Rivian Automotive L"/>
    <s v="Rivian"/>
    <s v="R1S Dual Large (20in)"/>
    <s v="4-Wheel Drive"/>
    <x v="0"/>
    <n v="85"/>
    <n v="72"/>
    <n v="79"/>
    <n v="1050"/>
    <n v="9"/>
    <n v="10"/>
    <n v="4250"/>
    <s v=""/>
    <n v="0"/>
    <n v="0"/>
    <n v="0"/>
    <n v="300"/>
    <n v="322"/>
    <n v="273"/>
    <n v="12"/>
    <s v=""/>
    <s v="264"/>
    <s v="Lithium Ion"/>
    <s v="Electrical Regen Brake"/>
  </r>
  <r>
    <n v="2025"/>
    <s v="Rivian Automotive L"/>
    <s v="Rivian"/>
    <s v="R1S Dual Large (20in)"/>
    <s v="4-Wheel Drive"/>
    <x v="0"/>
    <n v="40"/>
    <n v="47"/>
    <n v="43"/>
    <n v="1050"/>
    <n v="9"/>
    <n v="10"/>
    <n v="4250"/>
    <s v=""/>
    <n v="0"/>
    <n v="0"/>
    <n v="0"/>
    <n v="300"/>
    <n v="322"/>
    <n v="273"/>
    <n v="12"/>
    <s v=""/>
    <s v="264"/>
    <s v="Lithium Ion"/>
    <s v="Electrical Regen Brake"/>
  </r>
  <r>
    <n v="2025"/>
    <s v="Rivian Automotive L"/>
    <s v="Rivian"/>
    <s v="R1T All-Terrain Dual Large (20in)"/>
    <s v="4-Wheel Drive"/>
    <x v="9"/>
    <n v="82"/>
    <n v="70"/>
    <n v="76"/>
    <n v="1050"/>
    <n v="9"/>
    <n v="10"/>
    <n v="4250"/>
    <s v=""/>
    <n v="0"/>
    <n v="0"/>
    <n v="0"/>
    <n v="289"/>
    <n v="310"/>
    <n v="264"/>
    <n v="12"/>
    <s v=""/>
    <s v="264"/>
    <s v="Lithium Ion"/>
    <s v="Electrical Regen Brake"/>
  </r>
  <r>
    <n v="2025"/>
    <s v="Rivian Automotive L"/>
    <s v="Rivian"/>
    <s v="R1T All-Terrain Dual Large (20in)"/>
    <s v="4-Wheel Drive"/>
    <x v="9"/>
    <n v="41"/>
    <n v="48"/>
    <n v="44"/>
    <n v="1050"/>
    <n v="9"/>
    <n v="10"/>
    <n v="4250"/>
    <s v=""/>
    <n v="0"/>
    <n v="0"/>
    <n v="0"/>
    <n v="289"/>
    <n v="310"/>
    <n v="264"/>
    <n v="12"/>
    <s v=""/>
    <s v="264"/>
    <s v="Lithium Ion"/>
    <s v="Electrical Regen Brake"/>
  </r>
  <r>
    <n v="2025"/>
    <s v="Rivian Automotive L"/>
    <s v="Rivian"/>
    <s v="R1S All-Terrain Dual Large (20in)"/>
    <s v="4-Wheel Drive"/>
    <x v="0"/>
    <n v="82"/>
    <n v="70"/>
    <n v="76"/>
    <n v="1050"/>
    <n v="9"/>
    <n v="10"/>
    <n v="4250"/>
    <s v=""/>
    <n v="0"/>
    <n v="0"/>
    <n v="0"/>
    <n v="289"/>
    <n v="310"/>
    <n v="264"/>
    <n v="12"/>
    <s v=""/>
    <s v="264"/>
    <s v="Lithium Ion"/>
    <s v="Electrical Regen Brake"/>
  </r>
  <r>
    <n v="2025"/>
    <s v="Rivian Automotive L"/>
    <s v="Rivian"/>
    <s v="R1S All-Terrain Dual Large (20in)"/>
    <s v="4-Wheel Drive"/>
    <x v="0"/>
    <n v="41"/>
    <n v="48"/>
    <n v="44"/>
    <n v="1050"/>
    <n v="9"/>
    <n v="10"/>
    <n v="4250"/>
    <s v=""/>
    <n v="0"/>
    <n v="0"/>
    <n v="0"/>
    <n v="289"/>
    <n v="310"/>
    <n v="264"/>
    <n v="12"/>
    <s v=""/>
    <s v="264"/>
    <s v="Lithium Ion"/>
    <s v="Electrical Regen Brake"/>
  </r>
  <r>
    <n v="2025"/>
    <s v="Rivian Automotive L"/>
    <s v="Rivian"/>
    <s v="R1T Performance Dual Large (22in)"/>
    <s v="4-Wheel Drive"/>
    <x v="9"/>
    <n v="94"/>
    <n v="77"/>
    <n v="85"/>
    <n v="950"/>
    <n v="9"/>
    <n v="10"/>
    <n v="4750"/>
    <s v=""/>
    <n v="0"/>
    <n v="0"/>
    <n v="0"/>
    <n v="329"/>
    <n v="358"/>
    <n v="293"/>
    <n v="12"/>
    <s v=""/>
    <s v="264"/>
    <s v="Lithium Ion"/>
    <s v="Electrical Regen Brake"/>
  </r>
  <r>
    <n v="2025"/>
    <s v="Rivian Automotive L"/>
    <s v="Rivian"/>
    <s v="R1T Performance Dual Large (22in)"/>
    <s v="4-Wheel Drive"/>
    <x v="9"/>
    <n v="36"/>
    <n v="44"/>
    <n v="39"/>
    <n v="950"/>
    <n v="9"/>
    <n v="10"/>
    <n v="4750"/>
    <s v=""/>
    <n v="0"/>
    <n v="0"/>
    <n v="0"/>
    <n v="329"/>
    <n v="358"/>
    <n v="293"/>
    <n v="12"/>
    <s v=""/>
    <s v="264"/>
    <s v="Lithium Ion"/>
    <s v="Electrical Regen Brake"/>
  </r>
  <r>
    <n v="2025"/>
    <s v="Rivian Automotive L"/>
    <s v="Rivian"/>
    <s v="R1S Performance Dual Large (22in)"/>
    <s v="4-Wheel Drive"/>
    <x v="0"/>
    <n v="94"/>
    <n v="77"/>
    <n v="85"/>
    <n v="950"/>
    <n v="9"/>
    <n v="10"/>
    <n v="4750"/>
    <s v=""/>
    <n v="0"/>
    <n v="0"/>
    <n v="0"/>
    <n v="329"/>
    <n v="358"/>
    <n v="293"/>
    <n v="12"/>
    <s v=""/>
    <s v="264"/>
    <s v="Lithium Ion"/>
    <s v="Electrical Regen Brake"/>
  </r>
  <r>
    <n v="2025"/>
    <s v="Rivian Automotive L"/>
    <s v="Rivian"/>
    <s v="R1S Performance Dual Large (22in)"/>
    <s v="4-Wheel Drive"/>
    <x v="0"/>
    <n v="36"/>
    <n v="44"/>
    <n v="39"/>
    <n v="950"/>
    <n v="9"/>
    <n v="10"/>
    <n v="4750"/>
    <s v=""/>
    <n v="0"/>
    <n v="0"/>
    <n v="0"/>
    <n v="329"/>
    <n v="358"/>
    <n v="293"/>
    <n v="12"/>
    <s v=""/>
    <s v="264"/>
    <s v="Lithium Ion"/>
    <s v="Electrical Regen Brake"/>
  </r>
  <r>
    <n v="2025"/>
    <s v="Rivian Automotive L"/>
    <s v="Rivian"/>
    <s v="R1T Performance Dual Large (20in)"/>
    <s v="4-Wheel Drive"/>
    <x v="9"/>
    <n v="85"/>
    <n v="72"/>
    <n v="79"/>
    <n v="1050"/>
    <n v="9"/>
    <n v="10"/>
    <n v="4250"/>
    <s v=""/>
    <n v="0"/>
    <n v="0"/>
    <n v="0"/>
    <n v="300"/>
    <n v="322"/>
    <n v="273"/>
    <n v="12"/>
    <s v=""/>
    <s v="264"/>
    <s v="Lithium Ion"/>
    <s v="Electrical Regen Brake"/>
  </r>
  <r>
    <n v="2025"/>
    <s v="Rivian Automotive L"/>
    <s v="Rivian"/>
    <s v="R1T Performance Dual Large (20in)"/>
    <s v="4-Wheel Drive"/>
    <x v="9"/>
    <n v="40"/>
    <n v="47"/>
    <n v="43"/>
    <n v="1050"/>
    <n v="9"/>
    <n v="10"/>
    <n v="4250"/>
    <s v=""/>
    <n v="0"/>
    <n v="0"/>
    <n v="0"/>
    <n v="300"/>
    <n v="322"/>
    <n v="273"/>
    <n v="12"/>
    <s v=""/>
    <s v="264"/>
    <s v="Lithium Ion"/>
    <s v="Electrical Regen Brake"/>
  </r>
  <r>
    <n v="2025"/>
    <s v="Rivian Automotive L"/>
    <s v="Rivian"/>
    <s v="R1S Performance Dual Large (20in)"/>
    <s v="4-Wheel Drive"/>
    <x v="0"/>
    <n v="85"/>
    <n v="72"/>
    <n v="79"/>
    <n v="1050"/>
    <n v="9"/>
    <n v="10"/>
    <n v="4250"/>
    <s v=""/>
    <n v="0"/>
    <n v="0"/>
    <n v="0"/>
    <n v="300"/>
    <n v="322"/>
    <n v="273"/>
    <n v="12"/>
    <s v=""/>
    <s v="264"/>
    <s v="Lithium Ion"/>
    <s v="Electrical Regen Brake"/>
  </r>
  <r>
    <n v="2025"/>
    <s v="Rivian Automotive L"/>
    <s v="Rivian"/>
    <s v="R1S Performance Dual Large (20in)"/>
    <s v="4-Wheel Drive"/>
    <x v="0"/>
    <n v="40"/>
    <n v="47"/>
    <n v="43"/>
    <n v="1050"/>
    <n v="9"/>
    <n v="10"/>
    <n v="4250"/>
    <s v=""/>
    <n v="0"/>
    <n v="0"/>
    <n v="0"/>
    <n v="300"/>
    <n v="322"/>
    <n v="273"/>
    <n v="12"/>
    <s v=""/>
    <s v="264"/>
    <s v="Lithium Ion"/>
    <s v="Electrical Regen Brake"/>
  </r>
  <r>
    <n v="2025"/>
    <s v="Rivian Automotive L"/>
    <s v="Rivian"/>
    <s v="R1T All-Terrain Performance Dual Large (20in)"/>
    <s v="4-Wheel Drive"/>
    <x v="9"/>
    <n v="82"/>
    <n v="70"/>
    <n v="76"/>
    <n v="1050"/>
    <n v="9"/>
    <n v="10"/>
    <n v="4250"/>
    <s v=""/>
    <n v="0"/>
    <n v="0"/>
    <n v="0"/>
    <n v="289"/>
    <n v="310"/>
    <n v="264"/>
    <n v="12"/>
    <s v=""/>
    <s v="264"/>
    <s v="Lithium Ion"/>
    <s v="Electrical Regen Brake"/>
  </r>
  <r>
    <n v="2025"/>
    <s v="Rivian Automotive L"/>
    <s v="Rivian"/>
    <s v="R1T All-Terrain Performance Dual Large (20in)"/>
    <s v="4-Wheel Drive"/>
    <x v="9"/>
    <n v="41"/>
    <n v="48"/>
    <n v="44"/>
    <n v="1050"/>
    <n v="9"/>
    <n v="10"/>
    <n v="4250"/>
    <s v=""/>
    <n v="0"/>
    <n v="0"/>
    <n v="0"/>
    <n v="289"/>
    <n v="310"/>
    <n v="264"/>
    <n v="12"/>
    <s v=""/>
    <s v="264"/>
    <s v="Lithium Ion"/>
    <s v="Electrical Regen Brake"/>
  </r>
  <r>
    <n v="2025"/>
    <s v="Rivian Automotive L"/>
    <s v="Rivian"/>
    <s v="R1S All-Terrain Performance Dual Large (20in)"/>
    <s v="4-Wheel Drive"/>
    <x v="0"/>
    <n v="82"/>
    <n v="70"/>
    <n v="76"/>
    <n v="1050"/>
    <n v="9"/>
    <n v="10"/>
    <n v="4250"/>
    <s v=""/>
    <n v="0"/>
    <n v="0"/>
    <n v="0"/>
    <n v="289"/>
    <n v="310"/>
    <n v="264"/>
    <n v="12"/>
    <s v=""/>
    <s v="264"/>
    <s v="Lithium Ion"/>
    <s v="Electrical Regen Brake"/>
  </r>
  <r>
    <n v="2025"/>
    <s v="Rivian Automotive L"/>
    <s v="Rivian"/>
    <s v="R1S All-Terrain Performance Dual Large (20in)"/>
    <s v="4-Wheel Drive"/>
    <x v="0"/>
    <n v="41"/>
    <n v="48"/>
    <n v="44"/>
    <n v="1050"/>
    <n v="9"/>
    <n v="10"/>
    <n v="4250"/>
    <s v=""/>
    <n v="0"/>
    <n v="0"/>
    <n v="0"/>
    <n v="289"/>
    <n v="310"/>
    <n v="264"/>
    <n v="12"/>
    <s v=""/>
    <s v="264"/>
    <s v="Lithium Ion"/>
    <s v="Electrical Regen Brake"/>
  </r>
  <r>
    <n v="2025"/>
    <s v="Rolls-Royce"/>
    <s v="Rolls-Royce Motor Cars Limited"/>
    <s v="Spectre (22'' Wheels)"/>
    <s v="All Wheel Drive"/>
    <x v="3"/>
    <n v="74"/>
    <n v="82"/>
    <n v="77"/>
    <n v="1050"/>
    <n v="9"/>
    <n v="10"/>
    <n v="4250"/>
    <s v=""/>
    <n v="0"/>
    <n v="0"/>
    <n v="0"/>
    <n v="277"/>
    <n v="263"/>
    <n v="294"/>
    <n v="12"/>
    <s v=""/>
    <s v="190 and 360"/>
    <s v="Lithium Ion"/>
    <s v="Electrical Regen Brake"/>
  </r>
  <r>
    <n v="2025"/>
    <s v="Rolls-Royce"/>
    <s v="Rolls-Royce Motor Cars Limited"/>
    <s v="Spectre (22'' Wheels)"/>
    <s v="All Wheel Drive"/>
    <x v="3"/>
    <n v="46"/>
    <n v="41"/>
    <n v="44"/>
    <n v="1050"/>
    <n v="9"/>
    <n v="10"/>
    <n v="4250"/>
    <s v=""/>
    <n v="0"/>
    <n v="0"/>
    <n v="0"/>
    <n v="277"/>
    <n v="263"/>
    <n v="294"/>
    <n v="12"/>
    <s v=""/>
    <s v="190 and 360"/>
    <s v="Lithium Ion"/>
    <s v="Electrical Regen Brake"/>
  </r>
  <r>
    <n v="2025"/>
    <s v="Rolls-Royce"/>
    <s v="Rolls-Royce Motor Cars Limited"/>
    <s v="Spectre (23'' Wheels)"/>
    <s v="All Wheel Drive"/>
    <x v="3"/>
    <n v="67"/>
    <n v="75"/>
    <n v="70"/>
    <n v="1150"/>
    <n v="9"/>
    <n v="10"/>
    <n v="3750"/>
    <s v=""/>
    <n v="0"/>
    <n v="0"/>
    <n v="0"/>
    <n v="253"/>
    <n v="240"/>
    <n v="269"/>
    <n v="12"/>
    <s v=""/>
    <s v="190 and 360"/>
    <s v="Lithium Ion"/>
    <s v="Electrical Regen Brake"/>
  </r>
  <r>
    <n v="2025"/>
    <s v="Rolls-Royce"/>
    <s v="Rolls-Royce Motor Cars Limited"/>
    <s v="Spectre (23'' Wheels)"/>
    <s v="All Wheel Drive"/>
    <x v="3"/>
    <n v="50"/>
    <n v="45"/>
    <n v="48"/>
    <n v="1150"/>
    <n v="9"/>
    <n v="10"/>
    <n v="3750"/>
    <s v=""/>
    <n v="0"/>
    <n v="0"/>
    <n v="0"/>
    <n v="253"/>
    <n v="240"/>
    <n v="269"/>
    <n v="12"/>
    <s v=""/>
    <s v="190 and 360"/>
    <s v="Lithium Ion"/>
    <s v="Electrical Regen Brake"/>
  </r>
  <r>
    <n v="2025"/>
    <s v="Rolls-Royce"/>
    <s v="Rolls-Royce Motor Cars Limited"/>
    <s v="Black Badge Spectre (22'' Wheels)"/>
    <s v="All Wheel Drive"/>
    <x v="3"/>
    <n v="70"/>
    <n v="80"/>
    <n v="74"/>
    <n v="1100"/>
    <n v="9"/>
    <n v="10"/>
    <n v="4000"/>
    <s v=""/>
    <n v="0"/>
    <n v="0"/>
    <n v="0"/>
    <n v="266"/>
    <n v="251"/>
    <n v="285"/>
    <n v="12"/>
    <s v=""/>
    <s v="190 and 360"/>
    <s v="Lithium Ion"/>
    <s v="Electrical Regen Brake"/>
  </r>
  <r>
    <n v="2025"/>
    <s v="Rolls-Royce"/>
    <s v="Rolls-Royce Motor Cars Limited"/>
    <s v="Black Badge Spectre (22'' Wheels)"/>
    <s v="All Wheel Drive"/>
    <x v="3"/>
    <n v="48"/>
    <n v="42"/>
    <n v="45"/>
    <n v="1100"/>
    <n v="9"/>
    <n v="10"/>
    <n v="4000"/>
    <s v=""/>
    <n v="0"/>
    <n v="0"/>
    <n v="0"/>
    <n v="266"/>
    <n v="251"/>
    <n v="285"/>
    <n v="12"/>
    <s v=""/>
    <s v="190 and 360"/>
    <s v="Lithium Ion"/>
    <s v="Electrical Regen Brake"/>
  </r>
  <r>
    <n v="2025"/>
    <s v="Rolls-Royce"/>
    <s v="Rolls-Royce Motor Cars Limited"/>
    <s v="Black Badge Spectre (23'' Wheels)"/>
    <s v="All Wheel Drive"/>
    <x v="3"/>
    <n v="67"/>
    <n v="74"/>
    <n v="70"/>
    <n v="1150"/>
    <n v="9"/>
    <n v="10"/>
    <n v="3750"/>
    <s v=""/>
    <n v="0"/>
    <n v="0"/>
    <n v="0"/>
    <n v="251"/>
    <n v="241"/>
    <n v="264"/>
    <n v="12"/>
    <s v=""/>
    <s v="190 and 360"/>
    <s v="Lithium Ion"/>
    <s v="Electrical Regen Brake"/>
  </r>
  <r>
    <n v="2025"/>
    <s v="Rolls-Royce"/>
    <s v="Rolls-Royce Motor Cars Limited"/>
    <s v="Black Badge Spectre (23'' Wheels)"/>
    <s v="All Wheel Drive"/>
    <x v="3"/>
    <n v="50"/>
    <n v="46"/>
    <n v="48"/>
    <n v="1150"/>
    <n v="9"/>
    <n v="10"/>
    <n v="3750"/>
    <s v=""/>
    <n v="0"/>
    <n v="0"/>
    <n v="0"/>
    <n v="251"/>
    <n v="241"/>
    <n v="264"/>
    <n v="12"/>
    <s v=""/>
    <s v="190 and 360"/>
    <s v="Lithium Ion"/>
    <s v="Electrical Regen Brake"/>
  </r>
  <r>
    <n v="2025"/>
    <s v="Subaru"/>
    <s v="Subaru"/>
    <s v="SOLTERRA AWD"/>
    <s v="All Wheel Drive"/>
    <x v="7"/>
    <n v="114"/>
    <n v="94"/>
    <n v="104"/>
    <n v="750"/>
    <n v="9"/>
    <n v="10"/>
    <n v="5750"/>
    <s v=""/>
    <n v="0"/>
    <n v="0"/>
    <n v="0"/>
    <n v="227"/>
    <n v="245"/>
    <n v="205"/>
    <n v="11"/>
    <s v=""/>
    <s v="80"/>
    <s v="Lithium Ion"/>
    <s v="Electrical Regen Brake"/>
  </r>
  <r>
    <n v="2025"/>
    <s v="Subaru"/>
    <s v="Subaru"/>
    <s v="SOLTERRA AWD"/>
    <s v="All Wheel Drive"/>
    <x v="7"/>
    <n v="28"/>
    <n v="34"/>
    <n v="31"/>
    <n v="750"/>
    <n v="9"/>
    <n v="10"/>
    <n v="5750"/>
    <s v=""/>
    <n v="0"/>
    <n v="0"/>
    <n v="0"/>
    <n v="227"/>
    <n v="245"/>
    <n v="205"/>
    <n v="11"/>
    <s v=""/>
    <s v="80"/>
    <s v="Lithium Ion"/>
    <s v="Electrical Regen Brake"/>
  </r>
  <r>
    <n v="2025"/>
    <s v="Subaru"/>
    <s v="Subaru"/>
    <s v="SOLTERRA LIMITED/TOURING AWD"/>
    <s v="All Wheel Drive"/>
    <x v="7"/>
    <n v="111"/>
    <n v="93"/>
    <n v="102"/>
    <n v="800"/>
    <n v="9"/>
    <n v="10"/>
    <n v="5500"/>
    <s v=""/>
    <n v="0"/>
    <n v="0"/>
    <n v="0"/>
    <n v="222"/>
    <n v="240"/>
    <n v="200"/>
    <n v="11"/>
    <s v=""/>
    <s v="80"/>
    <s v="Lithium Ion"/>
    <s v="Electrical Regen Brake"/>
  </r>
  <r>
    <n v="2025"/>
    <s v="Subaru"/>
    <s v="Subaru"/>
    <s v="SOLTERRA LIMITED/TOURING AWD"/>
    <s v="All Wheel Drive"/>
    <x v="7"/>
    <n v="29"/>
    <n v="35"/>
    <n v="32"/>
    <n v="800"/>
    <n v="9"/>
    <n v="10"/>
    <n v="5500"/>
    <s v=""/>
    <n v="0"/>
    <n v="0"/>
    <n v="0"/>
    <n v="222"/>
    <n v="240"/>
    <n v="200"/>
    <n v="11"/>
    <s v=""/>
    <s v="80"/>
    <s v="Lithium Ion"/>
    <s v="Electrical Regen Brake"/>
  </r>
  <r>
    <n v="2025"/>
    <s v="Tesla"/>
    <s v="Tesla Motors"/>
    <s v="Cybertruck Long Range"/>
    <s v="2-Wheel Drive, Rear"/>
    <x v="15"/>
    <n v="93"/>
    <n v="72"/>
    <n v="82"/>
    <n v="1000"/>
    <n v="9"/>
    <n v="10"/>
    <n v="4500"/>
    <s v=""/>
    <n v="0"/>
    <n v="0"/>
    <n v="0"/>
    <n v="335"/>
    <n v="373"/>
    <n v="288"/>
    <n v="12"/>
    <s v=""/>
    <s v="240"/>
    <s v="Lithium Ion"/>
    <s v="Electrical Regen Brake"/>
  </r>
  <r>
    <n v="2025"/>
    <s v="Tesla"/>
    <s v="Tesla Motors"/>
    <s v="Cybertruck Long Range"/>
    <s v="2-Wheel Drive, Rear"/>
    <x v="15"/>
    <n v="36"/>
    <n v="47"/>
    <n v="41"/>
    <n v="1000"/>
    <n v="9"/>
    <n v="10"/>
    <n v="4500"/>
    <s v=""/>
    <n v="0"/>
    <n v="0"/>
    <n v="0"/>
    <n v="335"/>
    <n v="373"/>
    <n v="288"/>
    <n v="12"/>
    <s v=""/>
    <s v="240"/>
    <s v="Lithium Ion"/>
    <s v="Electrical Regen Brake"/>
  </r>
  <r>
    <n v="2025"/>
    <s v="Tesla"/>
    <s v="Tesla Motors"/>
    <s v="Cybertruck Long Range (20&quot; Cyber wheels)"/>
    <s v="2-Wheel Drive, Rear"/>
    <x v="15"/>
    <n v="89"/>
    <n v="67"/>
    <n v="78"/>
    <n v="1050"/>
    <n v="9"/>
    <n v="10"/>
    <n v="4250"/>
    <s v=""/>
    <n v="0"/>
    <n v="0"/>
    <n v="0"/>
    <n v="335"/>
    <n v="377"/>
    <n v="283"/>
    <n v="12"/>
    <s v=""/>
    <s v="240"/>
    <s v="Lithium Ion"/>
    <s v="Electrical Regen Brake"/>
  </r>
  <r>
    <n v="2025"/>
    <s v="Tesla"/>
    <s v="Tesla Motors"/>
    <s v="Cybertruck Long Range (20&quot; Cyber wheels)"/>
    <s v="2-Wheel Drive, Rear"/>
    <x v="15"/>
    <n v="38"/>
    <n v="50"/>
    <n v="43"/>
    <n v="1050"/>
    <n v="9"/>
    <n v="10"/>
    <n v="4250"/>
    <s v=""/>
    <n v="0"/>
    <n v="0"/>
    <n v="0"/>
    <n v="335"/>
    <n v="377"/>
    <n v="283"/>
    <n v="12"/>
    <s v=""/>
    <s v="240"/>
    <s v="Lithium Ion"/>
    <s v="Electrical Regen Brake"/>
  </r>
  <r>
    <n v="2025"/>
    <s v="Tesla"/>
    <s v="Tesla Motors"/>
    <s v="Cybertruck AWD"/>
    <s v="All Wheel Drive"/>
    <x v="9"/>
    <n v="85"/>
    <n v="72"/>
    <n v="79"/>
    <n v="1050"/>
    <n v="9"/>
    <n v="10"/>
    <n v="4250"/>
    <s v=""/>
    <n v="0"/>
    <n v="0"/>
    <n v="0"/>
    <n v="325"/>
    <n v="348"/>
    <n v="297"/>
    <n v="11.7"/>
    <s v=""/>
    <s v="224 and 239"/>
    <s v="Lithium Ion"/>
    <s v="Electrical Regen Brake"/>
  </r>
  <r>
    <n v="2025"/>
    <s v="Tesla"/>
    <s v="Tesla Motors"/>
    <s v="Cybertruck AWD"/>
    <s v="All Wheel Drive"/>
    <x v="9"/>
    <n v="40"/>
    <n v="47"/>
    <n v="43"/>
    <n v="1050"/>
    <n v="9"/>
    <n v="10"/>
    <n v="4250"/>
    <s v=""/>
    <n v="0"/>
    <n v="0"/>
    <n v="0"/>
    <n v="325"/>
    <n v="348"/>
    <n v="297"/>
    <n v="11.7"/>
    <s v=""/>
    <s v="224 and 239"/>
    <s v="Lithium Ion"/>
    <s v="Electrical Regen Brake"/>
  </r>
  <r>
    <n v="2025"/>
    <s v="Tesla"/>
    <s v="Tesla Motors"/>
    <s v="Model 3 Long Range RWD"/>
    <s v="2-Wheel Drive, Rear"/>
    <x v="11"/>
    <n v="145"/>
    <n v="128"/>
    <n v="137"/>
    <n v="600"/>
    <n v="10"/>
    <n v="10"/>
    <n v="6500"/>
    <s v=""/>
    <n v="0"/>
    <n v="0"/>
    <n v="0"/>
    <n v="363"/>
    <n v="383"/>
    <n v="339"/>
    <n v="11.7"/>
    <s v=""/>
    <s v="192 and 225"/>
    <s v="Lithium Ion"/>
    <s v="Electrical Regen Brake"/>
  </r>
  <r>
    <n v="2025"/>
    <s v="Tesla"/>
    <s v="Tesla Motors"/>
    <s v="Model 3 Long Range RWD"/>
    <s v="2-Wheel Drive, Rear"/>
    <x v="11"/>
    <n v="23"/>
    <n v="26"/>
    <n v="25"/>
    <n v="600"/>
    <n v="10"/>
    <n v="10"/>
    <n v="6500"/>
    <s v=""/>
    <n v="0"/>
    <n v="0"/>
    <n v="0"/>
    <n v="363"/>
    <n v="383"/>
    <n v="339"/>
    <n v="11.7"/>
    <s v=""/>
    <s v="192 and 225"/>
    <s v="Lithium Ion"/>
    <s v="Electrical Regen Brake"/>
  </r>
  <r>
    <n v="2025"/>
    <s v="Tesla"/>
    <s v="Tesla Motors"/>
    <s v="Model 3 Long Range RWD-I (19&quot; Wheels)"/>
    <s v="2-Wheel Drive, Rear"/>
    <x v="11"/>
    <n v="140"/>
    <n v="123"/>
    <n v="131"/>
    <n v="600"/>
    <n v="10"/>
    <n v="10"/>
    <n v="6500"/>
    <s v=""/>
    <n v="0"/>
    <n v="0"/>
    <n v="0"/>
    <n v="346"/>
    <n v="366"/>
    <n v="322"/>
    <n v="9.5"/>
    <s v=""/>
    <s v="192, 213, and 225"/>
    <s v="Lithium Ion"/>
    <s v="Electrical Regen Brake"/>
  </r>
  <r>
    <n v="2025"/>
    <s v="Tesla"/>
    <s v="Tesla Motors"/>
    <s v="Model 3 Long Range RWD-I (19&quot; Wheels)"/>
    <s v="2-Wheel Drive, Rear"/>
    <x v="11"/>
    <n v="24"/>
    <n v="27"/>
    <n v="26"/>
    <n v="600"/>
    <n v="10"/>
    <n v="10"/>
    <n v="6500"/>
    <s v=""/>
    <n v="0"/>
    <n v="0"/>
    <n v="0"/>
    <n v="346"/>
    <n v="366"/>
    <n v="322"/>
    <n v="9.5"/>
    <s v=""/>
    <s v="192, 213, and 225"/>
    <s v="Lithium Ion"/>
    <s v="Electrical Regen Brake"/>
  </r>
  <r>
    <n v="2025"/>
    <s v="Tesla"/>
    <s v="Tesla Motors"/>
    <s v="Model 3 Long Range AWD"/>
    <s v="All Wheel Drive"/>
    <x v="11"/>
    <n v="133"/>
    <n v="122"/>
    <n v="128"/>
    <n v="600"/>
    <n v="10"/>
    <n v="10"/>
    <n v="6500"/>
    <s v=""/>
    <n v="0"/>
    <n v="0"/>
    <n v="0"/>
    <n v="346"/>
    <n v="360"/>
    <n v="329"/>
    <n v="11.7"/>
    <s v=""/>
    <s v="85, 88, 98, 191, 208, and 282"/>
    <s v="Lithium Ion"/>
    <s v="Electrical Regen Brake"/>
  </r>
  <r>
    <n v="2025"/>
    <s v="Tesla"/>
    <s v="Tesla Motors"/>
    <s v="Model 3 Long Range AWD"/>
    <s v="All Wheel Drive"/>
    <x v="11"/>
    <n v="25"/>
    <n v="28"/>
    <n v="26"/>
    <n v="600"/>
    <n v="10"/>
    <n v="10"/>
    <n v="6500"/>
    <s v=""/>
    <n v="0"/>
    <n v="0"/>
    <n v="0"/>
    <n v="346"/>
    <n v="360"/>
    <n v="329"/>
    <n v="11.7"/>
    <s v=""/>
    <s v="85, 88, 98, 191, 208, and 282"/>
    <s v="Lithium Ion"/>
    <s v="Electrical Regen Brake"/>
  </r>
  <r>
    <n v="2025"/>
    <s v="Tesla"/>
    <s v="Tesla Motors"/>
    <s v="Model 3 Performance AWD"/>
    <s v="All Wheel Drive"/>
    <x v="11"/>
    <n v="113"/>
    <n v="104"/>
    <n v="109"/>
    <n v="750"/>
    <n v="9"/>
    <n v="10"/>
    <n v="5750"/>
    <s v=""/>
    <n v="0"/>
    <n v="0"/>
    <n v="0"/>
    <n v="298"/>
    <n v="309"/>
    <n v="284"/>
    <n v="12"/>
    <s v=""/>
    <s v="85, 88, 98, 191, 208, and 282"/>
    <s v="Lithium Ion"/>
    <s v="Electrical Regen Brake"/>
  </r>
  <r>
    <n v="2025"/>
    <s v="Tesla"/>
    <s v="Tesla Motors"/>
    <s v="Model 3 Performance AWD"/>
    <s v="All Wheel Drive"/>
    <x v="11"/>
    <n v="30"/>
    <n v="32"/>
    <n v="31"/>
    <n v="750"/>
    <n v="9"/>
    <n v="10"/>
    <n v="5750"/>
    <s v=""/>
    <n v="0"/>
    <n v="0"/>
    <n v="0"/>
    <n v="298"/>
    <n v="309"/>
    <n v="284"/>
    <n v="12"/>
    <s v=""/>
    <s v="85, 88, 98, 191, 208, and 282"/>
    <s v="Lithium Ion"/>
    <s v="Electrical Regen Brake"/>
  </r>
  <r>
    <n v="2025"/>
    <s v="Tesla"/>
    <s v="Tesla Motors"/>
    <s v="Model Y Long Range RWD"/>
    <s v="2-Wheel Drive, Rear"/>
    <x v="6"/>
    <n v="134"/>
    <n v="117"/>
    <n v="125"/>
    <n v="650"/>
    <n v="10"/>
    <n v="10"/>
    <n v="6250"/>
    <s v=""/>
    <n v="0"/>
    <n v="0"/>
    <n v="0"/>
    <n v="337"/>
    <n v="357"/>
    <n v="312"/>
    <n v="12"/>
    <s v=""/>
    <s v="221"/>
    <s v="Lithium Ion"/>
    <s v="Electrical Regen Brake"/>
  </r>
  <r>
    <n v="2025"/>
    <s v="Tesla"/>
    <s v="Tesla Motors"/>
    <s v="Model Y Long Range RWD"/>
    <s v="2-Wheel Drive, Rear"/>
    <x v="6"/>
    <n v="25"/>
    <n v="29"/>
    <n v="27"/>
    <n v="650"/>
    <n v="10"/>
    <n v="10"/>
    <n v="6250"/>
    <s v=""/>
    <n v="0"/>
    <n v="0"/>
    <n v="0"/>
    <n v="337"/>
    <n v="357"/>
    <n v="312"/>
    <n v="12"/>
    <s v=""/>
    <s v="221"/>
    <s v="Lithium Ion"/>
    <s v="Electrical Regen Brake"/>
  </r>
  <r>
    <n v="2025"/>
    <s v="Tesla"/>
    <s v="Tesla Motors"/>
    <s v="Model Y Long Range AWD"/>
    <s v="All Wheel Drive"/>
    <x v="7"/>
    <n v="123"/>
    <n v="111"/>
    <n v="117"/>
    <n v="700"/>
    <n v="9"/>
    <n v="10"/>
    <n v="6000"/>
    <s v=""/>
    <n v="0"/>
    <n v="0"/>
    <n v="0"/>
    <n v="311"/>
    <n v="325"/>
    <n v="294"/>
    <n v="12"/>
    <s v=""/>
    <s v="83, 91, 135, 183, 200, 202"/>
    <s v="Lithium Ion"/>
    <s v="Electrical Regen Brake"/>
  </r>
  <r>
    <n v="2025"/>
    <s v="Tesla"/>
    <s v="Tesla Motors"/>
    <s v="Model Y Long Range AWD"/>
    <s v="All Wheel Drive"/>
    <x v="7"/>
    <n v="27"/>
    <n v="30"/>
    <n v="29"/>
    <n v="700"/>
    <n v="9"/>
    <n v="10"/>
    <n v="6000"/>
    <s v=""/>
    <n v="0"/>
    <n v="0"/>
    <n v="0"/>
    <n v="311"/>
    <n v="325"/>
    <n v="294"/>
    <n v="12"/>
    <s v=""/>
    <s v="83, 91, 135, 183, 200, 202"/>
    <s v="Lithium Ion"/>
    <s v="Electrical Regen Brake"/>
  </r>
  <r>
    <n v="2025"/>
    <s v="Tesla"/>
    <s v="Tesla Motors"/>
    <s v="Model Y Performance AWD"/>
    <s v="All Wheel Drive"/>
    <x v="7"/>
    <n v="110"/>
    <n v="97"/>
    <n v="104"/>
    <n v="750"/>
    <n v="9"/>
    <n v="10"/>
    <n v="5750"/>
    <s v=""/>
    <n v="0"/>
    <n v="0"/>
    <n v="0"/>
    <n v="277"/>
    <n v="292"/>
    <n v="259"/>
    <n v="11.8"/>
    <s v=""/>
    <s v="83, 91, 135, 183, 200, 202"/>
    <s v="Lithium Ion"/>
    <s v="Electrical Regen Brake"/>
  </r>
  <r>
    <n v="2025"/>
    <s v="Tesla"/>
    <s v="Tesla Motors"/>
    <s v="Model Y Performance AWD"/>
    <s v="All Wheel Drive"/>
    <x v="7"/>
    <n v="31"/>
    <n v="35"/>
    <n v="32"/>
    <n v="750"/>
    <n v="9"/>
    <n v="10"/>
    <n v="5750"/>
    <s v=""/>
    <n v="0"/>
    <n v="0"/>
    <n v="0"/>
    <n v="277"/>
    <n v="292"/>
    <n v="259"/>
    <n v="11.8"/>
    <s v=""/>
    <s v="83, 91, 135, 183, 200, 202"/>
    <s v="Lithium Ion"/>
    <s v="Electrical Regen Brake"/>
  </r>
  <r>
    <n v="2025"/>
    <s v="Tesla"/>
    <s v="Tesla Motors"/>
    <s v="Model S"/>
    <s v="All Wheel Drive"/>
    <x v="4"/>
    <n v="132"/>
    <n v="116"/>
    <n v="124"/>
    <n v="650"/>
    <n v="10"/>
    <n v="10"/>
    <n v="6250"/>
    <s v=""/>
    <n v="0"/>
    <n v="0"/>
    <n v="0"/>
    <n v="410"/>
    <n v="432"/>
    <n v="383"/>
    <n v="9.6999999999999993"/>
    <s v=""/>
    <s v="243 and 248"/>
    <s v="Lithium Ion"/>
    <s v="Electrical Regen Brake"/>
  </r>
  <r>
    <n v="2025"/>
    <s v="Tesla"/>
    <s v="Tesla Motors"/>
    <s v="Model S"/>
    <s v="All Wheel Drive"/>
    <x v="4"/>
    <n v="26"/>
    <n v="29"/>
    <n v="27"/>
    <n v="650"/>
    <n v="10"/>
    <n v="10"/>
    <n v="6250"/>
    <s v=""/>
    <n v="0"/>
    <n v="0"/>
    <n v="0"/>
    <n v="410"/>
    <n v="432"/>
    <n v="383"/>
    <n v="9.6999999999999993"/>
    <s v=""/>
    <s v="243 and 248"/>
    <s v="Lithium Ion"/>
    <s v="Electrical Regen Brake"/>
  </r>
  <r>
    <n v="2025"/>
    <s v="Tesla"/>
    <s v="Tesla Motors"/>
    <s v="Model S Plaid (21in Wheels)"/>
    <s v="All Wheel Drive"/>
    <x v="4"/>
    <n v="97"/>
    <n v="89"/>
    <n v="93"/>
    <n v="850"/>
    <n v="9"/>
    <n v="10"/>
    <n v="5250"/>
    <s v=""/>
    <n v="0"/>
    <n v="0"/>
    <n v="0"/>
    <n v="312"/>
    <n v="324"/>
    <n v="297"/>
    <n v="14"/>
    <s v=""/>
    <s v="250"/>
    <s v="Lithium Ion"/>
    <s v="Electrical Regen Brake"/>
  </r>
  <r>
    <n v="2025"/>
    <s v="Tesla"/>
    <s v="Tesla Motors"/>
    <s v="Model S Plaid (21in Wheels)"/>
    <s v="All Wheel Drive"/>
    <x v="4"/>
    <n v="35"/>
    <n v="38"/>
    <n v="36"/>
    <n v="850"/>
    <n v="9"/>
    <n v="10"/>
    <n v="5250"/>
    <s v=""/>
    <n v="0"/>
    <n v="0"/>
    <n v="0"/>
    <n v="312"/>
    <n v="324"/>
    <n v="297"/>
    <n v="14"/>
    <s v=""/>
    <s v="250"/>
    <s v="Lithium Ion"/>
    <s v="Electrical Regen Brake"/>
  </r>
  <r>
    <n v="2025"/>
    <s v="Tesla"/>
    <s v="Tesla Motors"/>
    <s v="Model S Plaid (19in Wheels)"/>
    <s v="All Wheel Drive"/>
    <x v="4"/>
    <n v="108"/>
    <n v="99"/>
    <n v="104"/>
    <n v="750"/>
    <n v="9"/>
    <n v="10"/>
    <n v="5750"/>
    <s v=""/>
    <n v="0"/>
    <n v="0"/>
    <n v="0"/>
    <n v="348"/>
    <n v="361"/>
    <n v="333"/>
    <n v="14"/>
    <s v=""/>
    <s v="250"/>
    <s v="Lithium Ion"/>
    <s v="Electrical Regen Brake"/>
  </r>
  <r>
    <n v="2025"/>
    <s v="Tesla"/>
    <s v="Tesla Motors"/>
    <s v="Model S Plaid (19in Wheels)"/>
    <s v="All Wheel Drive"/>
    <x v="4"/>
    <n v="31"/>
    <n v="34"/>
    <n v="32"/>
    <n v="750"/>
    <n v="9"/>
    <n v="10"/>
    <n v="5750"/>
    <s v=""/>
    <n v="0"/>
    <n v="0"/>
    <n v="0"/>
    <n v="348"/>
    <n v="361"/>
    <n v="333"/>
    <n v="14"/>
    <s v=""/>
    <s v="250"/>
    <s v="Lithium Ion"/>
    <s v="Electrical Regen Brake"/>
  </r>
  <r>
    <n v="2025"/>
    <s v="Tesla"/>
    <s v="Tesla Motors"/>
    <s v="Model X"/>
    <s v="All Wheel Drive"/>
    <x v="0"/>
    <n v="103"/>
    <n v="94"/>
    <n v="98"/>
    <n v="800"/>
    <n v="9"/>
    <n v="10"/>
    <n v="5500"/>
    <s v=""/>
    <n v="0"/>
    <n v="0"/>
    <n v="0"/>
    <n v="329"/>
    <n v="342"/>
    <n v="313"/>
    <n v="14"/>
    <s v=""/>
    <s v="243 and 248"/>
    <s v="Lithium Ion"/>
    <s v="Electrical Regen Brake"/>
  </r>
  <r>
    <n v="2025"/>
    <s v="Tesla"/>
    <s v="Tesla Motors"/>
    <s v="Model X"/>
    <s v="All Wheel Drive"/>
    <x v="0"/>
    <n v="33"/>
    <n v="36"/>
    <n v="34"/>
    <n v="800"/>
    <n v="9"/>
    <n v="10"/>
    <n v="5500"/>
    <s v=""/>
    <n v="0"/>
    <n v="0"/>
    <n v="0"/>
    <n v="329"/>
    <n v="342"/>
    <n v="313"/>
    <n v="14"/>
    <s v=""/>
    <s v="243 and 248"/>
    <s v="Lithium Ion"/>
    <s v="Electrical Regen Brake"/>
  </r>
  <r>
    <n v="2025"/>
    <s v="Tesla"/>
    <s v="Tesla Motors"/>
    <s v="Model X Plaid (22in Wheels)"/>
    <s v="All Wheel Drive"/>
    <x v="0"/>
    <n v="92"/>
    <n v="84"/>
    <n v="88"/>
    <n v="900"/>
    <n v="9"/>
    <n v="10"/>
    <n v="5000"/>
    <s v=""/>
    <n v="0"/>
    <n v="0"/>
    <n v="0"/>
    <n v="294"/>
    <n v="306"/>
    <n v="279"/>
    <n v="14"/>
    <s v=""/>
    <s v="230"/>
    <s v="Lithium Ion"/>
    <s v="Electrical Regen Brake"/>
  </r>
  <r>
    <n v="2025"/>
    <s v="Tesla"/>
    <s v="Tesla Motors"/>
    <s v="Model X Plaid (22in Wheels)"/>
    <s v="All Wheel Drive"/>
    <x v="0"/>
    <n v="37"/>
    <n v="40"/>
    <n v="38"/>
    <n v="900"/>
    <n v="9"/>
    <n v="10"/>
    <n v="5000"/>
    <s v=""/>
    <n v="0"/>
    <n v="0"/>
    <n v="0"/>
    <n v="294"/>
    <n v="306"/>
    <n v="279"/>
    <n v="14"/>
    <s v=""/>
    <s v="230"/>
    <s v="Lithium Ion"/>
    <s v="Electrical Regen Brake"/>
  </r>
  <r>
    <n v="2025"/>
    <s v="Tesla"/>
    <s v="Tesla Motors"/>
    <s v="Model X Plaid (20in Wheels)"/>
    <s v="All Wheel Drive"/>
    <x v="0"/>
    <n v="98"/>
    <n v="89"/>
    <n v="94"/>
    <n v="850"/>
    <n v="9"/>
    <n v="10"/>
    <n v="5250"/>
    <s v=""/>
    <n v="0"/>
    <n v="0"/>
    <n v="0"/>
    <n v="314"/>
    <n v="328"/>
    <n v="297"/>
    <n v="14"/>
    <s v=""/>
    <s v="230"/>
    <s v="Lithium Ion"/>
    <s v="Electrical Regen Brake"/>
  </r>
  <r>
    <n v="2025"/>
    <s v="Tesla"/>
    <s v="Tesla Motors"/>
    <s v="Model X Plaid (20in Wheels)"/>
    <s v="All Wheel Drive"/>
    <x v="0"/>
    <n v="34"/>
    <n v="38"/>
    <n v="36"/>
    <n v="850"/>
    <n v="9"/>
    <n v="10"/>
    <n v="5250"/>
    <s v=""/>
    <n v="0"/>
    <n v="0"/>
    <n v="0"/>
    <n v="314"/>
    <n v="328"/>
    <n v="297"/>
    <n v="14"/>
    <s v=""/>
    <s v="230"/>
    <s v="Lithium Ion"/>
    <s v="Electrical Regen Brake"/>
  </r>
  <r>
    <n v="2025"/>
    <s v="Toyota"/>
    <s v="TOYOTA"/>
    <s v="bZ4X"/>
    <s v="2-Wheel Drive, Front"/>
    <x v="6"/>
    <n v="131"/>
    <n v="107"/>
    <n v="119"/>
    <n v="700"/>
    <n v="9"/>
    <n v="10"/>
    <n v="6250"/>
    <s v=""/>
    <n v="0"/>
    <n v="0"/>
    <n v="0"/>
    <n v="252"/>
    <n v="274"/>
    <n v="225"/>
    <n v="11"/>
    <s v=""/>
    <s v="150"/>
    <s v="Lithium Ion"/>
    <s v="Electrical Regen Brake"/>
  </r>
  <r>
    <n v="2025"/>
    <s v="Toyota"/>
    <s v="TOYOTA"/>
    <s v="bZ4X"/>
    <s v="2-Wheel Drive, Front"/>
    <x v="6"/>
    <n v="26"/>
    <n v="31"/>
    <n v="28"/>
    <n v="650"/>
    <n v="9"/>
    <n v="10"/>
    <n v="6250"/>
    <s v=""/>
    <n v="0"/>
    <n v="0"/>
    <n v="0"/>
    <n v="252"/>
    <n v="274"/>
    <n v="225"/>
    <n v="11"/>
    <s v=""/>
    <s v="150"/>
    <s v="Lithium Ion"/>
    <s v="Electrical Regen Brake"/>
  </r>
  <r>
    <n v="2025"/>
    <s v="Toyota"/>
    <s v="TOYOTA"/>
    <s v="bZ4X LIMITED AWD"/>
    <s v="All Wheel Drive"/>
    <x v="7"/>
    <n v="112"/>
    <n v="92"/>
    <n v="102"/>
    <n v="800"/>
    <n v="9"/>
    <n v="10"/>
    <n v="5500"/>
    <s v=""/>
    <n v="0"/>
    <n v="0"/>
    <n v="0"/>
    <n v="222"/>
    <n v="240"/>
    <n v="200"/>
    <n v="11"/>
    <s v=""/>
    <s v="80"/>
    <s v="Lithium Ion"/>
    <s v="Electrical Regen Brake"/>
  </r>
  <r>
    <n v="2025"/>
    <s v="Toyota"/>
    <s v="TOYOTA"/>
    <s v="bZ4X LIMITED AWD"/>
    <s v="All Wheel Drive"/>
    <x v="7"/>
    <n v="29"/>
    <n v="35"/>
    <n v="32"/>
    <n v="800"/>
    <n v="9"/>
    <n v="10"/>
    <n v="5500"/>
    <s v=""/>
    <n v="0"/>
    <n v="0"/>
    <n v="0"/>
    <n v="222"/>
    <n v="240"/>
    <n v="200"/>
    <n v="11"/>
    <s v=""/>
    <s v="80"/>
    <s v="Lithium Ion"/>
    <s v="Electrical Regen Brake"/>
  </r>
  <r>
    <n v="2025"/>
    <s v="Toyota"/>
    <s v="TOYOTA"/>
    <s v="bZ4X LIMITED"/>
    <s v="2-Wheel Drive, Front"/>
    <x v="6"/>
    <n v="121"/>
    <n v="102"/>
    <n v="112"/>
    <n v="700"/>
    <n v="9"/>
    <n v="10"/>
    <n v="6000"/>
    <s v=""/>
    <n v="0"/>
    <n v="0"/>
    <n v="0"/>
    <n v="236"/>
    <n v="254"/>
    <n v="214"/>
    <n v="11"/>
    <s v=""/>
    <s v="150"/>
    <s v="Lithium Ion"/>
    <s v="Electrical Regen Brake"/>
  </r>
  <r>
    <n v="2025"/>
    <s v="Toyota"/>
    <s v="TOYOTA"/>
    <s v="bZ4X LIMITED"/>
    <s v="2-Wheel Drive, Front"/>
    <x v="6"/>
    <n v="28"/>
    <n v="33"/>
    <n v="30"/>
    <n v="700"/>
    <n v="9"/>
    <n v="10"/>
    <n v="6000"/>
    <s v=""/>
    <n v="0"/>
    <n v="0"/>
    <n v="0"/>
    <n v="236"/>
    <n v="254"/>
    <n v="214"/>
    <n v="11"/>
    <s v=""/>
    <s v="150"/>
    <s v="Lithium Ion"/>
    <s v="Electrical Regen Brake"/>
  </r>
  <r>
    <n v="2025"/>
    <s v="Toyota"/>
    <s v="TOYOTA"/>
    <s v="bZ4X AWD (18inch Wheels)"/>
    <s v="All Wheel Drive"/>
    <x v="7"/>
    <n v="114"/>
    <n v="94"/>
    <n v="104"/>
    <n v="750"/>
    <n v="9"/>
    <n v="10"/>
    <n v="5750"/>
    <s v=""/>
    <n v="0"/>
    <n v="0"/>
    <n v="0"/>
    <n v="228"/>
    <n v="246"/>
    <n v="205"/>
    <n v="11"/>
    <s v=""/>
    <s v="80"/>
    <s v="Lithium Ion"/>
    <s v="Electrical Regen Brake"/>
  </r>
  <r>
    <n v="2025"/>
    <s v="Toyota"/>
    <s v="TOYOTA"/>
    <s v="bZ4X AWD (18inch Wheels)"/>
    <s v="All Wheel Drive"/>
    <x v="7"/>
    <n v="28"/>
    <n v="34"/>
    <n v="31"/>
    <n v="750"/>
    <n v="9"/>
    <n v="10"/>
    <n v="5750"/>
    <s v=""/>
    <n v="0"/>
    <n v="0"/>
    <n v="0"/>
    <n v="228"/>
    <n v="246"/>
    <n v="205"/>
    <n v="11"/>
    <s v=""/>
    <s v="80"/>
    <s v="Lithium Ion"/>
    <s v="Electrical Regen Brake"/>
  </r>
  <r>
    <n v="2025"/>
    <s v="Toyota"/>
    <s v="TOYOTA"/>
    <s v="bZ4X AWD (20inch Wheels)"/>
    <s v="All Wheel Drive"/>
    <x v="7"/>
    <n v="112"/>
    <n v="92"/>
    <n v="102"/>
    <n v="800"/>
    <n v="9"/>
    <n v="10"/>
    <n v="5500"/>
    <s v=""/>
    <n v="0"/>
    <n v="0"/>
    <n v="0"/>
    <n v="222"/>
    <n v="240"/>
    <n v="200"/>
    <n v="11"/>
    <s v=""/>
    <s v="80"/>
    <s v="Lithium Ion"/>
    <s v="Electrical Regen Brake"/>
  </r>
  <r>
    <n v="2025"/>
    <s v="Toyota"/>
    <s v="TOYOTA"/>
    <s v="bZ4X AWD (20inch Wheels)"/>
    <s v="All Wheel Drive"/>
    <x v="7"/>
    <n v="29"/>
    <n v="35"/>
    <n v="32"/>
    <n v="800"/>
    <n v="9"/>
    <n v="10"/>
    <n v="5500"/>
    <s v=""/>
    <n v="0"/>
    <n v="0"/>
    <n v="0"/>
    <n v="222"/>
    <n v="240"/>
    <n v="200"/>
    <n v="11"/>
    <s v=""/>
    <s v="80"/>
    <s v="Lithium Ion"/>
    <s v="Electrical Regen Brake"/>
  </r>
  <r>
    <n v="2025"/>
    <s v="Volkswagen Group of"/>
    <s v="Volkswagen"/>
    <s v="ID.4 AWD Pro S"/>
    <s v="All Wheel Drive"/>
    <x v="7"/>
    <n v="108"/>
    <n v="96"/>
    <n v="102"/>
    <n v="800"/>
    <n v="9"/>
    <n v="10"/>
    <n v="5500"/>
    <s v=""/>
    <n v="0"/>
    <n v="0"/>
    <n v="0"/>
    <n v="263"/>
    <n v="277"/>
    <n v="245"/>
    <n v="8"/>
    <s v=""/>
    <s v="80 and 210"/>
    <s v="Lithium Ion"/>
    <s v="Electrical Regen Brake"/>
  </r>
  <r>
    <n v="2025"/>
    <s v="Volkswagen Group of"/>
    <s v="Volkswagen"/>
    <s v="ID.4 AWD Pro S"/>
    <s v="All Wheel Drive"/>
    <x v="7"/>
    <n v="31"/>
    <n v="35"/>
    <n v="33"/>
    <n v="800"/>
    <n v="9"/>
    <n v="10"/>
    <n v="5500"/>
    <s v=""/>
    <n v="0"/>
    <n v="0"/>
    <n v="0"/>
    <n v="263"/>
    <n v="277"/>
    <n v="245"/>
    <n v="8"/>
    <s v=""/>
    <s v="80 and 210"/>
    <s v="Lithium Ion"/>
    <s v="Electrical Regen Brake"/>
  </r>
  <r>
    <n v="2025"/>
    <s v="Volkswagen Group of"/>
    <s v="Volkswagen"/>
    <s v="ID.4 Pro S"/>
    <s v="2-Wheel Drive, Rear"/>
    <x v="6"/>
    <n v="122"/>
    <n v="104"/>
    <n v="113"/>
    <n v="700"/>
    <n v="9"/>
    <n v="10"/>
    <n v="6000"/>
    <s v=""/>
    <n v="0"/>
    <n v="0"/>
    <n v="0"/>
    <n v="291"/>
    <n v="313"/>
    <n v="264"/>
    <n v="8"/>
    <s v=""/>
    <s v="210"/>
    <s v="Lithium Ion"/>
    <s v="Electrical Regen Brake"/>
  </r>
  <r>
    <n v="2025"/>
    <s v="Volkswagen Group of"/>
    <s v="Volkswagen"/>
    <s v="ID.4 Pro S"/>
    <s v="2-Wheel Drive, Rear"/>
    <x v="6"/>
    <n v="28"/>
    <n v="33"/>
    <n v="30"/>
    <n v="700"/>
    <n v="9"/>
    <n v="10"/>
    <n v="6000"/>
    <s v=""/>
    <n v="0"/>
    <n v="0"/>
    <n v="0"/>
    <n v="291"/>
    <n v="313"/>
    <n v="264"/>
    <n v="8"/>
    <s v=""/>
    <s v="210"/>
    <s v="Lithium Ion"/>
    <s v="Electrical Regen Brake"/>
  </r>
  <r>
    <n v="2025"/>
    <s v="Volkswagen Group of"/>
    <s v="Volkswagen"/>
    <s v="ID.4 AWD Pro"/>
    <s v="All Wheel Drive"/>
    <x v="7"/>
    <n v="108"/>
    <n v="96"/>
    <n v="102"/>
    <n v="800"/>
    <n v="9"/>
    <n v="10"/>
    <n v="5500"/>
    <s v=""/>
    <n v="0"/>
    <n v="0"/>
    <n v="0"/>
    <n v="263"/>
    <n v="277"/>
    <n v="245"/>
    <n v="8"/>
    <s v=""/>
    <s v="210 and 210"/>
    <s v="Lithium Ion"/>
    <s v="Electrical Regen Brake"/>
  </r>
  <r>
    <n v="2025"/>
    <s v="Volkswagen Group of"/>
    <s v="Volkswagen"/>
    <s v="ID.4 AWD Pro"/>
    <s v="All Wheel Drive"/>
    <x v="7"/>
    <n v="31"/>
    <n v="35"/>
    <n v="33"/>
    <n v="800"/>
    <n v="9"/>
    <n v="10"/>
    <n v="5500"/>
    <s v=""/>
    <n v="0"/>
    <n v="0"/>
    <n v="0"/>
    <n v="263"/>
    <n v="277"/>
    <n v="245"/>
    <n v="8"/>
    <s v=""/>
    <s v="210 and 210"/>
    <s v="Lithium Ion"/>
    <s v="Electrical Regen Brake"/>
  </r>
  <r>
    <n v="2025"/>
    <s v="Volkswagen Group of"/>
    <s v="Volkswagen"/>
    <s v="ID.4 Pro"/>
    <s v="2-Wheel Drive, Rear"/>
    <x v="6"/>
    <n v="122"/>
    <n v="104"/>
    <n v="113"/>
    <n v="700"/>
    <n v="9"/>
    <n v="10"/>
    <n v="6000"/>
    <s v=""/>
    <n v="0"/>
    <n v="0"/>
    <n v="0"/>
    <n v="291"/>
    <n v="313"/>
    <n v="264"/>
    <n v="8"/>
    <s v=""/>
    <s v="210"/>
    <s v="Lithium Ion"/>
    <s v="Electrical Regen Brake"/>
  </r>
  <r>
    <n v="2025"/>
    <s v="Volkswagen Group of"/>
    <s v="Volkswagen"/>
    <s v="ID.4 Pro"/>
    <s v="2-Wheel Drive, Rear"/>
    <x v="6"/>
    <n v="28"/>
    <n v="33"/>
    <n v="30"/>
    <n v="700"/>
    <n v="9"/>
    <n v="10"/>
    <n v="6000"/>
    <s v=""/>
    <n v="0"/>
    <n v="0"/>
    <n v="0"/>
    <n v="291"/>
    <n v="313"/>
    <n v="264"/>
    <n v="8"/>
    <s v=""/>
    <s v="210"/>
    <s v="Lithium Ion"/>
    <s v="Electrical Regen Brake"/>
  </r>
  <r>
    <n v="2025"/>
    <s v="Volkswagen Group of"/>
    <s v="Volkswagen"/>
    <s v="ID.4 S"/>
    <s v="2-Wheel Drive, Rear"/>
    <x v="6"/>
    <n v="115"/>
    <n v="98"/>
    <n v="107"/>
    <n v="750"/>
    <n v="9"/>
    <n v="10"/>
    <n v="5750"/>
    <s v=""/>
    <n v="0"/>
    <n v="0"/>
    <n v="0"/>
    <n v="206"/>
    <n v="220"/>
    <n v="189"/>
    <n v="6"/>
    <s v=""/>
    <s v="210"/>
    <s v="Lithium Ion"/>
    <s v="Electrical Regen Brake"/>
  </r>
  <r>
    <n v="2025"/>
    <s v="Volkswagen Group of"/>
    <s v="Volkswagen"/>
    <s v="ID.4 S"/>
    <s v="2-Wheel Drive, Rear"/>
    <x v="6"/>
    <n v="29"/>
    <n v="34"/>
    <n v="32"/>
    <n v="750"/>
    <n v="9"/>
    <n v="10"/>
    <n v="5750"/>
    <s v=""/>
    <n v="0"/>
    <n v="0"/>
    <n v="0"/>
    <n v="206"/>
    <n v="220"/>
    <n v="189"/>
    <n v="6"/>
    <s v=""/>
    <s v="210"/>
    <s v="Lithium Ion"/>
    <s v="Electrical Regen Brake"/>
  </r>
  <r>
    <n v="2025"/>
    <s v="Volkswagen Group of"/>
    <s v="Volkswagen"/>
    <s v="ID.4"/>
    <s v="2-Wheel Drive, Rear"/>
    <x v="6"/>
    <n v="115"/>
    <n v="98"/>
    <n v="107"/>
    <n v="750"/>
    <n v="9"/>
    <n v="10"/>
    <n v="5750"/>
    <s v=""/>
    <n v="0"/>
    <n v="0"/>
    <n v="0"/>
    <n v="206"/>
    <n v="220"/>
    <n v="189"/>
    <n v="6"/>
    <s v=""/>
    <s v="210"/>
    <s v="Lithium Ion"/>
    <s v="Electrical Regen Brake"/>
  </r>
  <r>
    <n v="2025"/>
    <s v="Volkswagen Group of"/>
    <s v="Volkswagen"/>
    <s v="ID.4"/>
    <s v="2-Wheel Drive, Rear"/>
    <x v="6"/>
    <n v="29"/>
    <n v="34"/>
    <n v="32"/>
    <n v="750"/>
    <n v="9"/>
    <n v="10"/>
    <n v="5750"/>
    <s v=""/>
    <n v="0"/>
    <n v="0"/>
    <n v="0"/>
    <n v="206"/>
    <n v="220"/>
    <n v="189"/>
    <n v="6"/>
    <s v=""/>
    <s v="210"/>
    <s v="Lithium Ion"/>
    <s v="Electrical Regen Brake"/>
  </r>
  <r>
    <n v="2025"/>
    <s v="Volkswagen Group of"/>
    <s v="Volkswagen"/>
    <s v="ID. Buzz"/>
    <s v="2-Wheel Drive, Rear"/>
    <x v="16"/>
    <n v="90"/>
    <n v="75"/>
    <n v="83"/>
    <n v="1000"/>
    <n v="9"/>
    <n v="10"/>
    <n v="4500"/>
    <s v=""/>
    <n v="0"/>
    <n v="0"/>
    <n v="0"/>
    <n v="234"/>
    <n v="253"/>
    <n v="211"/>
    <n v="9"/>
    <s v=""/>
    <s v="210"/>
    <s v="Lithium Ion"/>
    <s v="Electrical Regen Brake"/>
  </r>
  <r>
    <n v="2025"/>
    <s v="Volkswagen Group of"/>
    <s v="Volkswagen"/>
    <s v="ID. Buzz"/>
    <s v="2-Wheel Drive, Rear"/>
    <x v="16"/>
    <n v="37"/>
    <n v="45"/>
    <n v="41"/>
    <n v="1000"/>
    <n v="9"/>
    <n v="10"/>
    <n v="4500"/>
    <s v=""/>
    <n v="0"/>
    <n v="0"/>
    <n v="0"/>
    <n v="234"/>
    <n v="253"/>
    <n v="211"/>
    <n v="9"/>
    <s v=""/>
    <s v="210"/>
    <s v="Lithium Ion"/>
    <s v="Electrical Regen Brake"/>
  </r>
  <r>
    <n v="2025"/>
    <s v="Volkswagen Group of"/>
    <s v="Volkswagen"/>
    <s v="ID. Buzz 4Motion"/>
    <s v="All Wheel Drive"/>
    <x v="17"/>
    <n v="87"/>
    <n v="74"/>
    <n v="80"/>
    <n v="1000"/>
    <n v="9"/>
    <n v="10"/>
    <n v="4500"/>
    <s v=""/>
    <n v="0"/>
    <n v="0"/>
    <n v="0"/>
    <n v="231"/>
    <n v="247"/>
    <n v="211"/>
    <n v="9"/>
    <s v=""/>
    <s v="80 and 210"/>
    <s v="Lithium Ion"/>
    <s v="Electrical Regen Brake"/>
  </r>
  <r>
    <n v="2025"/>
    <s v="Volkswagen Group of"/>
    <s v="Volkswagen"/>
    <s v="ID. Buzz 4Motion"/>
    <s v="All Wheel Drive"/>
    <x v="17"/>
    <n v="39"/>
    <n v="46"/>
    <n v="42"/>
    <n v="1000"/>
    <n v="9"/>
    <n v="10"/>
    <n v="4500"/>
    <s v=""/>
    <n v="0"/>
    <n v="0"/>
    <n v="0"/>
    <n v="231"/>
    <n v="247"/>
    <n v="211"/>
    <n v="9"/>
    <s v=""/>
    <s v="80 and 210"/>
    <s v="Lithium Ion"/>
    <s v="Electrical Regen Brake"/>
  </r>
  <r>
    <n v="2025"/>
    <s v="Volvo"/>
    <s v="Volvo Cars of North America, LLC"/>
    <s v="EX90 Twin Motor Performance (21 Inch Wheels)"/>
    <s v="All Wheel Drive"/>
    <x v="0"/>
    <n v="86"/>
    <n v="82"/>
    <n v="84"/>
    <n v="950"/>
    <n v="9"/>
    <n v="10"/>
    <n v="4750"/>
    <s v=""/>
    <n v="0"/>
    <n v="0"/>
    <n v="0"/>
    <n v="310"/>
    <n v="318"/>
    <n v="300"/>
    <n v="10"/>
    <s v=""/>
    <s v="173 and 180"/>
    <s v="Lithium Ion"/>
    <s v="Electrical Regen Brake"/>
  </r>
  <r>
    <n v="2025"/>
    <s v="Volvo"/>
    <s v="Volvo Cars of North America, LLC"/>
    <s v="EX90 Twin Motor Performance (21 Inch Wheels)"/>
    <s v="All Wheel Drive"/>
    <x v="0"/>
    <n v="39"/>
    <n v="41"/>
    <n v="40"/>
    <n v="950"/>
    <n v="9"/>
    <n v="10"/>
    <n v="4750"/>
    <s v=""/>
    <n v="0"/>
    <n v="0"/>
    <n v="0"/>
    <n v="310"/>
    <n v="318"/>
    <n v="300"/>
    <n v="10"/>
    <s v=""/>
    <s v="173 and 180"/>
    <s v="Lithium Ion"/>
    <s v="Electrical Regen Brake"/>
  </r>
  <r>
    <n v="2025"/>
    <s v="Volvo"/>
    <s v="Volvo Cars of North America, LLC"/>
    <s v="EX90 Twin Motor (21 Inch Wheels)"/>
    <s v="All Wheel Drive"/>
    <x v="0"/>
    <n v="86"/>
    <n v="82"/>
    <n v="84"/>
    <n v="950"/>
    <n v="9"/>
    <n v="10"/>
    <n v="4750"/>
    <s v=""/>
    <n v="0"/>
    <n v="0"/>
    <n v="0"/>
    <n v="310"/>
    <n v="318"/>
    <n v="300"/>
    <n v="10"/>
    <s v=""/>
    <s v="127 and 173"/>
    <s v="Lithium Ion"/>
    <s v="Electrical Regen Brake"/>
  </r>
  <r>
    <n v="2025"/>
    <s v="Volvo"/>
    <s v="Volvo Cars of North America, LLC"/>
    <s v="EX90 Twin Motor (21 Inch Wheels)"/>
    <s v="All Wheel Drive"/>
    <x v="0"/>
    <n v="39"/>
    <n v="41"/>
    <n v="40"/>
    <n v="950"/>
    <n v="9"/>
    <n v="10"/>
    <n v="4750"/>
    <s v=""/>
    <n v="0"/>
    <n v="0"/>
    <n v="0"/>
    <n v="310"/>
    <n v="318"/>
    <n v="300"/>
    <n v="10"/>
    <s v=""/>
    <s v="127 and 173"/>
    <s v="Lithium Ion"/>
    <s v="Electrical Regen Brake"/>
  </r>
  <r>
    <n v="2025"/>
    <s v="Volvo"/>
    <s v="Volvo Cars of North America, LLC"/>
    <s v="EX40 Twin"/>
    <s v="All Wheel Drive"/>
    <x v="7"/>
    <n v="103"/>
    <n v="85"/>
    <n v="94"/>
    <n v="850"/>
    <n v="9"/>
    <n v="10"/>
    <n v="5250"/>
    <s v=""/>
    <n v="0"/>
    <n v="0"/>
    <n v="0"/>
    <n v="260"/>
    <n v="283"/>
    <n v="232"/>
    <n v="8"/>
    <s v=""/>
    <s v="190 and 210"/>
    <s v="Lithium Ion"/>
    <s v="Electrical Regen Brake"/>
  </r>
  <r>
    <n v="2025"/>
    <s v="Volvo"/>
    <s v="Volvo Cars of North America, LLC"/>
    <s v="EX40 Twin"/>
    <s v="All Wheel Drive"/>
    <x v="7"/>
    <n v="33"/>
    <n v="40"/>
    <n v="36"/>
    <n v="850"/>
    <n v="9"/>
    <n v="10"/>
    <n v="5250"/>
    <s v=""/>
    <n v="0"/>
    <n v="0"/>
    <n v="0"/>
    <n v="260"/>
    <n v="283"/>
    <n v="232"/>
    <n v="8"/>
    <s v=""/>
    <s v="190 and 210"/>
    <s v="Lithium Ion"/>
    <s v="Electrical Regen Brake"/>
  </r>
  <r>
    <n v="2025"/>
    <s v="Volvo"/>
    <s v="Volvo Cars of North America, LLC"/>
    <s v="EC40 Twin"/>
    <s v="All Wheel Drive"/>
    <x v="7"/>
    <n v="105"/>
    <n v="88"/>
    <n v="97"/>
    <n v="850"/>
    <n v="9"/>
    <n v="10"/>
    <n v="5250"/>
    <s v=""/>
    <n v="0"/>
    <n v="0"/>
    <n v="0"/>
    <n v="268"/>
    <n v="289"/>
    <n v="242"/>
    <n v="8"/>
    <s v=""/>
    <s v="135 and 215"/>
    <s v="Lithium Ion"/>
    <s v="Electrical Regen Brake"/>
  </r>
  <r>
    <n v="2025"/>
    <s v="Volvo"/>
    <s v="Volvo Cars of North America, LLC"/>
    <s v="EC40 Twin"/>
    <s v="All Wheel Drive"/>
    <x v="7"/>
    <n v="32"/>
    <n v="38"/>
    <n v="35"/>
    <n v="850"/>
    <n v="9"/>
    <n v="10"/>
    <n v="5250"/>
    <s v=""/>
    <n v="0"/>
    <n v="0"/>
    <n v="0"/>
    <n v="268"/>
    <n v="289"/>
    <n v="242"/>
    <n v="8"/>
    <s v=""/>
    <s v="135 and 215"/>
    <s v="Lithium Ion"/>
    <s v="Electrical Regen Brake"/>
  </r>
  <r>
    <n v="2025"/>
    <s v="Volvo"/>
    <s v="Volvo Cars of North America, LLC"/>
    <s v="EX30 Twin Performance (19 Inch Wheels)"/>
    <s v="All Wheel Drive"/>
    <x v="7"/>
    <n v="116"/>
    <n v="100"/>
    <n v="109"/>
    <n v="750"/>
    <n v="9"/>
    <n v="10"/>
    <n v="5750"/>
    <s v=""/>
    <n v="0"/>
    <n v="0"/>
    <n v="0"/>
    <n v="253"/>
    <n v="270"/>
    <n v="233"/>
    <n v="8"/>
    <s v=""/>
    <s v="115 and 185"/>
    <s v="Lithium Ion"/>
    <s v="Electrical Regen Brake"/>
  </r>
  <r>
    <n v="2025"/>
    <s v="Volvo"/>
    <s v="Volvo Cars of North America, LLC"/>
    <s v="EX30 Twin Performance (19 Inch Wheels)"/>
    <s v="All Wheel Drive"/>
    <x v="7"/>
    <n v="29"/>
    <n v="34"/>
    <n v="31"/>
    <n v="750"/>
    <n v="9"/>
    <n v="10"/>
    <n v="5750"/>
    <s v=""/>
    <n v="0"/>
    <n v="0"/>
    <n v="0"/>
    <n v="253"/>
    <n v="270"/>
    <n v="233"/>
    <n v="8"/>
    <s v=""/>
    <s v="115 and 185"/>
    <s v="Lithium Ion"/>
    <s v="Electrical Regen Brake"/>
  </r>
  <r>
    <n v="2025"/>
    <s v="Volvo"/>
    <s v="Volvo Cars of North America, LLC"/>
    <s v="EX30 Single Motor extended range (18 Inch Wheels)"/>
    <s v="2-Wheel Drive, Rear"/>
    <x v="6"/>
    <n v="124"/>
    <n v="103"/>
    <n v="114"/>
    <n v="700"/>
    <n v="9"/>
    <n v="10"/>
    <n v="6000"/>
    <s v=""/>
    <n v="0"/>
    <n v="0"/>
    <n v="0"/>
    <n v="257"/>
    <n v="279"/>
    <n v="231"/>
    <n v="8"/>
    <s v=""/>
    <s v="185"/>
    <s v="Lithium Ion"/>
    <s v="Electrical Regen Brake"/>
  </r>
  <r>
    <n v="2025"/>
    <s v="Volvo"/>
    <s v="Volvo Cars of North America, LLC"/>
    <s v="EX30 Single Motor extended range (18 Inch Wheels)"/>
    <s v="2-Wheel Drive, Rear"/>
    <x v="6"/>
    <n v="27"/>
    <n v="33"/>
    <n v="30"/>
    <n v="700"/>
    <n v="9"/>
    <n v="10"/>
    <n v="6000"/>
    <s v=""/>
    <n v="0"/>
    <n v="0"/>
    <n v="0"/>
    <n v="257"/>
    <n v="279"/>
    <n v="231"/>
    <n v="8"/>
    <s v=""/>
    <s v="185"/>
    <s v="Lithium Ion"/>
    <s v="Electrical Regen Brake"/>
  </r>
  <r>
    <n v="2025"/>
    <s v="Volvo"/>
    <s v="Volvo Cars of North America, LLC"/>
    <s v="EX40"/>
    <s v="2-Wheel Drive, Rear"/>
    <x v="6"/>
    <n v="118"/>
    <n v="94"/>
    <n v="106"/>
    <n v="750"/>
    <n v="9"/>
    <n v="10"/>
    <n v="5750"/>
    <s v=""/>
    <n v="0"/>
    <n v="0"/>
    <n v="0"/>
    <n v="296"/>
    <n v="326"/>
    <n v="260"/>
    <n v="8"/>
    <s v=""/>
    <s v="185 and 220"/>
    <s v="Lithium Ion"/>
    <s v="Electrical Regen Brake"/>
  </r>
  <r>
    <n v="2025"/>
    <s v="Volvo"/>
    <s v="Volvo Cars of North America, LLC"/>
    <s v="EX40"/>
    <s v="2-Wheel Drive, Rear"/>
    <x v="6"/>
    <n v="28"/>
    <n v="36"/>
    <n v="32"/>
    <n v="750"/>
    <n v="9"/>
    <n v="10"/>
    <n v="5750"/>
    <s v=""/>
    <n v="0"/>
    <n v="0"/>
    <n v="0"/>
    <n v="296"/>
    <n v="326"/>
    <n v="260"/>
    <n v="8"/>
    <s v=""/>
    <s v="185 and 220"/>
    <s v="Lithium Ion"/>
    <s v="Electrical Regen Brake"/>
  </r>
  <r>
    <n v="2025"/>
    <s v="Volvo"/>
    <s v="Volvo Cars of North America, LLC"/>
    <s v="EC40"/>
    <s v="2-Wheel Drive, Rear"/>
    <x v="6"/>
    <n v="118"/>
    <n v="95"/>
    <n v="106"/>
    <n v="750"/>
    <n v="9"/>
    <n v="10"/>
    <n v="5750"/>
    <s v=""/>
    <n v="0"/>
    <n v="0"/>
    <n v="0"/>
    <n v="298"/>
    <n v="326"/>
    <n v="264"/>
    <n v="8"/>
    <s v=""/>
    <s v="185 and 220"/>
    <s v="Lithium Ion"/>
    <s v="Electrical Regen Brake"/>
  </r>
  <r>
    <n v="2025"/>
    <s v="Volvo"/>
    <s v="Volvo Cars of North America, LLC"/>
    <s v="EC40"/>
    <s v="2-Wheel Drive, Rear"/>
    <x v="6"/>
    <n v="29"/>
    <n v="35"/>
    <n v="32"/>
    <n v="750"/>
    <n v="9"/>
    <n v="10"/>
    <n v="5750"/>
    <s v=""/>
    <n v="0"/>
    <n v="0"/>
    <n v="0"/>
    <n v="298"/>
    <n v="326"/>
    <n v="264"/>
    <n v="8"/>
    <s v=""/>
    <s v="185 and 220"/>
    <s v="Lithium Ion"/>
    <s v="Electrical Regen Brake"/>
  </r>
  <r>
    <n v="2025"/>
    <s v="Volvo"/>
    <s v="Volvo Cars of North America, LLC"/>
    <s v="EX90 Twin Motor Performance 20 and 22 Inch Wheels"/>
    <s v="All Wheel Drive"/>
    <x v="0"/>
    <n v="83"/>
    <n v="78"/>
    <n v="81"/>
    <n v="1000"/>
    <n v="9"/>
    <n v="10"/>
    <n v="4500"/>
    <s v=""/>
    <n v="0"/>
    <n v="0"/>
    <n v="0"/>
    <n v="300"/>
    <n v="306"/>
    <n v="292"/>
    <n v="10"/>
    <s v=""/>
    <s v="127 and 180"/>
    <s v="Lithium Ion"/>
    <s v="Electrical Regen Brake"/>
  </r>
  <r>
    <n v="2025"/>
    <s v="Volvo"/>
    <s v="Volvo Cars of North America, LLC"/>
    <s v="EX90 Twin Motor Performance 20 and 22 Inch Wheels"/>
    <s v="All Wheel Drive"/>
    <x v="0"/>
    <n v="41"/>
    <n v="43"/>
    <n v="42"/>
    <n v="1000"/>
    <n v="9"/>
    <n v="10"/>
    <n v="4500"/>
    <s v=""/>
    <n v="0"/>
    <n v="0"/>
    <n v="0"/>
    <n v="300"/>
    <n v="306"/>
    <n v="292"/>
    <n v="10"/>
    <s v=""/>
    <s v="127 and 180"/>
    <s v="Lithium Ion"/>
    <s v="Electrical Regen Brake"/>
  </r>
  <r>
    <n v="2025"/>
    <s v="Volvo"/>
    <s v="Volvo Cars of North America, LLC"/>
    <s v="EX90 Twin Motor (20 and 22 Inch Wheels)"/>
    <s v="All Wheel Drive"/>
    <x v="0"/>
    <n v="83"/>
    <n v="78"/>
    <n v="81"/>
    <n v="1000"/>
    <n v="9"/>
    <n v="10"/>
    <n v="4500"/>
    <s v=""/>
    <n v="0"/>
    <n v="0"/>
    <n v="0"/>
    <n v="300"/>
    <n v="306"/>
    <n v="292"/>
    <n v="10"/>
    <s v=""/>
    <s v="127 and 200"/>
    <s v="Lithium Ion"/>
    <s v="Electrical Regen Brake"/>
  </r>
  <r>
    <n v="2025"/>
    <s v="Volvo"/>
    <s v="Volvo Cars of North America, LLC"/>
    <s v="EX90 Twin Motor (20 and 22 Inch Wheels)"/>
    <s v="All Wheel Drive"/>
    <x v="0"/>
    <n v="41"/>
    <n v="43"/>
    <n v="42"/>
    <n v="1000"/>
    <n v="9"/>
    <n v="10"/>
    <n v="4500"/>
    <s v=""/>
    <n v="0"/>
    <n v="0"/>
    <n v="0"/>
    <n v="300"/>
    <n v="306"/>
    <n v="292"/>
    <n v="10"/>
    <s v=""/>
    <s v="127 and 200"/>
    <s v="Lithium Ion"/>
    <s v="Electrical Regen Brake"/>
  </r>
  <r>
    <n v="2025"/>
    <s v="Volvo"/>
    <s v="Volvo Cars of North America, LLC"/>
    <s v="EX30 Single Motor extended range(19_20 Inch Wheel)"/>
    <s v="2-Wheel Drive, Rear"/>
    <x v="6"/>
    <n v="127"/>
    <n v="104"/>
    <n v="116"/>
    <n v="700"/>
    <n v="9"/>
    <n v="10"/>
    <n v="6000"/>
    <s v=""/>
    <n v="0"/>
    <n v="0"/>
    <n v="0"/>
    <n v="261"/>
    <n v="284"/>
    <n v="233"/>
    <n v="8"/>
    <s v=""/>
    <s v="185"/>
    <s v="Lithium Ion"/>
    <s v="Electrical Regen Brake"/>
  </r>
  <r>
    <n v="2025"/>
    <s v="Volvo"/>
    <s v="Volvo Cars of North America, LLC"/>
    <s v="EX30 Single Motor extended range(19_20 Inch Wheel)"/>
    <s v="2-Wheel Drive, Rear"/>
    <x v="6"/>
    <n v="27"/>
    <n v="32"/>
    <n v="29"/>
    <n v="700"/>
    <n v="9"/>
    <n v="10"/>
    <n v="6000"/>
    <s v=""/>
    <n v="0"/>
    <n v="0"/>
    <n v="0"/>
    <n v="261"/>
    <n v="284"/>
    <n v="233"/>
    <n v="8"/>
    <s v=""/>
    <s v="185"/>
    <s v="Lithium Ion"/>
    <s v="Electrical Regen Brake"/>
  </r>
  <r>
    <n v="2025"/>
    <s v="Volvo"/>
    <s v="Volvo Cars of North America, LLC"/>
    <s v="EX30 Twin Performance (20 Inch Wheels)"/>
    <s v="All Wheel Drive"/>
    <x v="7"/>
    <n v="118"/>
    <n v="99"/>
    <n v="109"/>
    <n v="750"/>
    <n v="9"/>
    <n v="10"/>
    <n v="5750"/>
    <s v=""/>
    <n v="0"/>
    <n v="0"/>
    <n v="0"/>
    <n v="250"/>
    <n v="269"/>
    <n v="227"/>
    <n v="8"/>
    <s v=""/>
    <s v="115 and 185"/>
    <s v="Lithium Ion"/>
    <s v="Electrical Regen Brake"/>
  </r>
  <r>
    <n v="2025"/>
    <s v="Volvo"/>
    <s v="Volvo Cars of North America, LLC"/>
    <s v="EX30 Twin Performance (20 Inch Wheels)"/>
    <s v="All Wheel Drive"/>
    <x v="7"/>
    <n v="29"/>
    <n v="34"/>
    <n v="31"/>
    <n v="750"/>
    <n v="9"/>
    <n v="10"/>
    <n v="5750"/>
    <s v=""/>
    <n v="0"/>
    <n v="0"/>
    <n v="0"/>
    <n v="250"/>
    <n v="269"/>
    <n v="227"/>
    <n v="8"/>
    <s v=""/>
    <s v="115 and 185"/>
    <s v="Lithium Ion"/>
    <s v="Electrical Regen Brak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8">
  <r>
    <n v="2025"/>
    <s v="Honda"/>
    <s v="Acura"/>
    <s v="ADX AWD"/>
    <n v="1.5"/>
    <n v="4"/>
    <s v="Auto(AV-S7)"/>
    <n v="7"/>
    <s v="All Wheel Drive"/>
    <n v="25"/>
    <n v="30"/>
    <n v="27"/>
    <x v="0"/>
    <n v="2350"/>
    <n v="5"/>
    <n v="5"/>
    <n v="355"/>
    <n v="291"/>
    <n v="329"/>
    <m/>
    <n v="2250"/>
    <s v=""/>
    <s v="Turbocharged"/>
    <s v="Yes"/>
  </r>
  <r>
    <n v="2025"/>
    <s v="Honda"/>
    <s v="Acura"/>
    <s v="ADX FWD"/>
    <n v="1.5"/>
    <n v="4"/>
    <s v="Auto(AV-S7)"/>
    <n v="7"/>
    <s v="2-Wheel Drive, Front"/>
    <n v="26"/>
    <n v="31"/>
    <n v="28"/>
    <x v="0"/>
    <n v="2300"/>
    <n v="6"/>
    <n v="6"/>
    <n v="341"/>
    <n v="286"/>
    <n v="317"/>
    <m/>
    <n v="2000"/>
    <s v=""/>
    <s v="Turbocharged"/>
    <s v="Yes"/>
  </r>
  <r>
    <n v="2025"/>
    <s v="Honda"/>
    <s v="Acura"/>
    <s v="INTEGRA"/>
    <n v="1.5"/>
    <n v="4"/>
    <s v="Auto(AV-S7)"/>
    <n v="7"/>
    <s v="2-Wheel Drive, Front"/>
    <n v="30"/>
    <n v="37"/>
    <n v="33"/>
    <x v="1"/>
    <n v="1950"/>
    <n v="6"/>
    <n v="6"/>
    <n v="296"/>
    <n v="237"/>
    <n v="269"/>
    <m/>
    <n v="250"/>
    <s v=""/>
    <s v="Turbocharged"/>
    <s v="Yes"/>
  </r>
  <r>
    <n v="2025"/>
    <s v="Honda"/>
    <s v="Acura"/>
    <s v="INTEGRA"/>
    <n v="2"/>
    <n v="4"/>
    <s v="Manual(M6)"/>
    <n v="6"/>
    <s v="2-Wheel Drive, Front"/>
    <n v="21"/>
    <n v="28"/>
    <n v="24"/>
    <x v="1"/>
    <n v="2650"/>
    <n v="5"/>
    <n v="5"/>
    <n v="419"/>
    <n v="312"/>
    <n v="371"/>
    <m/>
    <n v="3750"/>
    <s v=""/>
    <s v="Turbocharged"/>
    <s v="No"/>
  </r>
  <r>
    <n v="2025"/>
    <s v="Honda"/>
    <s v="Acura"/>
    <s v="INTEGRA A-SPEC"/>
    <n v="1.5"/>
    <n v="4"/>
    <s v="Auto(AV-S7)"/>
    <n v="7"/>
    <s v="2-Wheel Drive, Front"/>
    <n v="29"/>
    <n v="36"/>
    <n v="32"/>
    <x v="1"/>
    <n v="2000"/>
    <n v="6"/>
    <n v="6"/>
    <n v="304"/>
    <n v="245"/>
    <n v="277"/>
    <m/>
    <n v="500"/>
    <s v=""/>
    <s v="Turbocharged"/>
    <s v="Yes"/>
  </r>
  <r>
    <n v="2025"/>
    <s v="Honda"/>
    <s v="Acura"/>
    <s v="INTEGRA A-SPEC"/>
    <n v="1.5"/>
    <n v="4"/>
    <s v="Manual(M6)"/>
    <n v="6"/>
    <s v="2-Wheel Drive, Front"/>
    <n v="26"/>
    <n v="36"/>
    <n v="30"/>
    <x v="1"/>
    <n v="2100"/>
    <n v="6"/>
    <n v="6"/>
    <n v="339"/>
    <n v="241"/>
    <n v="293"/>
    <m/>
    <n v="1000"/>
    <s v=""/>
    <s v="Turbocharged"/>
    <s v="Yes"/>
  </r>
  <r>
    <n v="2025"/>
    <s v="Honda"/>
    <s v="Acura"/>
    <s v="MDX AWD"/>
    <n v="3.5"/>
    <n v="6"/>
    <s v="Auto(S10)"/>
    <n v="10"/>
    <s v="All Wheel Drive"/>
    <n v="19"/>
    <n v="25"/>
    <n v="21"/>
    <x v="2"/>
    <n v="3050"/>
    <n v="4"/>
    <n v="4"/>
    <n v="477"/>
    <n v="357"/>
    <n v="423"/>
    <m/>
    <n v="5750"/>
    <s v=""/>
    <s v="Naturally Aspirated"/>
    <s v="Yes"/>
  </r>
  <r>
    <n v="2025"/>
    <s v="Honda"/>
    <s v="Acura"/>
    <s v="MDX AWD Type-S"/>
    <n v="3"/>
    <n v="6"/>
    <s v="Auto(S10)"/>
    <n v="10"/>
    <s v="All Wheel Drive"/>
    <n v="17"/>
    <n v="21"/>
    <n v="19"/>
    <x v="3"/>
    <n v="3350"/>
    <n v="4"/>
    <n v="4"/>
    <n v="523"/>
    <n v="414"/>
    <n v="474"/>
    <m/>
    <n v="7250"/>
    <s v=""/>
    <s v="Turbocharged"/>
    <s v="Yes"/>
  </r>
  <r>
    <n v="2025"/>
    <s v="Honda"/>
    <s v="Acura"/>
    <s v="MDX FWD"/>
    <n v="3.5"/>
    <n v="6"/>
    <s v="Auto(S10)"/>
    <n v="10"/>
    <s v="2-Wheel Drive, Front"/>
    <n v="19"/>
    <n v="26"/>
    <n v="22"/>
    <x v="4"/>
    <n v="2900"/>
    <n v="5"/>
    <n v="5"/>
    <n v="470"/>
    <n v="339"/>
    <n v="411"/>
    <m/>
    <n v="5000"/>
    <s v=""/>
    <s v="Naturally Aspirated"/>
    <s v="Yes"/>
  </r>
  <r>
    <n v="2025"/>
    <s v="Honda"/>
    <s v="Acura"/>
    <s v="RDX AWD"/>
    <n v="2"/>
    <n v="4"/>
    <s v="Auto(S10)"/>
    <n v="10"/>
    <s v="All Wheel Drive"/>
    <n v="21"/>
    <n v="27"/>
    <n v="23"/>
    <x v="2"/>
    <n v="2750"/>
    <n v="5"/>
    <n v="5"/>
    <n v="415"/>
    <n v="322"/>
    <n v="385"/>
    <m/>
    <n v="4250"/>
    <s v=""/>
    <s v="Turbocharged"/>
    <s v="Yes"/>
  </r>
  <r>
    <n v="2025"/>
    <s v="Honda"/>
    <s v="Acura"/>
    <s v="RDX AWD A-SPEC"/>
    <n v="2"/>
    <n v="4"/>
    <s v="Auto(S10)"/>
    <n v="10"/>
    <s v="All Wheel Drive"/>
    <n v="21"/>
    <n v="26"/>
    <n v="23"/>
    <x v="2"/>
    <n v="2750"/>
    <n v="5"/>
    <n v="5"/>
    <n v="423"/>
    <n v="342"/>
    <n v="386"/>
    <m/>
    <n v="4250"/>
    <s v=""/>
    <s v="Turbocharged"/>
    <s v="Yes"/>
  </r>
  <r>
    <n v="2025"/>
    <s v="Honda"/>
    <s v="Acura"/>
    <s v="TLX AWD A-SPEC"/>
    <n v="2"/>
    <n v="4"/>
    <s v="Auto(S10)"/>
    <n v="10"/>
    <s v="All Wheel Drive"/>
    <n v="21"/>
    <n v="29"/>
    <n v="24"/>
    <x v="5"/>
    <n v="2650"/>
    <n v="5"/>
    <n v="5"/>
    <n v="425"/>
    <n v="305"/>
    <n v="371"/>
    <m/>
    <n v="3750"/>
    <s v=""/>
    <s v="Turbocharged"/>
    <s v="Yes"/>
  </r>
  <r>
    <n v="2025"/>
    <s v="Honda"/>
    <s v="Acura"/>
    <s v="TLX FWD"/>
    <n v="2"/>
    <n v="4"/>
    <s v="Auto(S10)"/>
    <n v="10"/>
    <s v="2-Wheel Drive, Front"/>
    <n v="22"/>
    <n v="31"/>
    <n v="25"/>
    <x v="5"/>
    <n v="2550"/>
    <n v="5"/>
    <n v="5"/>
    <n v="404"/>
    <n v="289"/>
    <n v="352"/>
    <m/>
    <n v="3250"/>
    <s v=""/>
    <s v="Turbocharged"/>
    <s v="Yes"/>
  </r>
  <r>
    <n v="2025"/>
    <s v="Honda"/>
    <s v="Acura"/>
    <s v="TLX Type-S"/>
    <n v="3"/>
    <n v="6"/>
    <s v="Auto(S10)"/>
    <n v="10"/>
    <s v="All Wheel Drive"/>
    <n v="19"/>
    <n v="25"/>
    <n v="21"/>
    <x v="5"/>
    <n v="3050"/>
    <n v="4"/>
    <n v="4"/>
    <n v="464"/>
    <n v="353"/>
    <n v="420"/>
    <m/>
    <n v="5750"/>
    <s v=""/>
    <s v="Turbocharged"/>
    <s v="Yes"/>
  </r>
  <r>
    <n v="2025"/>
    <s v="FCA US LLC"/>
    <s v="ALFA ROMEO"/>
    <s v="Giulia"/>
    <n v="2"/>
    <n v="4"/>
    <s v="Auto(A8)"/>
    <n v="8"/>
    <s v="2-Wheel Drive, Rear"/>
    <n v="24"/>
    <n v="33"/>
    <n v="27"/>
    <x v="6"/>
    <n v="2350"/>
    <n v="5"/>
    <n v="5"/>
    <n v="377"/>
    <n v="273"/>
    <n v="330"/>
    <m/>
    <n v="2250"/>
    <s v=""/>
    <s v="Turbocharged"/>
    <s v="Yes"/>
  </r>
  <r>
    <n v="2025"/>
    <s v="FCA US LLC"/>
    <s v="ALFA ROMEO"/>
    <s v="Giulia AWD"/>
    <n v="2"/>
    <n v="4"/>
    <s v="Auto(A8)"/>
    <n v="8"/>
    <s v="All Wheel Drive"/>
    <n v="23"/>
    <n v="31"/>
    <n v="26"/>
    <x v="6"/>
    <n v="2450"/>
    <n v="5"/>
    <n v="5"/>
    <n v="395"/>
    <n v="291"/>
    <n v="348"/>
    <m/>
    <n v="2750"/>
    <s v=""/>
    <s v="Turbocharged"/>
    <s v="Yes"/>
  </r>
  <r>
    <n v="2025"/>
    <s v="FCA US LLC"/>
    <s v="ALFA ROMEO"/>
    <s v="Stelvio AWD"/>
    <n v="2"/>
    <n v="4"/>
    <s v="Auto(A8)"/>
    <n v="8"/>
    <s v="All Wheel Drive"/>
    <n v="22"/>
    <n v="28"/>
    <n v="24"/>
    <x v="2"/>
    <n v="2650"/>
    <n v="5"/>
    <n v="5"/>
    <n v="407"/>
    <n v="311"/>
    <n v="364"/>
    <m/>
    <n v="3750"/>
    <s v=""/>
    <s v="Turbocharged"/>
    <s v="Yes"/>
  </r>
  <r>
    <n v="2025"/>
    <s v="FCA US LLC"/>
    <s v="ALFA ROMEO"/>
    <s v="Tonale AWD"/>
    <n v="2"/>
    <n v="4"/>
    <s v="Auto(A9)"/>
    <n v="9"/>
    <s v="All Wheel Drive"/>
    <n v="21"/>
    <n v="29"/>
    <n v="24"/>
    <x v="2"/>
    <n v="2200"/>
    <n v="5"/>
    <n v="5"/>
    <n v="425"/>
    <n v="308"/>
    <n v="372"/>
    <m/>
    <n v="1500"/>
    <s v=""/>
    <s v="Turbocharged"/>
    <s v="Yes"/>
  </r>
  <r>
    <n v="2025"/>
    <s v="aston martin"/>
    <s v="Aston Martin Lagonda Ltd"/>
    <s v="DB12 V8"/>
    <n v="4"/>
    <n v="8"/>
    <s v="Auto(A8)"/>
    <n v="8"/>
    <s v="2-Wheel Drive, Rear"/>
    <n v="15"/>
    <n v="22"/>
    <n v="17"/>
    <x v="7"/>
    <n v="3750"/>
    <n v="3"/>
    <n v="3"/>
    <n v="599"/>
    <n v="395"/>
    <n v="507"/>
    <m/>
    <n v="9250"/>
    <s v=""/>
    <s v="Turbocharged"/>
    <s v="No"/>
  </r>
  <r>
    <n v="2025"/>
    <s v="aston martin"/>
    <s v="Aston Martin Lagonda Ltd"/>
    <s v="DBX 707"/>
    <n v="4"/>
    <n v="8"/>
    <s v="Auto(A9)"/>
    <n v="9"/>
    <s v="4-Wheel Drive"/>
    <n v="15"/>
    <n v="20"/>
    <n v="17"/>
    <x v="3"/>
    <n v="3750"/>
    <n v="3"/>
    <n v="3"/>
    <n v="602"/>
    <n v="457"/>
    <n v="536"/>
    <m/>
    <n v="9250"/>
    <s v=""/>
    <s v="Turbocharged"/>
    <s v="No"/>
  </r>
  <r>
    <n v="2025"/>
    <s v="aston martin"/>
    <s v="Aston Martin Lagonda Ltd"/>
    <s v="Vanquish"/>
    <n v="5.2"/>
    <n v="12"/>
    <s v="Auto(A8)"/>
    <n v="8"/>
    <s v="2-Wheel Drive, Rear"/>
    <n v="13"/>
    <n v="21"/>
    <n v="16"/>
    <x v="8"/>
    <n v="4000"/>
    <n v="3"/>
    <n v="3"/>
    <n v="671"/>
    <n v="431"/>
    <n v="563"/>
    <m/>
    <n v="10500"/>
    <s v="G"/>
    <s v="Turbocharged"/>
    <s v="No"/>
  </r>
  <r>
    <n v="2025"/>
    <s v="aston martin"/>
    <s v="Aston Martin Lagonda Ltd"/>
    <s v="Vantage"/>
    <n v="4"/>
    <n v="8"/>
    <s v="Auto(A8)"/>
    <n v="8"/>
    <s v="2-Wheel Drive, Rear"/>
    <n v="15"/>
    <n v="22"/>
    <n v="18"/>
    <x v="8"/>
    <n v="3550"/>
    <n v="4"/>
    <n v="4"/>
    <n v="579"/>
    <n v="399"/>
    <n v="498"/>
    <m/>
    <n v="8250"/>
    <s v=""/>
    <s v="Turbocharged"/>
    <s v="No"/>
  </r>
  <r>
    <n v="2025"/>
    <s v="Volkswagen Group of"/>
    <s v="Audi"/>
    <s v="A3 quattro"/>
    <n v="2"/>
    <n v="4"/>
    <s v="Auto(AM-S7)"/>
    <n v="7"/>
    <s v="All Wheel Drive"/>
    <n v="24"/>
    <n v="34"/>
    <n v="28"/>
    <x v="9"/>
    <n v="2300"/>
    <n v="6"/>
    <n v="6"/>
    <n v="364"/>
    <n v="262"/>
    <n v="318"/>
    <m/>
    <n v="2000"/>
    <s v=""/>
    <s v="Turbocharged"/>
    <s v="Yes"/>
  </r>
  <r>
    <n v="2025"/>
    <s v="Volkswagen Group of"/>
    <s v="Audi"/>
    <s v="A4 allroad quattro"/>
    <n v="2"/>
    <n v="4"/>
    <s v="Auto(AM-S7)"/>
    <n v="7"/>
    <s v="All Wheel Drive"/>
    <n v="23"/>
    <n v="30"/>
    <n v="26"/>
    <x v="0"/>
    <n v="2450"/>
    <n v="5"/>
    <n v="5"/>
    <n v="389"/>
    <n v="293"/>
    <n v="346"/>
    <m/>
    <n v="2750"/>
    <s v=""/>
    <s v="Turbocharged"/>
    <s v="Yes"/>
  </r>
  <r>
    <n v="2025"/>
    <s v="Volkswagen Group of"/>
    <s v="Audi"/>
    <s v="A4 quattro"/>
    <n v="2"/>
    <n v="4"/>
    <s v="Auto(AM-S7)"/>
    <n v="7"/>
    <s v="All Wheel Drive"/>
    <n v="26"/>
    <n v="36"/>
    <n v="29"/>
    <x v="5"/>
    <n v="2200"/>
    <n v="6"/>
    <n v="6"/>
    <n v="344"/>
    <n v="248"/>
    <n v="301"/>
    <m/>
    <n v="1500"/>
    <s v=""/>
    <s v="Turbocharged"/>
    <s v="Yes"/>
  </r>
  <r>
    <n v="2025"/>
    <s v="Volkswagen Group of"/>
    <s v="Audi"/>
    <s v="A4 S line quattro"/>
    <n v="2"/>
    <n v="4"/>
    <s v="Auto(AM-S7)"/>
    <n v="7"/>
    <s v="All Wheel Drive"/>
    <n v="23"/>
    <n v="32"/>
    <n v="26"/>
    <x v="5"/>
    <n v="2450"/>
    <n v="5"/>
    <n v="5"/>
    <n v="389"/>
    <n v="279"/>
    <n v="339"/>
    <m/>
    <n v="2750"/>
    <s v=""/>
    <s v="Turbocharged"/>
    <s v="Yes"/>
  </r>
  <r>
    <n v="2025"/>
    <s v="Volkswagen Group of"/>
    <s v="Audi"/>
    <s v="A5 quattro"/>
    <n v="2"/>
    <n v="4"/>
    <s v="Auto(AM-S7)"/>
    <n v="7"/>
    <s v="All Wheel Drive"/>
    <n v="22"/>
    <n v="31"/>
    <n v="26"/>
    <x v="6"/>
    <n v="2450"/>
    <n v="5"/>
    <n v="5"/>
    <n v="399"/>
    <n v="287"/>
    <n v="349"/>
    <m/>
    <n v="2750"/>
    <s v=""/>
    <s v="Turbocharged"/>
    <s v="Yes"/>
  </r>
  <r>
    <n v="2025"/>
    <s v="Volkswagen Group of"/>
    <s v="Audi"/>
    <s v="A5 Sportback quattro"/>
    <n v="2"/>
    <n v="4"/>
    <s v="Auto(AM-S7)"/>
    <n v="7"/>
    <s v="All Wheel Drive"/>
    <n v="26"/>
    <n v="36"/>
    <n v="29"/>
    <x v="6"/>
    <n v="2200"/>
    <n v="6"/>
    <n v="6"/>
    <n v="344"/>
    <n v="248"/>
    <n v="301"/>
    <m/>
    <n v="1500"/>
    <s v=""/>
    <s v="Turbocharged"/>
    <s v="Yes"/>
  </r>
  <r>
    <n v="2025"/>
    <s v="Volkswagen Group of"/>
    <s v="Audi"/>
    <s v="A5 Sportback S line quattro"/>
    <n v="2"/>
    <n v="4"/>
    <s v="Auto(AM-S7)"/>
    <n v="7"/>
    <s v="All Wheel Drive"/>
    <n v="23"/>
    <n v="32"/>
    <n v="26"/>
    <x v="6"/>
    <n v="2450"/>
    <n v="5"/>
    <n v="5"/>
    <n v="389"/>
    <n v="279"/>
    <n v="339"/>
    <m/>
    <n v="2750"/>
    <s v=""/>
    <s v="Turbocharged"/>
    <s v="Yes"/>
  </r>
  <r>
    <n v="2025"/>
    <s v="Volkswagen Group of"/>
    <s v="Audi"/>
    <s v="A6 allroad quattro"/>
    <n v="3"/>
    <n v="6"/>
    <s v="Auto(AM-S7)"/>
    <n v="7"/>
    <s v="All Wheel Drive"/>
    <n v="22"/>
    <n v="30"/>
    <n v="25"/>
    <x v="10"/>
    <n v="2550"/>
    <n v="5"/>
    <n v="5"/>
    <n v="406"/>
    <n v="295"/>
    <n v="356"/>
    <m/>
    <n v="3250"/>
    <s v=""/>
    <s v="Turbocharged"/>
    <s v="Yes"/>
  </r>
  <r>
    <n v="2025"/>
    <s v="Volkswagen Group of"/>
    <s v="Audi"/>
    <s v="A6 quattro"/>
    <n v="2"/>
    <n v="4"/>
    <s v="Auto(AM-S7)"/>
    <n v="7"/>
    <s v="All Wheel Drive"/>
    <n v="24"/>
    <n v="31"/>
    <n v="26"/>
    <x v="6"/>
    <n v="2450"/>
    <n v="5"/>
    <n v="5"/>
    <n v="379"/>
    <n v="291"/>
    <n v="339"/>
    <m/>
    <n v="2750"/>
    <s v=""/>
    <s v="Turbocharged"/>
    <s v="Yes"/>
  </r>
  <r>
    <n v="2025"/>
    <s v="Volkswagen Group of"/>
    <s v="Audi"/>
    <s v="A6 quattro"/>
    <n v="3"/>
    <n v="6"/>
    <s v="Auto(AM-S7)"/>
    <n v="7"/>
    <s v="All Wheel Drive"/>
    <n v="22"/>
    <n v="30"/>
    <n v="25"/>
    <x v="6"/>
    <n v="2550"/>
    <n v="5"/>
    <n v="5"/>
    <n v="406"/>
    <n v="295"/>
    <n v="356"/>
    <m/>
    <n v="3250"/>
    <s v=""/>
    <s v="Turbocharged"/>
    <s v="Yes"/>
  </r>
  <r>
    <n v="2025"/>
    <s v="Volkswagen Group of"/>
    <s v="Audi"/>
    <s v="A7 quattro"/>
    <n v="3"/>
    <n v="6"/>
    <s v="Auto(AM-S7)"/>
    <n v="7"/>
    <s v="All Wheel Drive"/>
    <n v="22"/>
    <n v="30"/>
    <n v="25"/>
    <x v="6"/>
    <n v="2550"/>
    <n v="5"/>
    <n v="5"/>
    <n v="406"/>
    <n v="295"/>
    <n v="356"/>
    <m/>
    <n v="3250"/>
    <s v=""/>
    <s v="Turbocharged"/>
    <s v="Yes"/>
  </r>
  <r>
    <n v="2025"/>
    <s v="Volkswagen Group of"/>
    <s v="Audi"/>
    <s v="A8 quattro"/>
    <n v="3"/>
    <n v="6"/>
    <s v="Auto(S8)"/>
    <n v="8"/>
    <s v="All Wheel Drive"/>
    <n v="19"/>
    <n v="27"/>
    <n v="22"/>
    <x v="1"/>
    <n v="2900"/>
    <n v="5"/>
    <n v="5"/>
    <n v="480"/>
    <n v="334"/>
    <n v="414"/>
    <m/>
    <n v="5000"/>
    <s v=""/>
    <s v="Turbocharged"/>
    <s v="Yes"/>
  </r>
  <r>
    <n v="2025"/>
    <s v="Volkswagen Group of"/>
    <s v="Audi"/>
    <s v="Q3"/>
    <n v="2"/>
    <n v="4"/>
    <s v="Auto(S8)"/>
    <n v="8"/>
    <s v="All Wheel Drive"/>
    <n v="22"/>
    <n v="29"/>
    <n v="25"/>
    <x v="2"/>
    <n v="2100"/>
    <n v="5"/>
    <n v="5"/>
    <n v="406"/>
    <n v="303"/>
    <n v="360"/>
    <m/>
    <n v="1000"/>
    <s v=""/>
    <s v="Turbocharged"/>
    <s v="Yes"/>
  </r>
  <r>
    <n v="2025"/>
    <s v="Volkswagen Group of"/>
    <s v="Audi"/>
    <s v="Q3 S line"/>
    <n v="2"/>
    <n v="4"/>
    <s v="Auto(S8)"/>
    <n v="8"/>
    <s v="All Wheel Drive"/>
    <n v="20"/>
    <n v="28"/>
    <n v="23"/>
    <x v="2"/>
    <n v="2300"/>
    <n v="5"/>
    <n v="5"/>
    <n v="445"/>
    <n v="314"/>
    <n v="386"/>
    <m/>
    <n v="2000"/>
    <s v=""/>
    <s v="Turbocharged"/>
    <s v="Yes"/>
  </r>
  <r>
    <n v="2025"/>
    <s v="Volkswagen Group of"/>
    <s v="Audi"/>
    <s v="Q5 quattro"/>
    <n v="2"/>
    <n v="4"/>
    <s v="Auto(AM-S7)"/>
    <n v="7"/>
    <s v="All Wheel Drive"/>
    <n v="23"/>
    <n v="29"/>
    <n v="26"/>
    <x v="2"/>
    <n v="2450"/>
    <n v="5"/>
    <n v="5"/>
    <n v="382"/>
    <n v="301"/>
    <n v="346"/>
    <m/>
    <n v="2750"/>
    <s v=""/>
    <s v="Turbocharged"/>
    <s v="Yes"/>
  </r>
  <r>
    <n v="2025"/>
    <s v="Volkswagen Group of"/>
    <s v="Audi"/>
    <s v="Q5 S line quattro"/>
    <n v="2"/>
    <n v="4"/>
    <s v="Auto(AM-S7)"/>
    <n v="7"/>
    <s v="All Wheel Drive"/>
    <n v="22"/>
    <n v="28"/>
    <n v="25"/>
    <x v="2"/>
    <n v="2550"/>
    <n v="5"/>
    <n v="5"/>
    <n v="400"/>
    <n v="319"/>
    <n v="363"/>
    <m/>
    <n v="3250"/>
    <s v=""/>
    <s v="Turbocharged"/>
    <s v="Yes"/>
  </r>
  <r>
    <n v="2025"/>
    <s v="Volkswagen Group of"/>
    <s v="Audi"/>
    <s v="Q5 Sportback S line quattro"/>
    <n v="2"/>
    <n v="4"/>
    <s v="Auto(AM-S7)"/>
    <n v="7"/>
    <s v="All Wheel Drive"/>
    <n v="22"/>
    <n v="28"/>
    <n v="25"/>
    <x v="2"/>
    <n v="2550"/>
    <n v="5"/>
    <n v="5"/>
    <n v="400"/>
    <n v="319"/>
    <n v="363"/>
    <m/>
    <n v="3250"/>
    <s v=""/>
    <s v="Turbocharged"/>
    <s v="Yes"/>
  </r>
  <r>
    <n v="2025"/>
    <s v="Volkswagen Group of"/>
    <s v="Audi"/>
    <s v="Q5 Sportback TFSI quattro"/>
    <n v="2"/>
    <n v="4"/>
    <s v="Auto(AM-S7)"/>
    <n v="7"/>
    <s v="All Wheel Drive"/>
    <n v="22"/>
    <n v="30"/>
    <n v="25"/>
    <x v="2"/>
    <n v="2550"/>
    <n v="5"/>
    <n v="5"/>
    <n v="408"/>
    <n v="298"/>
    <n v="358"/>
    <m/>
    <n v="3250"/>
    <s v=""/>
    <s v="Turbocharged"/>
    <s v="Yes"/>
  </r>
  <r>
    <n v="2025"/>
    <s v="Volkswagen Group of"/>
    <s v="Audi"/>
    <s v="Q5 TFSI quattro"/>
    <n v="2"/>
    <n v="4"/>
    <s v="Auto(AM-S7)"/>
    <n v="7"/>
    <s v="All Wheel Drive"/>
    <n v="22"/>
    <n v="30"/>
    <n v="25"/>
    <x v="2"/>
    <n v="2550"/>
    <n v="5"/>
    <n v="5"/>
    <n v="408"/>
    <n v="298"/>
    <n v="358"/>
    <m/>
    <n v="3250"/>
    <s v=""/>
    <s v="Turbocharged"/>
    <s v="Yes"/>
  </r>
  <r>
    <n v="2025"/>
    <s v="Volkswagen Group of"/>
    <s v="Audi"/>
    <s v="Q7"/>
    <n v="2"/>
    <n v="4"/>
    <s v="Auto(S8)"/>
    <n v="8"/>
    <s v="All Wheel Drive"/>
    <n v="20"/>
    <n v="26"/>
    <n v="22"/>
    <x v="3"/>
    <n v="2900"/>
    <n v="5"/>
    <n v="5"/>
    <n v="453"/>
    <n v="347"/>
    <n v="405"/>
    <m/>
    <n v="5000"/>
    <s v=""/>
    <s v="Turbocharged"/>
    <s v="Yes"/>
  </r>
  <r>
    <n v="2025"/>
    <s v="Volkswagen Group of"/>
    <s v="Audi"/>
    <s v="Q7"/>
    <n v="3"/>
    <n v="6"/>
    <s v="Auto(S8)"/>
    <n v="8"/>
    <s v="All Wheel Drive"/>
    <n v="18"/>
    <n v="23"/>
    <n v="20"/>
    <x v="3"/>
    <n v="3200"/>
    <n v="4"/>
    <n v="4"/>
    <n v="492"/>
    <n v="380"/>
    <n v="442"/>
    <m/>
    <n v="6500"/>
    <s v=""/>
    <s v="Turbocharged"/>
    <s v="Yes"/>
  </r>
  <r>
    <n v="2025"/>
    <s v="Volkswagen Group of"/>
    <s v="Audi"/>
    <s v="Q8 quattro"/>
    <n v="3"/>
    <n v="6"/>
    <s v="Auto(S8)"/>
    <n v="8"/>
    <s v="All Wheel Drive"/>
    <n v="17"/>
    <n v="23"/>
    <n v="19"/>
    <x v="3"/>
    <n v="3350"/>
    <n v="4"/>
    <n v="4"/>
    <n v="514"/>
    <n v="392"/>
    <n v="459"/>
    <m/>
    <n v="7250"/>
    <s v=""/>
    <s v="Turbocharged"/>
    <s v="Yes"/>
  </r>
  <r>
    <n v="2025"/>
    <s v="Volkswagen Group of"/>
    <s v="Audi"/>
    <s v="RS 3"/>
    <n v="2.5"/>
    <n v="5"/>
    <s v="Auto(AM-S7)"/>
    <n v="7"/>
    <s v="All Wheel Drive"/>
    <n v="20"/>
    <n v="29"/>
    <n v="23"/>
    <x v="9"/>
    <n v="2750"/>
    <n v="5"/>
    <n v="5"/>
    <n v="453"/>
    <n v="302"/>
    <n v="385"/>
    <m/>
    <n v="4250"/>
    <s v=""/>
    <s v="Turbocharged"/>
    <s v="No"/>
  </r>
  <r>
    <n v="2025"/>
    <s v="Volkswagen Group of"/>
    <s v="Audi"/>
    <s v="RS 5 Sportback"/>
    <n v="2.9"/>
    <n v="6"/>
    <s v="Auto(S8)"/>
    <n v="8"/>
    <s v="All Wheel Drive"/>
    <n v="18"/>
    <n v="25"/>
    <n v="20"/>
    <x v="6"/>
    <n v="3200"/>
    <n v="4"/>
    <n v="4"/>
    <n v="502"/>
    <n v="361"/>
    <n v="438"/>
    <m/>
    <n v="6500"/>
    <s v=""/>
    <s v="Turbocharged"/>
    <s v="No"/>
  </r>
  <r>
    <n v="2025"/>
    <s v="Volkswagen Group of"/>
    <s v="Audi"/>
    <s v="RS 6 Avant"/>
    <n v="4"/>
    <n v="8"/>
    <s v="Auto(S8)"/>
    <n v="8"/>
    <s v="All Wheel Drive"/>
    <n v="14"/>
    <n v="21"/>
    <n v="17"/>
    <x v="10"/>
    <n v="3750"/>
    <n v="3"/>
    <n v="3"/>
    <n v="638"/>
    <n v="416"/>
    <n v="538"/>
    <m/>
    <n v="9250"/>
    <s v="G"/>
    <s v="Turbocharged"/>
    <s v="Yes"/>
  </r>
  <r>
    <n v="2025"/>
    <s v="Volkswagen Group of"/>
    <s v="Audi"/>
    <s v="RS 7"/>
    <n v="4"/>
    <n v="8"/>
    <s v="Auto(S8)"/>
    <n v="8"/>
    <s v="All Wheel Drive"/>
    <n v="14"/>
    <n v="21"/>
    <n v="17"/>
    <x v="6"/>
    <n v="3750"/>
    <n v="3"/>
    <n v="3"/>
    <n v="638"/>
    <n v="416"/>
    <n v="538"/>
    <m/>
    <n v="9250"/>
    <s v="G"/>
    <s v="Turbocharged"/>
    <s v="Yes"/>
  </r>
  <r>
    <n v="2025"/>
    <s v="Volkswagen Group of"/>
    <s v="Audi"/>
    <s v="RS Q8 Performance"/>
    <n v="4"/>
    <n v="8"/>
    <s v="Auto(S8)"/>
    <n v="8"/>
    <s v="All Wheel Drive"/>
    <n v="14"/>
    <n v="20"/>
    <n v="16"/>
    <x v="3"/>
    <n v="4000"/>
    <n v="3"/>
    <n v="3"/>
    <n v="622"/>
    <n v="454"/>
    <n v="547"/>
    <m/>
    <n v="10500"/>
    <s v=""/>
    <s v="Turbocharged"/>
    <s v="Yes"/>
  </r>
  <r>
    <n v="2025"/>
    <s v="Volkswagen Group of"/>
    <s v="Audi"/>
    <s v="S3"/>
    <n v="2"/>
    <n v="4"/>
    <s v="Auto(AM-S7)"/>
    <n v="7"/>
    <s v="All Wheel Drive"/>
    <n v="23"/>
    <n v="31"/>
    <n v="26"/>
    <x v="9"/>
    <n v="2450"/>
    <n v="5"/>
    <n v="5"/>
    <n v="392"/>
    <n v="285"/>
    <n v="344"/>
    <m/>
    <n v="2750"/>
    <s v=""/>
    <s v="Turbocharged"/>
    <s v="Yes"/>
  </r>
  <r>
    <n v="2025"/>
    <s v="Volkswagen Group of"/>
    <s v="Audi"/>
    <s v="S4"/>
    <n v="3"/>
    <n v="6"/>
    <s v="Auto(S8)"/>
    <n v="8"/>
    <s v="All Wheel Drive"/>
    <n v="20"/>
    <n v="29"/>
    <n v="24"/>
    <x v="5"/>
    <n v="2650"/>
    <n v="5"/>
    <n v="5"/>
    <n v="433"/>
    <n v="308"/>
    <n v="377"/>
    <m/>
    <n v="3750"/>
    <s v=""/>
    <s v="Turbocharged"/>
    <s v="Yes"/>
  </r>
  <r>
    <n v="2025"/>
    <s v="Volkswagen Group of"/>
    <s v="Audi"/>
    <s v="S5"/>
    <n v="3"/>
    <n v="6"/>
    <s v="Auto(AM-S7)"/>
    <n v="7"/>
    <s v="All Wheel Drive"/>
    <n v="19"/>
    <n v="28"/>
    <n v="22"/>
    <x v="6"/>
    <n v="2900"/>
    <n v="5"/>
    <n v="5"/>
    <n v="466"/>
    <n v="314"/>
    <n v="397"/>
    <m/>
    <n v="5000"/>
    <s v=""/>
    <s v="Turbocharged"/>
    <s v="Yes"/>
  </r>
  <r>
    <n v="2025"/>
    <s v="Volkswagen Group of"/>
    <s v="Audi"/>
    <s v="S5 Sportback"/>
    <n v="3"/>
    <n v="6"/>
    <s v="Auto(S8)"/>
    <n v="8"/>
    <s v="All Wheel Drive"/>
    <n v="20"/>
    <n v="29"/>
    <n v="23"/>
    <x v="6"/>
    <n v="2750"/>
    <n v="5"/>
    <n v="5"/>
    <n v="444"/>
    <n v="311"/>
    <n v="384"/>
    <m/>
    <n v="4250"/>
    <s v=""/>
    <s v="Turbocharged"/>
    <s v="Yes"/>
  </r>
  <r>
    <n v="2025"/>
    <s v="Volkswagen Group of"/>
    <s v="Audi"/>
    <s v="S6"/>
    <n v="2.9"/>
    <n v="6"/>
    <s v="Auto(S8)"/>
    <n v="8"/>
    <s v="All Wheel Drive"/>
    <n v="19"/>
    <n v="27"/>
    <n v="22"/>
    <x v="6"/>
    <n v="2900"/>
    <n v="5"/>
    <n v="5"/>
    <n v="468"/>
    <n v="335"/>
    <n v="408"/>
    <m/>
    <n v="5000"/>
    <s v=""/>
    <s v="Other"/>
    <s v="Yes"/>
  </r>
  <r>
    <n v="2025"/>
    <s v="Volkswagen Group of"/>
    <s v="Audi"/>
    <s v="S7"/>
    <n v="2.9"/>
    <n v="6"/>
    <s v="Auto(S8)"/>
    <n v="8"/>
    <s v="All Wheel Drive"/>
    <n v="19"/>
    <n v="27"/>
    <n v="22"/>
    <x v="6"/>
    <n v="2900"/>
    <n v="5"/>
    <n v="5"/>
    <n v="468"/>
    <n v="335"/>
    <n v="408"/>
    <m/>
    <n v="5000"/>
    <s v=""/>
    <s v="Other"/>
    <s v="Yes"/>
  </r>
  <r>
    <n v="2025"/>
    <s v="Volkswagen Group of"/>
    <s v="Audi"/>
    <s v="S8"/>
    <n v="4"/>
    <n v="8"/>
    <s v="Auto(S8)"/>
    <n v="8"/>
    <s v="All Wheel Drive"/>
    <n v="15"/>
    <n v="24"/>
    <n v="18"/>
    <x v="1"/>
    <n v="3550"/>
    <n v="4"/>
    <n v="4"/>
    <n v="605"/>
    <n v="377"/>
    <n v="502"/>
    <m/>
    <n v="8250"/>
    <s v=""/>
    <s v="Turbocharged"/>
    <s v="Yes"/>
  </r>
  <r>
    <n v="2025"/>
    <s v="Volkswagen Group of"/>
    <s v="Audi"/>
    <s v="SQ5"/>
    <n v="3"/>
    <n v="6"/>
    <s v="Auto(S8)"/>
    <n v="8"/>
    <s v="All Wheel Drive"/>
    <n v="19"/>
    <n v="24"/>
    <n v="21"/>
    <x v="2"/>
    <n v="3050"/>
    <n v="4"/>
    <n v="4"/>
    <n v="474"/>
    <n v="370"/>
    <n v="427"/>
    <m/>
    <n v="5750"/>
    <s v=""/>
    <s v="Turbocharged"/>
    <s v="Yes"/>
  </r>
  <r>
    <n v="2025"/>
    <s v="Volkswagen Group of"/>
    <s v="Audi"/>
    <s v="SQ5"/>
    <n v="3"/>
    <n v="6"/>
    <s v="Auto(AM-S7)"/>
    <n v="7"/>
    <s v="All Wheel Drive"/>
    <n v="19"/>
    <n v="26"/>
    <n v="22"/>
    <x v="2"/>
    <n v="2900"/>
    <n v="5"/>
    <n v="5"/>
    <n v="460"/>
    <n v="336"/>
    <n v="404"/>
    <m/>
    <n v="5000"/>
    <s v=""/>
    <s v="Turbocharged"/>
    <s v="Yes"/>
  </r>
  <r>
    <n v="2025"/>
    <s v="Volkswagen Group of"/>
    <s v="Audi"/>
    <s v="SQ5 Sportback"/>
    <n v="3"/>
    <n v="6"/>
    <s v="Auto(S8)"/>
    <n v="8"/>
    <s v="All Wheel Drive"/>
    <n v="19"/>
    <n v="24"/>
    <n v="21"/>
    <x v="2"/>
    <n v="3050"/>
    <n v="4"/>
    <n v="4"/>
    <n v="474"/>
    <n v="370"/>
    <n v="427"/>
    <m/>
    <n v="5750"/>
    <s v=""/>
    <s v="Turbocharged"/>
    <s v="Yes"/>
  </r>
  <r>
    <n v="2025"/>
    <s v="Volkswagen Group of"/>
    <s v="Audi"/>
    <s v="SQ5 Sportback"/>
    <n v="3"/>
    <n v="6"/>
    <s v="Auto(AM-S7)"/>
    <n v="7"/>
    <s v="All Wheel Drive"/>
    <n v="19"/>
    <n v="26"/>
    <n v="22"/>
    <x v="2"/>
    <n v="2900"/>
    <n v="5"/>
    <n v="5"/>
    <n v="460"/>
    <n v="336"/>
    <n v="404"/>
    <m/>
    <n v="5000"/>
    <s v=""/>
    <s v="Turbocharged"/>
    <s v="Yes"/>
  </r>
  <r>
    <n v="2025"/>
    <s v="Volkswagen Group of"/>
    <s v="Audi"/>
    <s v="SQ7"/>
    <n v="4"/>
    <n v="8"/>
    <s v="Auto(S8)"/>
    <n v="8"/>
    <s v="All Wheel Drive"/>
    <n v="15"/>
    <n v="21"/>
    <n v="17"/>
    <x v="3"/>
    <n v="3750"/>
    <n v="3"/>
    <n v="3"/>
    <n v="604"/>
    <n v="425"/>
    <n v="524"/>
    <m/>
    <n v="9250"/>
    <s v=""/>
    <s v="Turbocharged"/>
    <s v="Yes"/>
  </r>
  <r>
    <n v="2025"/>
    <s v="Volkswagen Group of"/>
    <s v="Audi"/>
    <s v="SQ8"/>
    <n v="4"/>
    <n v="8"/>
    <s v="Auto(S8)"/>
    <n v="8"/>
    <s v="All Wheel Drive"/>
    <n v="15"/>
    <n v="21"/>
    <n v="17"/>
    <x v="3"/>
    <n v="3750"/>
    <n v="3"/>
    <n v="3"/>
    <n v="587"/>
    <n v="432"/>
    <n v="518"/>
    <m/>
    <n v="9250"/>
    <s v=""/>
    <s v="Turbocharged"/>
    <s v="Yes"/>
  </r>
  <r>
    <n v="2025"/>
    <s v="Volkswagen Group of"/>
    <s v="Bentley"/>
    <s v="Bentayga"/>
    <n v="4"/>
    <n v="8"/>
    <s v="Auto(S8)"/>
    <n v="8"/>
    <s v="All Wheel Drive"/>
    <n v="14"/>
    <n v="21"/>
    <n v="16"/>
    <x v="3"/>
    <n v="4000"/>
    <n v="3"/>
    <n v="3"/>
    <n v="650"/>
    <n v="433"/>
    <n v="553"/>
    <m/>
    <n v="10500"/>
    <s v=""/>
    <s v="Turbocharged"/>
    <s v="Yes"/>
  </r>
  <r>
    <n v="2025"/>
    <s v="Volkswagen Group of"/>
    <s v="Bentley"/>
    <s v="Bentayga EWB"/>
    <n v="4"/>
    <n v="8"/>
    <s v="Auto(S8)"/>
    <n v="8"/>
    <s v="All Wheel Drive"/>
    <n v="14"/>
    <n v="21"/>
    <n v="16"/>
    <x v="3"/>
    <n v="4000"/>
    <n v="3"/>
    <n v="3"/>
    <n v="650"/>
    <n v="433"/>
    <n v="553"/>
    <m/>
    <n v="10500"/>
    <s v=""/>
    <s v="Turbocharged"/>
    <s v="Yes"/>
  </r>
  <r>
    <n v="2025"/>
    <s v="BMW"/>
    <s v="BMW"/>
    <s v="228 xDrive Gran Coupe"/>
    <n v="2"/>
    <n v="4"/>
    <s v="Auto(AM-S7)"/>
    <n v="7"/>
    <s v="All Wheel Drive"/>
    <n v="26"/>
    <n v="38"/>
    <n v="30"/>
    <x v="5"/>
    <n v="2100"/>
    <n v="6"/>
    <n v="6"/>
    <n v="333"/>
    <n v="233"/>
    <n v="288"/>
    <m/>
    <n v="1000"/>
    <s v=""/>
    <s v="Turbocharged"/>
    <s v="Yes"/>
  </r>
  <r>
    <n v="2025"/>
    <s v="BMW"/>
    <s v="BMW"/>
    <s v="230i Coupe"/>
    <n v="2"/>
    <n v="4"/>
    <s v="Auto(S8)"/>
    <n v="8"/>
    <s v="2-Wheel Drive, Rear"/>
    <n v="26"/>
    <n v="35"/>
    <n v="30"/>
    <x v="9"/>
    <n v="2100"/>
    <n v="6"/>
    <n v="6"/>
    <n v="333"/>
    <n v="251"/>
    <n v="296"/>
    <m/>
    <n v="1000"/>
    <s v=""/>
    <s v="Turbocharged"/>
    <s v="Yes"/>
  </r>
  <r>
    <n v="2025"/>
    <s v="BMW"/>
    <s v="BMW"/>
    <s v="230i xDrive Coupe"/>
    <n v="2"/>
    <n v="4"/>
    <s v="Auto(S8)"/>
    <n v="8"/>
    <s v="All Wheel Drive"/>
    <n v="25"/>
    <n v="33"/>
    <n v="28"/>
    <x v="9"/>
    <n v="2300"/>
    <n v="6"/>
    <n v="6"/>
    <n v="355"/>
    <n v="262"/>
    <n v="313"/>
    <m/>
    <n v="2000"/>
    <s v=""/>
    <s v="Turbocharged"/>
    <s v="Yes"/>
  </r>
  <r>
    <n v="2025"/>
    <s v="BMW"/>
    <s v="BMW"/>
    <s v="330i Sedan"/>
    <n v="2"/>
    <n v="4"/>
    <s v="Auto(S8)"/>
    <n v="8"/>
    <s v="2-Wheel Drive, Rear"/>
    <n v="28"/>
    <n v="35"/>
    <n v="31"/>
    <x v="5"/>
    <n v="2050"/>
    <n v="6"/>
    <n v="6"/>
    <n v="317"/>
    <n v="248"/>
    <n v="286"/>
    <m/>
    <n v="750"/>
    <s v=""/>
    <s v="Turbocharged"/>
    <s v="Yes"/>
  </r>
  <r>
    <n v="2025"/>
    <s v="BMW"/>
    <s v="BMW"/>
    <s v="330i xDrive Sedan"/>
    <n v="2"/>
    <n v="4"/>
    <s v="Auto(S8)"/>
    <n v="8"/>
    <s v="All Wheel Drive"/>
    <n v="26"/>
    <n v="34"/>
    <n v="29"/>
    <x v="5"/>
    <n v="2200"/>
    <n v="6"/>
    <n v="6"/>
    <n v="332"/>
    <n v="256"/>
    <n v="298"/>
    <m/>
    <n v="1500"/>
    <s v=""/>
    <s v="Turbocharged"/>
    <s v="Yes"/>
  </r>
  <r>
    <n v="2025"/>
    <s v="BMW"/>
    <s v="BMW"/>
    <s v="430i Convertible"/>
    <n v="2"/>
    <n v="4"/>
    <s v="Auto(S8)"/>
    <n v="8"/>
    <s v="2-Wheel Drive, Rear"/>
    <n v="27"/>
    <n v="35"/>
    <n v="30"/>
    <x v="9"/>
    <n v="2100"/>
    <n v="6"/>
    <n v="6"/>
    <n v="329"/>
    <n v="253"/>
    <n v="295"/>
    <m/>
    <n v="1000"/>
    <s v=""/>
    <s v="Turbocharged"/>
    <s v="Yes"/>
  </r>
  <r>
    <n v="2025"/>
    <s v="BMW"/>
    <s v="BMW"/>
    <s v="430i Coupe"/>
    <n v="2"/>
    <n v="4"/>
    <s v="Auto(S8)"/>
    <n v="8"/>
    <s v="2-Wheel Drive, Rear"/>
    <n v="28"/>
    <n v="36"/>
    <n v="31"/>
    <x v="9"/>
    <n v="2050"/>
    <n v="6"/>
    <n v="6"/>
    <n v="315"/>
    <n v="248"/>
    <n v="285"/>
    <m/>
    <n v="750"/>
    <s v=""/>
    <s v="Turbocharged"/>
    <s v="Yes"/>
  </r>
  <r>
    <n v="2025"/>
    <s v="BMW"/>
    <s v="BMW"/>
    <s v="430i Gran Coupe"/>
    <n v="2"/>
    <n v="4"/>
    <s v="Auto(S8)"/>
    <n v="8"/>
    <s v="2-Wheel Drive, Rear"/>
    <n v="27"/>
    <n v="35"/>
    <n v="30"/>
    <x v="5"/>
    <n v="2100"/>
    <n v="6"/>
    <n v="6"/>
    <n v="320"/>
    <n v="252"/>
    <n v="290"/>
    <m/>
    <n v="1000"/>
    <s v=""/>
    <s v="Turbocharged"/>
    <s v="Yes"/>
  </r>
  <r>
    <n v="2025"/>
    <s v="BMW"/>
    <s v="BMW"/>
    <s v="430i xDrive Convertible"/>
    <n v="2"/>
    <n v="4"/>
    <s v="Auto(S8)"/>
    <n v="8"/>
    <s v="All Wheel Drive"/>
    <n v="24"/>
    <n v="33"/>
    <n v="28"/>
    <x v="9"/>
    <n v="2300"/>
    <n v="6"/>
    <n v="6"/>
    <n v="359"/>
    <n v="263"/>
    <n v="316"/>
    <m/>
    <n v="2000"/>
    <s v=""/>
    <s v="Turbocharged"/>
    <s v="Yes"/>
  </r>
  <r>
    <n v="2025"/>
    <s v="BMW"/>
    <s v="BMW"/>
    <s v="430i xDrive Coupe"/>
    <n v="2"/>
    <n v="4"/>
    <s v="Auto(S8)"/>
    <n v="8"/>
    <s v="All Wheel Drive"/>
    <n v="27"/>
    <n v="34"/>
    <n v="30"/>
    <x v="9"/>
    <n v="2100"/>
    <n v="6"/>
    <n v="6"/>
    <n v="325"/>
    <n v="256"/>
    <n v="294"/>
    <m/>
    <n v="1000"/>
    <s v=""/>
    <s v="Turbocharged"/>
    <s v="Yes"/>
  </r>
  <r>
    <n v="2025"/>
    <s v="BMW"/>
    <s v="BMW"/>
    <s v="430i xDrive Gran Coupe"/>
    <n v="2"/>
    <n v="4"/>
    <s v="Auto(S8)"/>
    <n v="8"/>
    <s v="All Wheel Drive"/>
    <n v="25"/>
    <n v="34"/>
    <n v="29"/>
    <x v="5"/>
    <n v="2200"/>
    <n v="6"/>
    <n v="6"/>
    <n v="345"/>
    <n v="257"/>
    <n v="305"/>
    <m/>
    <n v="1500"/>
    <s v=""/>
    <s v="Turbocharged"/>
    <s v="Yes"/>
  </r>
  <r>
    <n v="2025"/>
    <s v="BMW"/>
    <s v="BMW"/>
    <s v="530i Sedan"/>
    <n v="2"/>
    <n v="4"/>
    <s v="Auto(S8)"/>
    <n v="8"/>
    <s v="2-Wheel Drive, Rear"/>
    <n v="28"/>
    <n v="35"/>
    <n v="31"/>
    <x v="6"/>
    <n v="2050"/>
    <n v="6"/>
    <n v="6"/>
    <n v="315"/>
    <n v="249"/>
    <n v="285"/>
    <m/>
    <n v="750"/>
    <s v=""/>
    <s v="Turbocharged"/>
    <s v="Yes"/>
  </r>
  <r>
    <n v="2025"/>
    <s v="BMW"/>
    <s v="BMW"/>
    <s v="530i xDrive Sedan"/>
    <n v="2"/>
    <n v="4"/>
    <s v="Auto(S8)"/>
    <n v="8"/>
    <s v="All Wheel Drive"/>
    <n v="27"/>
    <n v="35"/>
    <n v="30"/>
    <x v="6"/>
    <n v="2100"/>
    <n v="6"/>
    <n v="6"/>
    <n v="325"/>
    <n v="253"/>
    <n v="292"/>
    <m/>
    <n v="1000"/>
    <s v=""/>
    <s v="Turbocharged"/>
    <s v="Yes"/>
  </r>
  <r>
    <n v="2025"/>
    <s v="BMW"/>
    <s v="BMW"/>
    <s v="540i xDrive Sedan"/>
    <n v="3"/>
    <n v="6"/>
    <s v="Auto(S8)"/>
    <n v="8"/>
    <s v="All Wheel Drive"/>
    <n v="26"/>
    <n v="33"/>
    <n v="28"/>
    <x v="6"/>
    <n v="2300"/>
    <n v="6"/>
    <n v="6"/>
    <n v="339"/>
    <n v="267"/>
    <n v="307"/>
    <m/>
    <n v="2000"/>
    <s v=""/>
    <s v="Turbocharged"/>
    <s v="Yes"/>
  </r>
  <r>
    <n v="2025"/>
    <s v="BMW"/>
    <s v="BMW"/>
    <s v="740i Sedan"/>
    <n v="3"/>
    <n v="6"/>
    <s v="Auto(S8)"/>
    <n v="8"/>
    <s v="2-Wheel Drive, Rear"/>
    <n v="25"/>
    <n v="31"/>
    <n v="28"/>
    <x v="1"/>
    <n v="2300"/>
    <n v="6"/>
    <n v="6"/>
    <n v="347"/>
    <n v="279"/>
    <n v="317"/>
    <m/>
    <n v="2000"/>
    <s v=""/>
    <s v="Turbocharged"/>
    <s v="Yes"/>
  </r>
  <r>
    <n v="2025"/>
    <s v="BMW"/>
    <s v="BMW"/>
    <s v="740i xDrive Sedan"/>
    <n v="3"/>
    <n v="6"/>
    <s v="Auto(S8)"/>
    <n v="8"/>
    <s v="All Wheel Drive"/>
    <n v="24"/>
    <n v="31"/>
    <n v="27"/>
    <x v="1"/>
    <n v="2350"/>
    <n v="5"/>
    <n v="5"/>
    <n v="359"/>
    <n v="285"/>
    <n v="326"/>
    <m/>
    <n v="2250"/>
    <s v=""/>
    <s v="Turbocharged"/>
    <s v="Yes"/>
  </r>
  <r>
    <n v="2025"/>
    <s v="BMW"/>
    <s v="BMW"/>
    <s v="760i xDrive Sedan"/>
    <n v="4.4000000000000004"/>
    <n v="8"/>
    <s v="Auto(S8)"/>
    <n v="8"/>
    <s v="All Wheel Drive"/>
    <n v="18"/>
    <n v="25"/>
    <n v="20"/>
    <x v="1"/>
    <n v="3200"/>
    <n v="4"/>
    <n v="4"/>
    <n v="494"/>
    <n v="344"/>
    <n v="427"/>
    <m/>
    <n v="6500"/>
    <s v=""/>
    <s v="Turbocharged"/>
    <s v="Yes"/>
  </r>
  <r>
    <n v="2025"/>
    <s v="BMW"/>
    <s v="BMW"/>
    <s v="840i Convertible"/>
    <n v="3"/>
    <n v="6"/>
    <s v="Auto(S8)"/>
    <n v="8"/>
    <s v="2-Wheel Drive, Rear"/>
    <n v="21"/>
    <n v="29"/>
    <n v="24"/>
    <x v="9"/>
    <n v="2650"/>
    <n v="5"/>
    <n v="5"/>
    <n v="420"/>
    <n v="305"/>
    <n v="368"/>
    <m/>
    <n v="3750"/>
    <s v=""/>
    <s v="Turbocharged"/>
    <s v="Yes"/>
  </r>
  <r>
    <n v="2025"/>
    <s v="BMW"/>
    <s v="BMW"/>
    <s v="840i Coupe"/>
    <n v="3"/>
    <n v="6"/>
    <s v="Auto(S8)"/>
    <n v="8"/>
    <s v="2-Wheel Drive, Rear"/>
    <n v="21"/>
    <n v="29"/>
    <n v="24"/>
    <x v="9"/>
    <n v="2650"/>
    <n v="5"/>
    <n v="5"/>
    <n v="420"/>
    <n v="305"/>
    <n v="368"/>
    <m/>
    <n v="3750"/>
    <s v=""/>
    <s v="Turbocharged"/>
    <s v="Yes"/>
  </r>
  <r>
    <n v="2025"/>
    <s v="BMW"/>
    <s v="BMW"/>
    <s v="840i Gran Coupe"/>
    <n v="3"/>
    <n v="6"/>
    <s v="Auto(S8)"/>
    <n v="8"/>
    <s v="2-Wheel Drive, Rear"/>
    <n v="21"/>
    <n v="29"/>
    <n v="24"/>
    <x v="6"/>
    <n v="2650"/>
    <n v="5"/>
    <n v="5"/>
    <n v="420"/>
    <n v="305"/>
    <n v="368"/>
    <m/>
    <n v="3750"/>
    <s v=""/>
    <s v="Turbocharged"/>
    <s v="Yes"/>
  </r>
  <r>
    <n v="2025"/>
    <s v="BMW"/>
    <s v="BMW"/>
    <s v="840i xDrive Convertible"/>
    <n v="3"/>
    <n v="6"/>
    <s v="Auto(S8)"/>
    <n v="8"/>
    <s v="All Wheel Drive"/>
    <n v="21"/>
    <n v="29"/>
    <n v="24"/>
    <x v="9"/>
    <n v="2650"/>
    <n v="5"/>
    <n v="5"/>
    <n v="426"/>
    <n v="308"/>
    <n v="373"/>
    <m/>
    <n v="3750"/>
    <s v=""/>
    <s v="Turbocharged"/>
    <s v="Yes"/>
  </r>
  <r>
    <n v="2025"/>
    <s v="BMW"/>
    <s v="BMW"/>
    <s v="840i xDrive Coupe"/>
    <n v="3"/>
    <n v="6"/>
    <s v="Auto(S8)"/>
    <n v="8"/>
    <s v="All Wheel Drive"/>
    <n v="21"/>
    <n v="29"/>
    <n v="24"/>
    <x v="9"/>
    <n v="2650"/>
    <n v="5"/>
    <n v="5"/>
    <n v="426"/>
    <n v="308"/>
    <n v="373"/>
    <m/>
    <n v="3750"/>
    <s v=""/>
    <s v="Turbocharged"/>
    <s v="Yes"/>
  </r>
  <r>
    <n v="2025"/>
    <s v="BMW"/>
    <s v="BMW"/>
    <s v="840i xDrive Gran Coupe"/>
    <n v="3"/>
    <n v="6"/>
    <s v="Auto(S8)"/>
    <n v="8"/>
    <s v="All Wheel Drive"/>
    <n v="21"/>
    <n v="29"/>
    <n v="24"/>
    <x v="6"/>
    <n v="2650"/>
    <n v="5"/>
    <n v="5"/>
    <n v="426"/>
    <n v="308"/>
    <n v="373"/>
    <m/>
    <n v="3750"/>
    <s v=""/>
    <s v="Turbocharged"/>
    <s v="Yes"/>
  </r>
  <r>
    <n v="2025"/>
    <s v="BMW"/>
    <s v="BMW"/>
    <s v="ALPINA B8 Gran Coupe"/>
    <n v="4.4000000000000004"/>
    <n v="8"/>
    <s v="Auto(S8)"/>
    <n v="8"/>
    <s v="All Wheel Drive"/>
    <n v="17"/>
    <n v="24"/>
    <n v="19"/>
    <x v="6"/>
    <n v="3350"/>
    <n v="4"/>
    <n v="4"/>
    <n v="530"/>
    <n v="371"/>
    <n v="458"/>
    <m/>
    <n v="7250"/>
    <s v=""/>
    <s v="Turbocharged"/>
    <s v="Yes"/>
  </r>
  <r>
    <n v="2025"/>
    <s v="BMW"/>
    <s v="BMW"/>
    <s v="M2 Coupe"/>
    <n v="3"/>
    <n v="6"/>
    <s v="Manual(M6)"/>
    <n v="6"/>
    <s v="2-Wheel Drive, Rear"/>
    <n v="16"/>
    <n v="23"/>
    <n v="19"/>
    <x v="9"/>
    <n v="3350"/>
    <n v="4"/>
    <n v="4"/>
    <n v="552"/>
    <n v="377"/>
    <n v="473"/>
    <m/>
    <n v="7250"/>
    <s v=""/>
    <s v="Turbocharged"/>
    <s v="Yes"/>
  </r>
  <r>
    <n v="2025"/>
    <s v="BMW"/>
    <s v="BMW"/>
    <s v="M2 Coupe"/>
    <n v="3"/>
    <n v="6"/>
    <s v="Auto(S8)"/>
    <n v="8"/>
    <s v="2-Wheel Drive, Rear"/>
    <n v="16"/>
    <n v="23"/>
    <n v="19"/>
    <x v="9"/>
    <n v="3350"/>
    <n v="4"/>
    <n v="4"/>
    <n v="535"/>
    <n v="381"/>
    <n v="466"/>
    <m/>
    <n v="7250"/>
    <s v=""/>
    <s v="Turbocharged"/>
    <s v="Yes"/>
  </r>
  <r>
    <n v="2025"/>
    <s v="BMW"/>
    <s v="BMW"/>
    <s v="M235 xDrive Gran Coupe"/>
    <n v="2"/>
    <n v="4"/>
    <s v="Auto(AM-S7)"/>
    <n v="7"/>
    <s v="All Wheel Drive"/>
    <n v="24"/>
    <n v="33"/>
    <n v="27"/>
    <x v="5"/>
    <n v="2350"/>
    <n v="5"/>
    <n v="5"/>
    <n v="368"/>
    <n v="264"/>
    <n v="321"/>
    <m/>
    <n v="2250"/>
    <s v=""/>
    <s v="Turbocharged"/>
    <s v="Yes"/>
  </r>
  <r>
    <n v="2025"/>
    <s v="BMW"/>
    <s v="BMW"/>
    <s v="M240i Coupe"/>
    <n v="3"/>
    <n v="6"/>
    <s v="Auto(S8)"/>
    <n v="8"/>
    <s v="2-Wheel Drive, Rear"/>
    <n v="23"/>
    <n v="32"/>
    <n v="26"/>
    <x v="9"/>
    <n v="2450"/>
    <n v="5"/>
    <n v="5"/>
    <n v="391"/>
    <n v="276"/>
    <n v="339"/>
    <m/>
    <n v="2750"/>
    <s v=""/>
    <s v="Turbocharged"/>
    <s v="Yes"/>
  </r>
  <r>
    <n v="2025"/>
    <s v="BMW"/>
    <s v="BMW"/>
    <s v="M240i xDrive Coupe"/>
    <n v="3"/>
    <n v="6"/>
    <s v="Auto(S8)"/>
    <n v="8"/>
    <s v="All Wheel Drive"/>
    <n v="23"/>
    <n v="32"/>
    <n v="26"/>
    <x v="9"/>
    <n v="2450"/>
    <n v="5"/>
    <n v="5"/>
    <n v="387"/>
    <n v="274"/>
    <n v="336"/>
    <m/>
    <n v="2750"/>
    <s v=""/>
    <s v="Turbocharged"/>
    <s v="Yes"/>
  </r>
  <r>
    <n v="2025"/>
    <s v="BMW"/>
    <s v="BMW"/>
    <s v="M3 Competition M xDrive Sedan"/>
    <n v="3"/>
    <n v="6"/>
    <s v="Auto(S8)"/>
    <n v="8"/>
    <s v="All Wheel Drive"/>
    <n v="16"/>
    <n v="23"/>
    <n v="18"/>
    <x v="5"/>
    <n v="3550"/>
    <n v="4"/>
    <n v="4"/>
    <n v="556"/>
    <n v="381"/>
    <n v="477"/>
    <m/>
    <n v="8250"/>
    <s v=""/>
    <s v="Turbocharged"/>
    <s v="Yes"/>
  </r>
  <r>
    <n v="2025"/>
    <s v="BMW"/>
    <s v="BMW"/>
    <s v="M3 Competition Sedan"/>
    <n v="3"/>
    <n v="6"/>
    <s v="Auto(S8)"/>
    <n v="8"/>
    <s v="2-Wheel Drive, Rear"/>
    <n v="16"/>
    <n v="23"/>
    <n v="19"/>
    <x v="5"/>
    <n v="3350"/>
    <n v="4"/>
    <n v="4"/>
    <n v="541"/>
    <n v="383"/>
    <n v="470"/>
    <m/>
    <n v="7250"/>
    <s v=""/>
    <s v="Turbocharged"/>
    <s v="Yes"/>
  </r>
  <r>
    <n v="2025"/>
    <s v="BMW"/>
    <s v="BMW"/>
    <s v="M3 Sedan"/>
    <n v="3"/>
    <n v="6"/>
    <s v="Manual(M6)"/>
    <n v="6"/>
    <s v="2-Wheel Drive, Rear"/>
    <n v="16"/>
    <n v="23"/>
    <n v="19"/>
    <x v="5"/>
    <n v="3350"/>
    <n v="4"/>
    <n v="4"/>
    <n v="548"/>
    <n v="379"/>
    <n v="472"/>
    <m/>
    <n v="7250"/>
    <s v=""/>
    <s v="Turbocharged"/>
    <s v="Yes"/>
  </r>
  <r>
    <n v="2025"/>
    <s v="BMW"/>
    <s v="BMW"/>
    <s v="M340i Sedan"/>
    <n v="3"/>
    <n v="4"/>
    <s v="Auto(S8)"/>
    <n v="8"/>
    <s v="2-Wheel Drive, Rear"/>
    <n v="27"/>
    <n v="33"/>
    <n v="29"/>
    <x v="5"/>
    <n v="2200"/>
    <n v="6"/>
    <n v="6"/>
    <n v="326"/>
    <n v="265"/>
    <n v="299"/>
    <m/>
    <n v="1500"/>
    <s v=""/>
    <s v="Turbocharged"/>
    <s v="Yes"/>
  </r>
  <r>
    <n v="2025"/>
    <s v="BMW"/>
    <s v="BMW"/>
    <s v="M340i xDrive Sedan"/>
    <n v="3"/>
    <n v="4"/>
    <s v="Auto(S8)"/>
    <n v="8"/>
    <s v="All Wheel Drive"/>
    <n v="26"/>
    <n v="33"/>
    <n v="29"/>
    <x v="5"/>
    <n v="2200"/>
    <n v="6"/>
    <n v="6"/>
    <n v="336"/>
    <n v="264"/>
    <n v="304"/>
    <m/>
    <n v="1500"/>
    <s v=""/>
    <s v="Turbocharged"/>
    <s v="Yes"/>
  </r>
  <r>
    <n v="2025"/>
    <s v="BMW"/>
    <s v="BMW"/>
    <s v="M4 Competition Coupe"/>
    <n v="3"/>
    <n v="6"/>
    <s v="Auto(S8)"/>
    <n v="8"/>
    <s v="2-Wheel Drive, Rear"/>
    <n v="16"/>
    <n v="23"/>
    <n v="19"/>
    <x v="9"/>
    <n v="3350"/>
    <n v="4"/>
    <n v="4"/>
    <n v="541"/>
    <n v="383"/>
    <n v="470"/>
    <m/>
    <n v="7250"/>
    <s v=""/>
    <s v="Turbocharged"/>
    <s v="Yes"/>
  </r>
  <r>
    <n v="2025"/>
    <s v="BMW"/>
    <s v="BMW"/>
    <s v="M4 Competition M xDrive Coupe"/>
    <n v="3"/>
    <n v="6"/>
    <s v="Auto(S8)"/>
    <n v="8"/>
    <s v="All Wheel Drive"/>
    <n v="16"/>
    <n v="23"/>
    <n v="18"/>
    <x v="9"/>
    <n v="3550"/>
    <n v="4"/>
    <n v="4"/>
    <n v="547"/>
    <n v="381"/>
    <n v="472"/>
    <m/>
    <n v="8250"/>
    <s v=""/>
    <s v="Turbocharged"/>
    <s v="Yes"/>
  </r>
  <r>
    <n v="2025"/>
    <s v="BMW"/>
    <s v="BMW"/>
    <s v="M4 Coupe"/>
    <n v="3"/>
    <n v="6"/>
    <s v="Manual(M6)"/>
    <n v="6"/>
    <s v="2-Wheel Drive, Rear"/>
    <n v="16"/>
    <n v="23"/>
    <n v="19"/>
    <x v="9"/>
    <n v="3350"/>
    <n v="4"/>
    <n v="4"/>
    <n v="548"/>
    <n v="379"/>
    <n v="472"/>
    <m/>
    <n v="7250"/>
    <s v=""/>
    <s v="Turbocharged"/>
    <s v="Yes"/>
  </r>
  <r>
    <n v="2025"/>
    <s v="BMW"/>
    <s v="BMW"/>
    <s v="M4 CS Coupe"/>
    <n v="3"/>
    <n v="6"/>
    <s v="Auto(S8)"/>
    <n v="8"/>
    <s v="All Wheel Drive"/>
    <n v="16"/>
    <n v="23"/>
    <n v="18"/>
    <x v="9"/>
    <n v="3550"/>
    <n v="4"/>
    <n v="4"/>
    <n v="557"/>
    <n v="382"/>
    <n v="478"/>
    <m/>
    <n v="8250"/>
    <s v=""/>
    <s v="Turbocharged"/>
    <s v="Yes"/>
  </r>
  <r>
    <n v="2025"/>
    <s v="BMW"/>
    <s v="BMW"/>
    <s v="M440i Convertible"/>
    <n v="3"/>
    <n v="4"/>
    <s v="Auto(S8)"/>
    <n v="8"/>
    <s v="2-Wheel Drive, Rear"/>
    <n v="27"/>
    <n v="33"/>
    <n v="29"/>
    <x v="9"/>
    <n v="2200"/>
    <n v="6"/>
    <n v="6"/>
    <n v="328"/>
    <n v="267"/>
    <n v="301"/>
    <m/>
    <n v="1500"/>
    <s v=""/>
    <s v="Turbocharged"/>
    <s v="Yes"/>
  </r>
  <r>
    <n v="2025"/>
    <s v="BMW"/>
    <s v="BMW"/>
    <s v="M440i Coupe"/>
    <n v="3"/>
    <n v="4"/>
    <s v="Auto(S8)"/>
    <n v="8"/>
    <s v="2-Wheel Drive, Rear"/>
    <n v="27"/>
    <n v="34"/>
    <n v="30"/>
    <x v="9"/>
    <n v="2100"/>
    <n v="6"/>
    <n v="6"/>
    <n v="323"/>
    <n v="262"/>
    <n v="296"/>
    <m/>
    <n v="1000"/>
    <s v=""/>
    <s v="Turbocharged"/>
    <s v="Yes"/>
  </r>
  <r>
    <n v="2025"/>
    <s v="BMW"/>
    <s v="BMW"/>
    <s v="M440i Gran Coupe"/>
    <n v="3"/>
    <n v="4"/>
    <s v="Auto(S8)"/>
    <n v="8"/>
    <s v="2-Wheel Drive, Rear"/>
    <n v="26"/>
    <n v="32"/>
    <n v="28"/>
    <x v="5"/>
    <n v="2300"/>
    <n v="6"/>
    <n v="6"/>
    <n v="342"/>
    <n v="275"/>
    <n v="312"/>
    <m/>
    <n v="2000"/>
    <s v=""/>
    <s v="Turbocharged"/>
    <s v="Yes"/>
  </r>
  <r>
    <n v="2025"/>
    <s v="BMW"/>
    <s v="BMW"/>
    <s v="M440i xDrive Convertible"/>
    <n v="3"/>
    <n v="4"/>
    <s v="Auto(S8)"/>
    <n v="8"/>
    <s v="All Wheel Drive"/>
    <n v="25"/>
    <n v="32"/>
    <n v="28"/>
    <x v="9"/>
    <n v="2300"/>
    <n v="6"/>
    <n v="6"/>
    <n v="344"/>
    <n v="273"/>
    <n v="312"/>
    <m/>
    <n v="2000"/>
    <s v=""/>
    <s v="Turbocharged"/>
    <s v="Yes"/>
  </r>
  <r>
    <n v="2025"/>
    <s v="BMW"/>
    <s v="BMW"/>
    <s v="M440i xDrive Coupe"/>
    <n v="3"/>
    <n v="4"/>
    <s v="Auto(S8)"/>
    <n v="8"/>
    <s v="All Wheel Drive"/>
    <n v="26"/>
    <n v="33"/>
    <n v="29"/>
    <x v="9"/>
    <n v="2200"/>
    <n v="6"/>
    <n v="6"/>
    <n v="332"/>
    <n v="263"/>
    <n v="301"/>
    <m/>
    <n v="1500"/>
    <s v=""/>
    <s v="Turbocharged"/>
    <s v="Yes"/>
  </r>
  <r>
    <n v="2025"/>
    <s v="BMW"/>
    <s v="BMW"/>
    <s v="M440i xDrive Gran Coupe"/>
    <n v="3"/>
    <n v="4"/>
    <s v="Auto(S8)"/>
    <n v="8"/>
    <s v="All Wheel Drive"/>
    <n v="25"/>
    <n v="31"/>
    <n v="27"/>
    <x v="5"/>
    <n v="2350"/>
    <n v="5"/>
    <n v="5"/>
    <n v="350"/>
    <n v="284"/>
    <n v="320"/>
    <m/>
    <n v="2250"/>
    <s v=""/>
    <s v="Turbocharged"/>
    <s v="Yes"/>
  </r>
  <r>
    <n v="2025"/>
    <s v="BMW"/>
    <s v="BMW"/>
    <s v="M4CompetitionMxDriveConvertible"/>
    <n v="3"/>
    <n v="6"/>
    <s v="Auto(S8)"/>
    <n v="8"/>
    <s v="All Wheel Drive"/>
    <n v="16"/>
    <n v="22"/>
    <n v="18"/>
    <x v="9"/>
    <n v="3550"/>
    <n v="4"/>
    <n v="4"/>
    <n v="553"/>
    <n v="388"/>
    <n v="479"/>
    <m/>
    <n v="8250"/>
    <s v=""/>
    <s v="Turbocharged"/>
    <s v="Yes"/>
  </r>
  <r>
    <n v="2025"/>
    <s v="BMW"/>
    <s v="BMW"/>
    <s v="M8 Competition Convertible"/>
    <n v="4.4000000000000004"/>
    <n v="8"/>
    <s v="Auto(S8)"/>
    <n v="8"/>
    <s v="All Wheel Drive"/>
    <n v="15"/>
    <n v="22"/>
    <n v="17"/>
    <x v="9"/>
    <n v="3750"/>
    <n v="3"/>
    <n v="3"/>
    <n v="604"/>
    <n v="411"/>
    <n v="517"/>
    <m/>
    <n v="9250"/>
    <s v="G"/>
    <s v="Turbocharged"/>
    <s v="Yes"/>
  </r>
  <r>
    <n v="2025"/>
    <s v="BMW"/>
    <s v="BMW"/>
    <s v="M8 Competition Coupe"/>
    <n v="4.4000000000000004"/>
    <n v="8"/>
    <s v="Auto(S8)"/>
    <n v="8"/>
    <s v="All Wheel Drive"/>
    <n v="15"/>
    <n v="22"/>
    <n v="17"/>
    <x v="9"/>
    <n v="3750"/>
    <n v="3"/>
    <n v="3"/>
    <n v="604"/>
    <n v="411"/>
    <n v="517"/>
    <m/>
    <n v="9250"/>
    <s v="G"/>
    <s v="Turbocharged"/>
    <s v="Yes"/>
  </r>
  <r>
    <n v="2025"/>
    <s v="BMW"/>
    <s v="BMW"/>
    <s v="M8 Competition Gran Coupe"/>
    <n v="4.4000000000000004"/>
    <n v="8"/>
    <s v="Auto(S8)"/>
    <n v="8"/>
    <s v="All Wheel Drive"/>
    <n v="15"/>
    <n v="22"/>
    <n v="17"/>
    <x v="6"/>
    <n v="3750"/>
    <n v="3"/>
    <n v="3"/>
    <n v="604"/>
    <n v="411"/>
    <n v="517"/>
    <m/>
    <n v="9250"/>
    <s v="G"/>
    <s v="Turbocharged"/>
    <s v="Yes"/>
  </r>
  <r>
    <n v="2025"/>
    <s v="BMW"/>
    <s v="BMW"/>
    <s v="M850i xDrive Convertible"/>
    <n v="4.4000000000000004"/>
    <n v="8"/>
    <s v="Auto(S8)"/>
    <n v="8"/>
    <s v="All Wheel Drive"/>
    <n v="17"/>
    <n v="24"/>
    <n v="19"/>
    <x v="9"/>
    <n v="3350"/>
    <n v="4"/>
    <n v="4"/>
    <n v="530"/>
    <n v="371"/>
    <n v="458"/>
    <m/>
    <n v="7250"/>
    <s v=""/>
    <s v="Turbocharged"/>
    <s v="Yes"/>
  </r>
  <r>
    <n v="2025"/>
    <s v="BMW"/>
    <s v="BMW"/>
    <s v="M850i xDrive Coupe"/>
    <n v="4.4000000000000004"/>
    <n v="8"/>
    <s v="Auto(S8)"/>
    <n v="8"/>
    <s v="All Wheel Drive"/>
    <n v="17"/>
    <n v="24"/>
    <n v="19"/>
    <x v="9"/>
    <n v="3350"/>
    <n v="4"/>
    <n v="4"/>
    <n v="526"/>
    <n v="371"/>
    <n v="456"/>
    <m/>
    <n v="7250"/>
    <s v=""/>
    <s v="Turbocharged"/>
    <s v="Yes"/>
  </r>
  <r>
    <n v="2025"/>
    <s v="BMW"/>
    <s v="BMW"/>
    <s v="M850i xDrive Gran Coupe"/>
    <n v="4.4000000000000004"/>
    <n v="8"/>
    <s v="Auto(S8)"/>
    <n v="8"/>
    <s v="All Wheel Drive"/>
    <n v="17"/>
    <n v="24"/>
    <n v="19"/>
    <x v="6"/>
    <n v="3350"/>
    <n v="4"/>
    <n v="4"/>
    <n v="530"/>
    <n v="371"/>
    <n v="458"/>
    <m/>
    <n v="7250"/>
    <s v=""/>
    <s v="Turbocharged"/>
    <s v="Yes"/>
  </r>
  <r>
    <n v="2025"/>
    <s v="BMW"/>
    <s v="BMW"/>
    <s v="X1 M35i"/>
    <n v="2"/>
    <n v="4"/>
    <s v="Auto(AM-S7)"/>
    <n v="7"/>
    <s v="All Wheel Drive"/>
    <n v="23"/>
    <n v="31"/>
    <n v="26"/>
    <x v="2"/>
    <n v="2450"/>
    <n v="5"/>
    <n v="5"/>
    <n v="377"/>
    <n v="282"/>
    <n v="334"/>
    <m/>
    <n v="2750"/>
    <s v=""/>
    <s v="Turbocharged"/>
    <s v="Yes"/>
  </r>
  <r>
    <n v="2025"/>
    <s v="BMW"/>
    <s v="BMW"/>
    <s v="X1 xDrive28i"/>
    <n v="2"/>
    <n v="4"/>
    <s v="Auto(AM-S7)"/>
    <n v="7"/>
    <s v="All Wheel Drive"/>
    <n v="24"/>
    <n v="33"/>
    <n v="28"/>
    <x v="2"/>
    <n v="2300"/>
    <n v="6"/>
    <n v="6"/>
    <n v="361"/>
    <n v="265"/>
    <n v="318"/>
    <m/>
    <n v="2000"/>
    <s v=""/>
    <s v="Turbocharged"/>
    <s v="Yes"/>
  </r>
  <r>
    <n v="2025"/>
    <s v="BMW"/>
    <s v="BMW"/>
    <s v="X2 M35i"/>
    <n v="2"/>
    <n v="4"/>
    <s v="Auto(AM-S7)"/>
    <n v="7"/>
    <s v="All Wheel Drive"/>
    <n v="23"/>
    <n v="32"/>
    <n v="26"/>
    <x v="2"/>
    <n v="2450"/>
    <n v="5"/>
    <n v="5"/>
    <n v="382"/>
    <n v="272"/>
    <n v="332"/>
    <m/>
    <n v="2750"/>
    <s v=""/>
    <s v="Turbocharged"/>
    <s v="Yes"/>
  </r>
  <r>
    <n v="2025"/>
    <s v="BMW"/>
    <s v="BMW"/>
    <s v="X2 xDrive28i"/>
    <n v="2"/>
    <n v="4"/>
    <s v="Auto(AM-S7)"/>
    <n v="7"/>
    <s v="All Wheel Drive"/>
    <n v="24"/>
    <n v="33"/>
    <n v="28"/>
    <x v="2"/>
    <n v="2300"/>
    <n v="6"/>
    <n v="6"/>
    <n v="361"/>
    <n v="265"/>
    <n v="318"/>
    <m/>
    <n v="2000"/>
    <s v=""/>
    <s v="Turbocharged"/>
    <s v="Yes"/>
  </r>
  <r>
    <n v="2025"/>
    <s v="BMW"/>
    <s v="BMW"/>
    <s v="X3 M50i xDrive"/>
    <n v="3"/>
    <n v="4"/>
    <s v="Auto(S8)"/>
    <n v="8"/>
    <s v="All Wheel Drive"/>
    <n v="25"/>
    <n v="30"/>
    <n v="27"/>
    <x v="2"/>
    <n v="2350"/>
    <n v="5"/>
    <n v="5"/>
    <n v="346"/>
    <n v="288"/>
    <n v="320"/>
    <m/>
    <n v="2250"/>
    <s v=""/>
    <s v="Turbocharged"/>
    <s v="Yes"/>
  </r>
  <r>
    <n v="2025"/>
    <s v="BMW"/>
    <s v="BMW"/>
    <s v="X3 xDrive30i"/>
    <n v="2"/>
    <n v="4"/>
    <s v="Auto(S8)"/>
    <n v="8"/>
    <s v="All Wheel Drive"/>
    <n v="27"/>
    <n v="33"/>
    <n v="29"/>
    <x v="2"/>
    <n v="2200"/>
    <n v="6"/>
    <n v="6"/>
    <n v="327"/>
    <n v="265"/>
    <n v="299"/>
    <m/>
    <n v="1500"/>
    <s v=""/>
    <s v="Turbocharged"/>
    <s v="Yes"/>
  </r>
  <r>
    <n v="2025"/>
    <s v="BMW"/>
    <s v="BMW"/>
    <s v="X4 M"/>
    <n v="3"/>
    <n v="6"/>
    <s v="Auto(S8)"/>
    <n v="8"/>
    <s v="All Wheel Drive"/>
    <n v="15"/>
    <n v="20"/>
    <n v="17"/>
    <x v="2"/>
    <n v="3750"/>
    <n v="3"/>
    <n v="3"/>
    <n v="587"/>
    <n v="437"/>
    <n v="519"/>
    <m/>
    <n v="9250"/>
    <s v=""/>
    <s v="Turbocharged"/>
    <s v="Yes"/>
  </r>
  <r>
    <n v="2025"/>
    <s v="BMW"/>
    <s v="BMW"/>
    <s v="X4 M Competition"/>
    <n v="3"/>
    <n v="6"/>
    <s v="Auto(S8)"/>
    <n v="8"/>
    <s v="All Wheel Drive"/>
    <n v="15"/>
    <n v="20"/>
    <n v="17"/>
    <x v="2"/>
    <n v="3750"/>
    <n v="3"/>
    <n v="3"/>
    <n v="587"/>
    <n v="437"/>
    <n v="519"/>
    <m/>
    <n v="9250"/>
    <s v=""/>
    <s v="Turbocharged"/>
    <s v="Yes"/>
  </r>
  <r>
    <n v="2025"/>
    <s v="BMW"/>
    <s v="BMW"/>
    <s v="X4 M40i"/>
    <n v="3"/>
    <n v="6"/>
    <s v="Auto(S8)"/>
    <n v="8"/>
    <s v="All Wheel Drive"/>
    <n v="22"/>
    <n v="26"/>
    <n v="23"/>
    <x v="2"/>
    <n v="2750"/>
    <n v="5"/>
    <n v="5"/>
    <n v="409"/>
    <n v="337"/>
    <n v="377"/>
    <m/>
    <n v="4250"/>
    <s v=""/>
    <s v="Turbocharged"/>
    <s v="Yes"/>
  </r>
  <r>
    <n v="2025"/>
    <s v="BMW"/>
    <s v="BMW"/>
    <s v="X4 xDrive30i"/>
    <n v="2"/>
    <n v="4"/>
    <s v="Auto(S8)"/>
    <n v="8"/>
    <s v="All Wheel Drive"/>
    <n v="21"/>
    <n v="27"/>
    <n v="24"/>
    <x v="2"/>
    <n v="2650"/>
    <n v="5"/>
    <n v="5"/>
    <n v="413"/>
    <n v="321"/>
    <n v="372"/>
    <m/>
    <n v="3750"/>
    <s v=""/>
    <s v="Turbocharged"/>
    <s v="Yes"/>
  </r>
  <r>
    <n v="2025"/>
    <s v="BMW"/>
    <s v="BMW"/>
    <s v="X5 M Competition"/>
    <n v="4.4000000000000004"/>
    <n v="8"/>
    <s v="Auto(S8)"/>
    <n v="8"/>
    <s v="All Wheel Drive"/>
    <n v="13"/>
    <n v="18"/>
    <n v="15"/>
    <x v="3"/>
    <n v="4250"/>
    <n v="2"/>
    <n v="2"/>
    <n v="678"/>
    <n v="481"/>
    <n v="589"/>
    <m/>
    <n v="11750"/>
    <s v=""/>
    <s v="Turbocharged"/>
    <s v="Yes"/>
  </r>
  <r>
    <n v="2025"/>
    <s v="BMW"/>
    <s v="BMW"/>
    <s v="X5 M60i xDrive"/>
    <n v="4.4000000000000004"/>
    <n v="8"/>
    <s v="Auto(S8)"/>
    <n v="8"/>
    <s v="All Wheel Drive"/>
    <n v="17"/>
    <n v="22"/>
    <n v="19"/>
    <x v="3"/>
    <n v="3350"/>
    <n v="4"/>
    <n v="4"/>
    <n v="512"/>
    <n v="391"/>
    <n v="458"/>
    <m/>
    <n v="7250"/>
    <s v=""/>
    <s v="Turbocharged"/>
    <s v="Yes"/>
  </r>
  <r>
    <n v="2025"/>
    <s v="BMW"/>
    <s v="BMW"/>
    <s v="X5 sDrive40i"/>
    <n v="3"/>
    <n v="6"/>
    <s v="Auto(S8)"/>
    <n v="8"/>
    <s v="2-Wheel Drive, Rear"/>
    <n v="23"/>
    <n v="27"/>
    <n v="25"/>
    <x v="11"/>
    <n v="2550"/>
    <n v="5"/>
    <n v="5"/>
    <n v="383"/>
    <n v="331"/>
    <n v="360"/>
    <m/>
    <n v="3250"/>
    <s v=""/>
    <s v="Turbocharged"/>
    <s v="Yes"/>
  </r>
  <r>
    <n v="2025"/>
    <s v="BMW"/>
    <s v="BMW"/>
    <s v="X5 xDrive40i"/>
    <n v="3"/>
    <n v="6"/>
    <s v="Auto(S8)"/>
    <n v="8"/>
    <s v="All Wheel Drive"/>
    <n v="23"/>
    <n v="27"/>
    <n v="25"/>
    <x v="3"/>
    <n v="2550"/>
    <n v="5"/>
    <n v="5"/>
    <n v="375"/>
    <n v="323"/>
    <n v="352"/>
    <m/>
    <n v="3250"/>
    <s v=""/>
    <s v="Turbocharged"/>
    <s v="Yes"/>
  </r>
  <r>
    <n v="2025"/>
    <s v="BMW"/>
    <s v="BMW"/>
    <s v="X6 M Competition"/>
    <n v="4.4000000000000004"/>
    <n v="8"/>
    <s v="Auto(S8)"/>
    <n v="8"/>
    <s v="All Wheel Drive"/>
    <n v="13"/>
    <n v="18"/>
    <n v="15"/>
    <x v="3"/>
    <n v="4250"/>
    <n v="2"/>
    <n v="2"/>
    <n v="678"/>
    <n v="481"/>
    <n v="589"/>
    <m/>
    <n v="11750"/>
    <s v=""/>
    <s v="Turbocharged"/>
    <s v="Yes"/>
  </r>
  <r>
    <n v="2025"/>
    <s v="BMW"/>
    <s v="BMW"/>
    <s v="X6 M60i xDrive"/>
    <n v="4.4000000000000004"/>
    <n v="8"/>
    <s v="Auto(S8)"/>
    <n v="8"/>
    <s v="All Wheel Drive"/>
    <n v="17"/>
    <n v="22"/>
    <n v="19"/>
    <x v="3"/>
    <n v="3350"/>
    <n v="4"/>
    <n v="4"/>
    <n v="512"/>
    <n v="391"/>
    <n v="458"/>
    <m/>
    <n v="7250"/>
    <s v=""/>
    <s v="Turbocharged"/>
    <s v="Yes"/>
  </r>
  <r>
    <n v="2025"/>
    <s v="BMW"/>
    <s v="BMW"/>
    <s v="X6 xDrive40i"/>
    <n v="3"/>
    <n v="6"/>
    <s v="Auto(S8)"/>
    <n v="8"/>
    <s v="All Wheel Drive"/>
    <n v="23"/>
    <n v="26"/>
    <n v="24"/>
    <x v="3"/>
    <n v="2650"/>
    <n v="5"/>
    <n v="5"/>
    <n v="382"/>
    <n v="331"/>
    <n v="359"/>
    <m/>
    <n v="3750"/>
    <s v=""/>
    <s v="Turbocharged"/>
    <s v="Yes"/>
  </r>
  <r>
    <n v="2025"/>
    <s v="BMW"/>
    <s v="BMW"/>
    <s v="X7 M60i xDrive"/>
    <n v="4.4000000000000004"/>
    <n v="8"/>
    <s v="Auto(S8)"/>
    <n v="8"/>
    <s v="All Wheel Drive"/>
    <n v="16"/>
    <n v="20"/>
    <n v="18"/>
    <x v="3"/>
    <n v="3550"/>
    <n v="4"/>
    <n v="4"/>
    <n v="550"/>
    <n v="435"/>
    <n v="498"/>
    <m/>
    <n v="8250"/>
    <s v=""/>
    <s v="Turbocharged"/>
    <s v="Yes"/>
  </r>
  <r>
    <n v="2025"/>
    <s v="BMW"/>
    <s v="BMW"/>
    <s v="X7 xDrive40i"/>
    <n v="3"/>
    <n v="6"/>
    <s v="Auto(S8)"/>
    <n v="8"/>
    <s v="All Wheel Drive"/>
    <n v="20"/>
    <n v="24"/>
    <n v="22"/>
    <x v="3"/>
    <n v="2900"/>
    <n v="5"/>
    <n v="5"/>
    <n v="430"/>
    <n v="358"/>
    <n v="397"/>
    <m/>
    <n v="5000"/>
    <s v=""/>
    <s v="Turbocharged"/>
    <s v="Yes"/>
  </r>
  <r>
    <n v="2025"/>
    <s v="BMW"/>
    <s v="BMW"/>
    <s v="Z4 M40i"/>
    <n v="3"/>
    <n v="6"/>
    <s v="Auto(S8)"/>
    <n v="8"/>
    <s v="2-Wheel Drive, Rear"/>
    <n v="23"/>
    <n v="29"/>
    <n v="25"/>
    <x v="8"/>
    <n v="2550"/>
    <n v="5"/>
    <n v="5"/>
    <n v="386"/>
    <n v="297"/>
    <n v="346"/>
    <m/>
    <n v="3250"/>
    <s v=""/>
    <s v="Turbocharged"/>
    <s v="Yes"/>
  </r>
  <r>
    <n v="2025"/>
    <s v="BMW"/>
    <s v="BMW"/>
    <s v="Z4 M40i"/>
    <n v="3"/>
    <n v="6"/>
    <s v="Manual(M6)"/>
    <n v="6"/>
    <s v="2-Wheel Drive, Rear"/>
    <n v="19"/>
    <n v="26"/>
    <n v="22"/>
    <x v="8"/>
    <n v="2900"/>
    <n v="5"/>
    <n v="5"/>
    <n v="469"/>
    <n v="332"/>
    <n v="407"/>
    <m/>
    <n v="5000"/>
    <s v=""/>
    <s v="Turbocharged"/>
    <s v="Yes"/>
  </r>
  <r>
    <n v="2025"/>
    <s v="BMW"/>
    <s v="BMW"/>
    <s v="Z4 sDrive30i"/>
    <n v="2"/>
    <n v="4"/>
    <s v="Auto(S8)"/>
    <n v="8"/>
    <s v="2-Wheel Drive, Rear"/>
    <n v="25"/>
    <n v="33"/>
    <n v="28"/>
    <x v="8"/>
    <n v="2300"/>
    <n v="6"/>
    <n v="6"/>
    <n v="351"/>
    <n v="266"/>
    <n v="312"/>
    <m/>
    <n v="2000"/>
    <s v=""/>
    <s v="Turbocharged"/>
    <s v="Yes"/>
  </r>
  <r>
    <n v="2025"/>
    <s v="Volkswagen Group of"/>
    <s v="Bugatti"/>
    <s v="Mistral"/>
    <n v="8"/>
    <n v="16"/>
    <s v="Auto(AM-S7)"/>
    <n v="7"/>
    <s v="All Wheel Drive"/>
    <n v="8"/>
    <n v="12"/>
    <n v="9"/>
    <x v="8"/>
    <n v="7100"/>
    <n v="1"/>
    <n v="1"/>
    <n v="1121"/>
    <n v="726"/>
    <n v="943"/>
    <m/>
    <n v="26000"/>
    <s v="G"/>
    <s v="Turbocharged"/>
    <s v="No"/>
  </r>
  <r>
    <n v="2025"/>
    <s v="General Motors"/>
    <s v="Buick"/>
    <s v="ENCLAVE AWD"/>
    <n v="2.5"/>
    <n v="4"/>
    <s v="Auto(A8)"/>
    <n v="8"/>
    <s v="All Wheel Drive"/>
    <n v="19"/>
    <n v="24"/>
    <n v="21"/>
    <x v="3"/>
    <n v="2500"/>
    <n v="4"/>
    <n v="4"/>
    <n v="462"/>
    <n v="374"/>
    <n v="422"/>
    <m/>
    <n v="3000"/>
    <s v=""/>
    <s v="Turbocharged"/>
    <s v="Yes"/>
  </r>
  <r>
    <n v="2025"/>
    <s v="General Motors"/>
    <s v="Buick"/>
    <s v="ENCLAVE FWD"/>
    <n v="2.5"/>
    <n v="4"/>
    <s v="Auto(A8)"/>
    <n v="8"/>
    <s v="2-Wheel Drive, Front"/>
    <n v="20"/>
    <n v="27"/>
    <n v="23"/>
    <x v="11"/>
    <n v="2300"/>
    <n v="5"/>
    <n v="5"/>
    <n v="431"/>
    <n v="334"/>
    <n v="387"/>
    <m/>
    <n v="2000"/>
    <s v=""/>
    <s v="Turbocharged"/>
    <s v="Yes"/>
  </r>
  <r>
    <n v="2025"/>
    <s v="General Motors"/>
    <s v="Buick"/>
    <s v="ENCORE GX AWD"/>
    <n v="1.3"/>
    <n v="3"/>
    <s v="Auto(A9)"/>
    <n v="9"/>
    <s v="All Wheel Drive"/>
    <n v="26"/>
    <n v="28"/>
    <n v="27"/>
    <x v="2"/>
    <n v="1950"/>
    <n v="5"/>
    <n v="5"/>
    <n v="347"/>
    <n v="328"/>
    <n v="339"/>
    <m/>
    <n v="250"/>
    <s v=""/>
    <s v="Turbocharged"/>
    <s v="Yes"/>
  </r>
  <r>
    <n v="2025"/>
    <s v="General Motors"/>
    <s v="Buick"/>
    <s v="ENCORE GX FWD"/>
    <n v="1.3"/>
    <n v="3"/>
    <s v="Auto(AV)"/>
    <n v="1"/>
    <s v="2-Wheel Drive, Front"/>
    <n v="29"/>
    <n v="31"/>
    <n v="30"/>
    <x v="4"/>
    <n v="1750"/>
    <n v="6"/>
    <n v="6"/>
    <n v="302"/>
    <n v="287"/>
    <n v="297"/>
    <n v="750"/>
    <m/>
    <s v=""/>
    <s v="Turbocharged"/>
    <s v="Yes"/>
  </r>
  <r>
    <n v="2025"/>
    <s v="General Motors"/>
    <s v="Buick"/>
    <s v="ENCORE GX FWD"/>
    <n v="1.2"/>
    <n v="3"/>
    <s v="Auto(AV)"/>
    <n v="1"/>
    <s v="2-Wheel Drive, Front"/>
    <n v="30"/>
    <n v="31"/>
    <n v="30"/>
    <x v="4"/>
    <n v="1750"/>
    <n v="6"/>
    <n v="6"/>
    <n v="293"/>
    <n v="284"/>
    <n v="297"/>
    <n v="750"/>
    <m/>
    <s v=""/>
    <s v="Turbocharged"/>
    <s v="Yes"/>
  </r>
  <r>
    <n v="2025"/>
    <s v="General Motors"/>
    <s v="Buick"/>
    <s v="ENVISION AWD"/>
    <n v="2"/>
    <n v="4"/>
    <s v="Auto(S9)"/>
    <n v="9"/>
    <s v="All Wheel Drive"/>
    <n v="22"/>
    <n v="28"/>
    <n v="24"/>
    <x v="2"/>
    <n v="2200"/>
    <n v="5"/>
    <n v="5"/>
    <n v="404"/>
    <n v="315"/>
    <n v="371"/>
    <m/>
    <n v="1500"/>
    <s v=""/>
    <s v="Turbocharged"/>
    <s v="Yes"/>
  </r>
  <r>
    <n v="2025"/>
    <s v="General Motors"/>
    <s v="Buick"/>
    <s v="ENVISTA"/>
    <n v="1.2"/>
    <n v="3"/>
    <s v="Auto(A6)"/>
    <n v="6"/>
    <s v="2-Wheel Drive, Front"/>
    <n v="28"/>
    <n v="32"/>
    <n v="30"/>
    <x v="0"/>
    <n v="1750"/>
    <n v="6"/>
    <n v="6"/>
    <n v="316"/>
    <n v="277"/>
    <n v="296"/>
    <n v="750"/>
    <m/>
    <s v=""/>
    <s v="Turbocharged"/>
    <s v="Yes"/>
  </r>
  <r>
    <n v="2025"/>
    <s v="General Motors"/>
    <s v="Buick"/>
    <s v="ENVISTA"/>
    <n v="1.2"/>
    <n v="3"/>
    <s v="Auto(A6)"/>
    <n v="6"/>
    <s v="2-Wheel Drive, Front"/>
    <n v="28"/>
    <n v="32"/>
    <n v="30"/>
    <x v="0"/>
    <n v="1750"/>
    <n v="6"/>
    <n v="6"/>
    <n v="314"/>
    <n v="277"/>
    <n v="297"/>
    <n v="750"/>
    <m/>
    <s v=""/>
    <s v="Turbocharged"/>
    <s v="Yes"/>
  </r>
  <r>
    <n v="2025"/>
    <s v="General Motors"/>
    <s v="Cadillac"/>
    <s v="CT4"/>
    <n v="2.7"/>
    <n v="4"/>
    <s v="Auto(S10)"/>
    <n v="10"/>
    <s v="2-Wheel Drive, Rear"/>
    <n v="21"/>
    <n v="31"/>
    <n v="25"/>
    <x v="5"/>
    <n v="2550"/>
    <n v="5"/>
    <n v="5"/>
    <n v="412"/>
    <n v="287"/>
    <n v="356"/>
    <m/>
    <n v="3250"/>
    <s v=""/>
    <s v="Turbocharged"/>
    <s v="Yes"/>
  </r>
  <r>
    <n v="2025"/>
    <s v="General Motors"/>
    <s v="Cadillac"/>
    <s v="CT4 AWD"/>
    <n v="2"/>
    <n v="4"/>
    <s v="Auto(S8)"/>
    <n v="8"/>
    <s v="All Wheel Drive"/>
    <n v="21"/>
    <n v="31"/>
    <n v="25"/>
    <x v="5"/>
    <n v="2550"/>
    <n v="5"/>
    <n v="5"/>
    <n v="415"/>
    <n v="287"/>
    <n v="357"/>
    <m/>
    <n v="3250"/>
    <s v=""/>
    <s v="Turbocharged"/>
    <s v="Yes"/>
  </r>
  <r>
    <n v="2025"/>
    <s v="General Motors"/>
    <s v="Cadillac"/>
    <s v="CT4 AWD"/>
    <n v="2.7"/>
    <n v="4"/>
    <s v="Auto(S10)"/>
    <n v="10"/>
    <s v="All Wheel Drive"/>
    <n v="21"/>
    <n v="29"/>
    <n v="24"/>
    <x v="5"/>
    <n v="2650"/>
    <n v="5"/>
    <n v="5"/>
    <n v="425"/>
    <n v="305"/>
    <n v="371"/>
    <m/>
    <n v="3750"/>
    <s v=""/>
    <s v="Turbocharged"/>
    <s v="Yes"/>
  </r>
  <r>
    <n v="2025"/>
    <s v="General Motors"/>
    <s v="Cadillac"/>
    <s v="CT4 V"/>
    <n v="2.7"/>
    <n v="4"/>
    <s v="Auto(S10)"/>
    <n v="10"/>
    <s v="2-Wheel Drive, Rear"/>
    <n v="20"/>
    <n v="29"/>
    <n v="23"/>
    <x v="5"/>
    <n v="2750"/>
    <n v="5"/>
    <n v="5"/>
    <n v="444"/>
    <n v="309"/>
    <n v="383"/>
    <m/>
    <n v="4250"/>
    <s v=""/>
    <s v="Turbocharged"/>
    <s v="Yes"/>
  </r>
  <r>
    <n v="2025"/>
    <s v="General Motors"/>
    <s v="Cadillac"/>
    <s v="CT4 V"/>
    <n v="3.6"/>
    <n v="6"/>
    <s v="Auto(S10)"/>
    <n v="10"/>
    <s v="2-Wheel Drive, Rear"/>
    <n v="16"/>
    <n v="24"/>
    <n v="19"/>
    <x v="5"/>
    <n v="3350"/>
    <n v="4"/>
    <n v="4"/>
    <n v="568"/>
    <n v="368"/>
    <n v="478"/>
    <m/>
    <n v="7250"/>
    <s v=""/>
    <s v="Turbocharged"/>
    <s v="No"/>
  </r>
  <r>
    <n v="2025"/>
    <s v="General Motors"/>
    <s v="Cadillac"/>
    <s v="CT4 V"/>
    <n v="3.6"/>
    <n v="6"/>
    <s v="Manual(M6)"/>
    <n v="6"/>
    <s v="2-Wheel Drive, Rear"/>
    <n v="15"/>
    <n v="23"/>
    <n v="18"/>
    <x v="5"/>
    <n v="3550"/>
    <n v="4"/>
    <n v="4"/>
    <n v="591"/>
    <n v="387"/>
    <n v="493"/>
    <m/>
    <n v="8250"/>
    <s v=""/>
    <s v="Turbocharged"/>
    <s v="No"/>
  </r>
  <r>
    <n v="2025"/>
    <s v="General Motors"/>
    <s v="Cadillac"/>
    <s v="CT4 V AWD"/>
    <n v="2.7"/>
    <n v="4"/>
    <s v="Auto(S10)"/>
    <n v="10"/>
    <s v="All Wheel Drive"/>
    <n v="20"/>
    <n v="28"/>
    <n v="23"/>
    <x v="5"/>
    <n v="2750"/>
    <n v="5"/>
    <n v="5"/>
    <n v="445"/>
    <n v="318"/>
    <n v="387"/>
    <m/>
    <n v="4250"/>
    <s v=""/>
    <s v="Turbocharged"/>
    <s v="Yes"/>
  </r>
  <r>
    <n v="2025"/>
    <s v="General Motors"/>
    <s v="Cadillac"/>
    <s v="CT5"/>
    <n v="3"/>
    <n v="6"/>
    <s v="Auto(S10)"/>
    <n v="10"/>
    <s v="2-Wheel Drive, Rear"/>
    <n v="19"/>
    <n v="28"/>
    <n v="22"/>
    <x v="6"/>
    <n v="2900"/>
    <n v="5"/>
    <n v="5"/>
    <n v="466"/>
    <n v="318"/>
    <n v="399"/>
    <m/>
    <n v="5000"/>
    <s v=""/>
    <s v="Turbocharged"/>
    <s v="Yes"/>
  </r>
  <r>
    <n v="2025"/>
    <s v="General Motors"/>
    <s v="Cadillac"/>
    <s v="CT5"/>
    <n v="2"/>
    <n v="4"/>
    <s v="Auto(S10)"/>
    <n v="10"/>
    <s v="2-Wheel Drive, Rear"/>
    <n v="23"/>
    <n v="32"/>
    <n v="26"/>
    <x v="6"/>
    <n v="2450"/>
    <n v="5"/>
    <n v="5"/>
    <n v="394"/>
    <n v="276"/>
    <n v="341"/>
    <m/>
    <n v="2750"/>
    <s v=""/>
    <s v="Turbocharged"/>
    <s v="Yes"/>
  </r>
  <r>
    <n v="2025"/>
    <s v="General Motors"/>
    <s v="Cadillac"/>
    <s v="CT5 AWD"/>
    <n v="3"/>
    <n v="6"/>
    <s v="Auto(S10)"/>
    <n v="10"/>
    <s v="All Wheel Drive"/>
    <n v="18"/>
    <n v="26"/>
    <n v="21"/>
    <x v="6"/>
    <n v="3050"/>
    <n v="4"/>
    <n v="4"/>
    <n v="491"/>
    <n v="338"/>
    <n v="422"/>
    <m/>
    <n v="5750"/>
    <s v=""/>
    <s v="Turbocharged"/>
    <s v="Yes"/>
  </r>
  <r>
    <n v="2025"/>
    <s v="General Motors"/>
    <s v="Cadillac"/>
    <s v="CT5 AWD"/>
    <n v="2"/>
    <n v="4"/>
    <s v="Auto(S10)"/>
    <n v="10"/>
    <s v="All Wheel Drive"/>
    <n v="21"/>
    <n v="30"/>
    <n v="25"/>
    <x v="6"/>
    <n v="2550"/>
    <n v="5"/>
    <n v="5"/>
    <n v="415"/>
    <n v="295"/>
    <n v="361"/>
    <m/>
    <n v="3250"/>
    <s v=""/>
    <s v="Turbocharged"/>
    <s v="Yes"/>
  </r>
  <r>
    <n v="2025"/>
    <s v="General Motors"/>
    <s v="Cadillac"/>
    <s v="CT5 V"/>
    <n v="3"/>
    <n v="6"/>
    <s v="Auto(S10)"/>
    <n v="10"/>
    <s v="2-Wheel Drive, Rear"/>
    <n v="18"/>
    <n v="27"/>
    <n v="21"/>
    <x v="6"/>
    <n v="3050"/>
    <n v="4"/>
    <n v="4"/>
    <n v="495"/>
    <n v="330"/>
    <n v="424"/>
    <m/>
    <n v="5750"/>
    <s v=""/>
    <s v="Turbocharged"/>
    <s v="Yes"/>
  </r>
  <r>
    <n v="2025"/>
    <s v="General Motors"/>
    <s v="Cadillac"/>
    <s v="CT5 V"/>
    <n v="6.2"/>
    <n v="8"/>
    <s v="Auto(S10)"/>
    <n v="10"/>
    <s v="2-Wheel Drive, Rear"/>
    <n v="13"/>
    <n v="20"/>
    <n v="15"/>
    <x v="6"/>
    <n v="4250"/>
    <n v="2"/>
    <n v="2"/>
    <n v="697"/>
    <n v="436"/>
    <n v="579"/>
    <m/>
    <n v="11750"/>
    <s v="G"/>
    <s v="Supercharged"/>
    <s v="No"/>
  </r>
  <r>
    <n v="2025"/>
    <s v="General Motors"/>
    <s v="Cadillac"/>
    <s v="CT5 V"/>
    <n v="6.2"/>
    <n v="8"/>
    <s v="Manual(M6)"/>
    <n v="6"/>
    <s v="2-Wheel Drive, Rear"/>
    <n v="13"/>
    <n v="20"/>
    <n v="15"/>
    <x v="6"/>
    <n v="4250"/>
    <n v="2"/>
    <n v="2"/>
    <n v="708"/>
    <n v="438"/>
    <n v="587"/>
    <m/>
    <n v="11750"/>
    <s v="G"/>
    <s v="Supercharged"/>
    <s v="No"/>
  </r>
  <r>
    <n v="2025"/>
    <s v="General Motors"/>
    <s v="Cadillac"/>
    <s v="CT5 V AWD"/>
    <n v="3"/>
    <n v="6"/>
    <s v="Auto(S10)"/>
    <n v="10"/>
    <s v="All Wheel Drive"/>
    <n v="17"/>
    <n v="26"/>
    <n v="20"/>
    <x v="6"/>
    <n v="3200"/>
    <n v="4"/>
    <n v="4"/>
    <n v="523"/>
    <n v="338"/>
    <n v="445"/>
    <m/>
    <n v="6500"/>
    <s v=""/>
    <s v="Turbocharged"/>
    <s v="Yes"/>
  </r>
  <r>
    <n v="2025"/>
    <s v="General Motors"/>
    <s v="Cadillac"/>
    <s v="ESCALADE 2WD"/>
    <n v="6.2"/>
    <n v="8"/>
    <s v="Auto(A10)"/>
    <n v="10"/>
    <s v="2-Wheel Drive, Rear"/>
    <n v="15"/>
    <n v="19"/>
    <n v="17"/>
    <x v="11"/>
    <n v="3750"/>
    <n v="3"/>
    <n v="3"/>
    <n v="594"/>
    <n v="467"/>
    <n v="537"/>
    <m/>
    <n v="9250"/>
    <s v=""/>
    <s v="Naturally Aspirated"/>
    <s v="Yes"/>
  </r>
  <r>
    <n v="2025"/>
    <s v="General Motors"/>
    <s v="Cadillac"/>
    <s v="ESCALADE 4WD"/>
    <n v="6.2"/>
    <n v="8"/>
    <s v="Auto(A10)"/>
    <n v="10"/>
    <s v="4-Wheel Drive"/>
    <n v="14"/>
    <n v="18"/>
    <n v="16"/>
    <x v="3"/>
    <n v="4000"/>
    <n v="3"/>
    <n v="3"/>
    <n v="634"/>
    <n v="495"/>
    <n v="572"/>
    <m/>
    <n v="10500"/>
    <s v=""/>
    <s v="Naturally Aspirated"/>
    <s v="Yes"/>
  </r>
  <r>
    <n v="2025"/>
    <s v="General Motors"/>
    <s v="Cadillac"/>
    <s v="ESCALADE V AWD"/>
    <n v="6.2"/>
    <n v="8"/>
    <s v="Auto(S10)"/>
    <n v="10"/>
    <s v="4-Wheel Drive"/>
    <n v="11"/>
    <n v="17"/>
    <n v="13"/>
    <x v="3"/>
    <n v="4900"/>
    <n v="1"/>
    <n v="1"/>
    <n v="782"/>
    <n v="523"/>
    <n v="683"/>
    <m/>
    <n v="15000"/>
    <s v=""/>
    <s v="Supercharged"/>
    <s v="No"/>
  </r>
  <r>
    <n v="2025"/>
    <s v="General Motors"/>
    <s v="Cadillac"/>
    <s v="XT4 AWD"/>
    <n v="2"/>
    <n v="4"/>
    <s v="Auto(S9)"/>
    <n v="9"/>
    <s v="All Wheel Drive"/>
    <n v="23"/>
    <n v="28"/>
    <n v="25"/>
    <x v="2"/>
    <n v="2550"/>
    <n v="5"/>
    <n v="5"/>
    <n v="392"/>
    <n v="315"/>
    <n v="357"/>
    <m/>
    <n v="3250"/>
    <s v=""/>
    <s v="Turbocharged"/>
    <s v="Yes"/>
  </r>
  <r>
    <n v="2025"/>
    <s v="General Motors"/>
    <s v="Cadillac"/>
    <s v="XT4 FWD"/>
    <n v="2"/>
    <n v="4"/>
    <s v="Auto(S9)"/>
    <n v="9"/>
    <s v="2-Wheel Drive, Front"/>
    <n v="24"/>
    <n v="29"/>
    <n v="26"/>
    <x v="4"/>
    <n v="2450"/>
    <n v="5"/>
    <n v="5"/>
    <n v="376"/>
    <n v="303"/>
    <n v="343"/>
    <m/>
    <n v="2750"/>
    <s v=""/>
    <s v="Turbocharged"/>
    <s v="Yes"/>
  </r>
  <r>
    <n v="2025"/>
    <s v="General Motors"/>
    <s v="Cadillac"/>
    <s v="XT5 AWD"/>
    <n v="2"/>
    <n v="4"/>
    <s v="Auto(S9)"/>
    <n v="9"/>
    <s v="All Wheel Drive"/>
    <n v="21"/>
    <n v="27"/>
    <n v="23"/>
    <x v="2"/>
    <n v="2750"/>
    <n v="5"/>
    <n v="5"/>
    <n v="422"/>
    <n v="329"/>
    <n v="386"/>
    <m/>
    <n v="4250"/>
    <s v=""/>
    <s v="Turbocharged"/>
    <s v="Yes"/>
  </r>
  <r>
    <n v="2025"/>
    <s v="General Motors"/>
    <s v="Cadillac"/>
    <s v="XT5 AWD"/>
    <n v="3.6"/>
    <n v="6"/>
    <s v="Auto(S9)"/>
    <n v="9"/>
    <s v="All Wheel Drive"/>
    <n v="18"/>
    <n v="26"/>
    <n v="21"/>
    <x v="2"/>
    <n v="2500"/>
    <n v="4"/>
    <n v="4"/>
    <n v="486"/>
    <n v="348"/>
    <n v="424"/>
    <m/>
    <n v="3000"/>
    <s v=""/>
    <s v="Naturally Aspirated"/>
    <s v="Yes"/>
  </r>
  <r>
    <n v="2025"/>
    <s v="General Motors"/>
    <s v="Cadillac"/>
    <s v="XT5 FWD"/>
    <n v="2"/>
    <n v="4"/>
    <s v="Auto(S9)"/>
    <n v="9"/>
    <s v="2-Wheel Drive, Front"/>
    <n v="22"/>
    <n v="29"/>
    <n v="24"/>
    <x v="4"/>
    <n v="2650"/>
    <n v="5"/>
    <n v="5"/>
    <n v="403"/>
    <n v="303"/>
    <n v="370"/>
    <m/>
    <n v="3750"/>
    <s v=""/>
    <s v="Turbocharged"/>
    <s v="Yes"/>
  </r>
  <r>
    <n v="2025"/>
    <s v="General Motors"/>
    <s v="Cadillac"/>
    <s v="XT5 FWD"/>
    <n v="3.6"/>
    <n v="6"/>
    <s v="Auto(S9)"/>
    <n v="9"/>
    <s v="2-Wheel Drive, Front"/>
    <n v="19"/>
    <n v="26"/>
    <n v="21"/>
    <x v="4"/>
    <n v="2500"/>
    <n v="4"/>
    <n v="4"/>
    <n v="479"/>
    <n v="344"/>
    <n v="418"/>
    <m/>
    <n v="3000"/>
    <s v=""/>
    <s v="Naturally Aspirated"/>
    <s v="Yes"/>
  </r>
  <r>
    <n v="2025"/>
    <s v="General Motors"/>
    <s v="Cadillac"/>
    <s v="XT6 AWD"/>
    <n v="2"/>
    <n v="4"/>
    <s v="Auto(S9)"/>
    <n v="9"/>
    <s v="All Wheel Drive"/>
    <n v="21"/>
    <n v="26"/>
    <n v="23"/>
    <x v="2"/>
    <n v="2750"/>
    <n v="5"/>
    <n v="5"/>
    <n v="422"/>
    <n v="341"/>
    <n v="386"/>
    <m/>
    <n v="4250"/>
    <s v=""/>
    <s v="Turbocharged"/>
    <s v="Yes"/>
  </r>
  <r>
    <n v="2025"/>
    <s v="General Motors"/>
    <s v="Cadillac"/>
    <s v="XT6 AWD"/>
    <n v="3.6"/>
    <n v="6"/>
    <s v="Auto(S9)"/>
    <n v="9"/>
    <s v="All Wheel Drive"/>
    <n v="18"/>
    <n v="25"/>
    <n v="20"/>
    <x v="2"/>
    <n v="2600"/>
    <n v="4"/>
    <n v="4"/>
    <n v="497"/>
    <n v="360"/>
    <n v="435"/>
    <m/>
    <n v="3500"/>
    <s v=""/>
    <s v="Naturally Aspirated"/>
    <s v="Yes"/>
  </r>
  <r>
    <n v="2025"/>
    <s v="General Motors"/>
    <s v="Cadillac"/>
    <s v="XT6 FWD"/>
    <n v="2"/>
    <n v="4"/>
    <s v="Auto(S9)"/>
    <n v="9"/>
    <s v="2-Wheel Drive, Front"/>
    <n v="21"/>
    <n v="27"/>
    <n v="23"/>
    <x v="4"/>
    <n v="2750"/>
    <n v="5"/>
    <n v="5"/>
    <n v="418"/>
    <n v="324"/>
    <n v="386"/>
    <m/>
    <n v="4250"/>
    <s v=""/>
    <s v="Turbocharged"/>
    <s v="Yes"/>
  </r>
  <r>
    <n v="2025"/>
    <s v="General Motors"/>
    <s v="Cadillac"/>
    <s v="XT6 FWD"/>
    <n v="3.6"/>
    <n v="6"/>
    <s v="Auto(S9)"/>
    <n v="9"/>
    <s v="2-Wheel Drive, Front"/>
    <n v="19"/>
    <n v="26"/>
    <n v="21"/>
    <x v="4"/>
    <n v="2500"/>
    <n v="4"/>
    <n v="4"/>
    <n v="479"/>
    <n v="344"/>
    <n v="418"/>
    <m/>
    <n v="3000"/>
    <s v=""/>
    <s v="Naturally Aspirated"/>
    <s v="Yes"/>
  </r>
  <r>
    <n v="2025"/>
    <s v="General Motors"/>
    <s v="Chevrolet"/>
    <s v="BLAZER AWD"/>
    <n v="2"/>
    <n v="4"/>
    <s v="Auto(A9)"/>
    <n v="9"/>
    <s v="All Wheel Drive"/>
    <n v="22"/>
    <n v="27"/>
    <n v="24"/>
    <x v="2"/>
    <n v="2200"/>
    <n v="5"/>
    <n v="5"/>
    <n v="402"/>
    <n v="328"/>
    <n v="368"/>
    <m/>
    <n v="1500"/>
    <s v=""/>
    <s v="Turbocharged"/>
    <s v="Yes"/>
  </r>
  <r>
    <n v="2025"/>
    <s v="General Motors"/>
    <s v="Chevrolet"/>
    <s v="BLAZER AWD"/>
    <n v="3.6"/>
    <n v="6"/>
    <s v="Auto(A9)"/>
    <n v="9"/>
    <s v="All Wheel Drive"/>
    <n v="18"/>
    <n v="26"/>
    <n v="21"/>
    <x v="2"/>
    <n v="2500"/>
    <n v="4"/>
    <n v="4"/>
    <n v="485"/>
    <n v="345"/>
    <n v="422"/>
    <m/>
    <n v="3000"/>
    <s v=""/>
    <s v="Naturally Aspirated"/>
    <s v="Yes"/>
  </r>
  <r>
    <n v="2025"/>
    <s v="General Motors"/>
    <s v="Chevrolet"/>
    <s v="BLAZER FWD"/>
    <n v="2"/>
    <n v="4"/>
    <s v="Auto(A9)"/>
    <n v="9"/>
    <s v="2-Wheel Drive, Front"/>
    <n v="22"/>
    <n v="29"/>
    <n v="25"/>
    <x v="4"/>
    <n v="2100"/>
    <n v="5"/>
    <n v="5"/>
    <n v="390"/>
    <n v="302"/>
    <n v="350"/>
    <m/>
    <n v="1000"/>
    <s v=""/>
    <s v="Turbocharged"/>
    <s v="Yes"/>
  </r>
  <r>
    <n v="2025"/>
    <s v="General Motors"/>
    <s v="Chevrolet"/>
    <s v="BLAZER FWD"/>
    <n v="3.6"/>
    <n v="6"/>
    <s v="Auto(A9)"/>
    <n v="9"/>
    <s v="2-Wheel Drive, Front"/>
    <n v="19"/>
    <n v="26"/>
    <n v="22"/>
    <x v="4"/>
    <n v="2400"/>
    <n v="5"/>
    <n v="5"/>
    <n v="467"/>
    <n v="342"/>
    <n v="411"/>
    <m/>
    <n v="2500"/>
    <s v=""/>
    <s v="Naturally Aspirated"/>
    <s v="Yes"/>
  </r>
  <r>
    <n v="2025"/>
    <s v="General Motors"/>
    <s v="Chevrolet"/>
    <s v="COLORADO 2WD"/>
    <n v="2.7"/>
    <n v="4"/>
    <s v="Auto(A8)"/>
    <n v="8"/>
    <s v="2-Wheel Drive, Rear"/>
    <n v="19"/>
    <n v="23"/>
    <n v="20"/>
    <x v="12"/>
    <n v="2600"/>
    <n v="4"/>
    <n v="4"/>
    <n v="472"/>
    <n v="388"/>
    <n v="434"/>
    <m/>
    <n v="3500"/>
    <s v=""/>
    <s v="Turbocharged"/>
    <s v="Yes"/>
  </r>
  <r>
    <n v="2025"/>
    <s v="General Motors"/>
    <s v="Chevrolet"/>
    <s v="COLORADO 4WD"/>
    <n v="2.7"/>
    <n v="4"/>
    <s v="Auto(A8)"/>
    <n v="8"/>
    <s v="4-Wheel Drive"/>
    <n v="17"/>
    <n v="21"/>
    <n v="19"/>
    <x v="13"/>
    <n v="2750"/>
    <n v="4"/>
    <n v="4"/>
    <n v="520"/>
    <n v="446"/>
    <n v="487"/>
    <m/>
    <n v="4250"/>
    <s v=""/>
    <s v="Turbocharged"/>
    <s v="Yes"/>
  </r>
  <r>
    <n v="2025"/>
    <s v="General Motors"/>
    <s v="Chevrolet"/>
    <s v="COLORADO 4WD MUD TERRAIN TIRES"/>
    <n v="2.7"/>
    <n v="4"/>
    <s v="Auto(A8)"/>
    <n v="8"/>
    <s v="4-Wheel Drive"/>
    <n v="17"/>
    <n v="20"/>
    <n v="18"/>
    <x v="13"/>
    <n v="2900"/>
    <n v="4"/>
    <n v="4"/>
    <n v="529"/>
    <n v="451"/>
    <n v="494"/>
    <m/>
    <n v="5000"/>
    <s v=""/>
    <s v="Turbocharged"/>
    <s v="Yes"/>
  </r>
  <r>
    <n v="2025"/>
    <s v="General Motors"/>
    <s v="Chevrolet"/>
    <s v="COLORADO ZR2 4WD"/>
    <n v="2.7"/>
    <n v="4"/>
    <s v="Auto(A8)"/>
    <n v="8"/>
    <s v="4-Wheel Drive"/>
    <n v="17"/>
    <n v="17"/>
    <n v="17"/>
    <x v="13"/>
    <n v="3100"/>
    <n v="3"/>
    <n v="3"/>
    <n v="531"/>
    <n v="522"/>
    <n v="527"/>
    <m/>
    <n v="6000"/>
    <s v=""/>
    <s v="Turbocharged"/>
    <s v="Yes"/>
  </r>
  <r>
    <n v="2025"/>
    <s v="General Motors"/>
    <s v="Chevrolet"/>
    <s v="COLORADO ZR2 BISON 4WD"/>
    <n v="2.7"/>
    <n v="4"/>
    <s v="Auto(A8)"/>
    <n v="8"/>
    <s v="4-Wheel Drive"/>
    <n v="16"/>
    <n v="16"/>
    <n v="16"/>
    <x v="13"/>
    <n v="3300"/>
    <n v="3"/>
    <n v="3"/>
    <n v="559"/>
    <n v="570"/>
    <n v="564"/>
    <m/>
    <n v="7000"/>
    <s v=""/>
    <s v="Turbocharged"/>
    <s v="Yes"/>
  </r>
  <r>
    <n v="2025"/>
    <s v="General Motors"/>
    <s v="Chevrolet"/>
    <s v="CORVETTE"/>
    <n v="6.2"/>
    <n v="8"/>
    <s v="Auto(S8)"/>
    <n v="8"/>
    <s v="2-Wheel Drive, Rear"/>
    <n v="16"/>
    <n v="25"/>
    <n v="19"/>
    <x v="8"/>
    <n v="3350"/>
    <n v="4"/>
    <n v="4"/>
    <n v="565"/>
    <n v="356"/>
    <n v="471"/>
    <m/>
    <n v="7250"/>
    <s v=""/>
    <s v="Naturally Aspirated"/>
    <s v="No"/>
  </r>
  <r>
    <n v="2025"/>
    <s v="General Motors"/>
    <s v="Chevrolet"/>
    <s v="CORVETTE E-RAY"/>
    <n v="6.2"/>
    <n v="8"/>
    <s v="Auto(S8)"/>
    <n v="8"/>
    <s v="All Wheel Drive"/>
    <n v="16"/>
    <n v="24"/>
    <n v="19"/>
    <x v="8"/>
    <n v="3350"/>
    <n v="4"/>
    <n v="4"/>
    <n v="566"/>
    <n v="368"/>
    <n v="477"/>
    <m/>
    <n v="7250"/>
    <s v=""/>
    <s v="Naturally Aspirated"/>
    <s v="Yes"/>
  </r>
  <r>
    <n v="2025"/>
    <s v="General Motors"/>
    <s v="Chevrolet"/>
    <s v="CORVETTE Z06"/>
    <n v="5.5"/>
    <n v="8"/>
    <s v="Auto(S8)"/>
    <n v="8"/>
    <s v="2-Wheel Drive, Rear"/>
    <n v="12"/>
    <n v="20"/>
    <n v="14"/>
    <x v="8"/>
    <n v="4550"/>
    <n v="2"/>
    <n v="2"/>
    <n v="755"/>
    <n v="442"/>
    <n v="614"/>
    <m/>
    <n v="13250"/>
    <s v="G"/>
    <s v="Naturally Aspirated"/>
    <s v="No"/>
  </r>
  <r>
    <n v="2025"/>
    <s v="General Motors"/>
    <s v="Chevrolet"/>
    <s v="CORVETTE Z06 CARBON AERO"/>
    <n v="5.5"/>
    <n v="8"/>
    <s v="Auto(S8)"/>
    <n v="8"/>
    <s v="2-Wheel Drive, Rear"/>
    <n v="12"/>
    <n v="19"/>
    <n v="14"/>
    <x v="8"/>
    <n v="4550"/>
    <n v="2"/>
    <n v="2"/>
    <n v="756"/>
    <n v="478"/>
    <n v="631"/>
    <m/>
    <n v="13250"/>
    <s v="G"/>
    <s v="Naturally Aspirated"/>
    <s v="No"/>
  </r>
  <r>
    <n v="2025"/>
    <s v="General Motors"/>
    <s v="Chevrolet"/>
    <s v="CORVETTE ZR1"/>
    <n v="5.5"/>
    <n v="8"/>
    <s v="Auto(S8)"/>
    <n v="8"/>
    <s v="2-Wheel Drive, Rear"/>
    <n v="12"/>
    <n v="18"/>
    <n v="14"/>
    <x v="8"/>
    <n v="4550"/>
    <n v="2"/>
    <n v="2"/>
    <n v="756"/>
    <n v="490"/>
    <n v="637"/>
    <m/>
    <n v="13250"/>
    <s v="G"/>
    <s v="Turbocharged"/>
    <s v="No"/>
  </r>
  <r>
    <n v="2025"/>
    <s v="General Motors"/>
    <s v="Chevrolet"/>
    <s v="EQUINOX AWD"/>
    <n v="1.5"/>
    <n v="4"/>
    <s v="Auto(A8)"/>
    <n v="8"/>
    <s v="All Wheel Drive"/>
    <n v="24"/>
    <n v="29"/>
    <n v="26"/>
    <x v="2"/>
    <n v="2000"/>
    <n v="5"/>
    <n v="5"/>
    <n v="377"/>
    <n v="305"/>
    <n v="344"/>
    <m/>
    <n v="500"/>
    <s v=""/>
    <s v="Turbocharged"/>
    <s v="Yes"/>
  </r>
  <r>
    <n v="2025"/>
    <s v="General Motors"/>
    <s v="Chevrolet"/>
    <s v="EQUINOX FWD"/>
    <n v="1.5"/>
    <n v="4"/>
    <s v="Auto(AV)"/>
    <n v="1"/>
    <s v="2-Wheel Drive, Front"/>
    <n v="26"/>
    <n v="28"/>
    <n v="27"/>
    <x v="4"/>
    <n v="1950"/>
    <n v="5"/>
    <n v="5"/>
    <n v="346"/>
    <n v="314"/>
    <n v="332"/>
    <m/>
    <n v="250"/>
    <s v=""/>
    <s v="Turbocharged"/>
    <s v="Yes"/>
  </r>
  <r>
    <n v="2025"/>
    <s v="General Motors"/>
    <s v="Chevrolet"/>
    <s v="MALIBU"/>
    <n v="1.5"/>
    <n v="4"/>
    <s v="Auto(AV)"/>
    <n v="1"/>
    <s v="2-Wheel Drive, Front"/>
    <n v="28"/>
    <n v="36"/>
    <n v="31"/>
    <x v="6"/>
    <n v="1700"/>
    <n v="6"/>
    <n v="6"/>
    <n v="313"/>
    <n v="246"/>
    <n v="283"/>
    <n v="1000"/>
    <m/>
    <s v=""/>
    <s v="Turbocharged"/>
    <s v="Yes"/>
  </r>
  <r>
    <n v="2025"/>
    <s v="General Motors"/>
    <s v="Chevrolet"/>
    <s v="SILVERADO 2WD"/>
    <n v="3"/>
    <n v="6"/>
    <s v="Auto(A10)"/>
    <n v="10"/>
    <s v="2-Wheel Drive, Rear"/>
    <n v="23"/>
    <n v="29"/>
    <n v="26"/>
    <x v="12"/>
    <n v="2350"/>
    <n v="5"/>
    <n v="5"/>
    <n v="434"/>
    <n v="356"/>
    <n v="399"/>
    <m/>
    <n v="2250"/>
    <s v=""/>
    <s v="Turbocharged"/>
    <s v="Yes"/>
  </r>
  <r>
    <n v="2025"/>
    <s v="General Motors"/>
    <s v="Chevrolet"/>
    <s v="SILVERADO 2WD"/>
    <n v="2.7"/>
    <n v="4"/>
    <s v="Auto(A8)"/>
    <n v="8"/>
    <s v="2-Wheel Drive, Rear"/>
    <n v="17"/>
    <n v="21"/>
    <n v="19"/>
    <x v="12"/>
    <n v="2750"/>
    <n v="4"/>
    <n v="4"/>
    <n v="506"/>
    <n v="426"/>
    <n v="470"/>
    <m/>
    <n v="4250"/>
    <s v=""/>
    <s v="Turbocharged"/>
    <s v="Yes"/>
  </r>
  <r>
    <n v="2025"/>
    <s v="General Motors"/>
    <s v="Chevrolet"/>
    <s v="SILVERADO 2WD"/>
    <n v="2.7"/>
    <n v="4"/>
    <s v="Auto(A8)"/>
    <n v="8"/>
    <s v="2-Wheel Drive, Rear"/>
    <n v="18"/>
    <n v="21"/>
    <n v="19"/>
    <x v="12"/>
    <n v="2750"/>
    <n v="4"/>
    <n v="4"/>
    <n v="503"/>
    <n v="426"/>
    <n v="468"/>
    <m/>
    <n v="4250"/>
    <s v=""/>
    <s v="Turbocharged"/>
    <s v="Yes"/>
  </r>
  <r>
    <n v="2025"/>
    <s v="General Motors"/>
    <s v="Chevrolet"/>
    <s v="SILVERADO 2WD"/>
    <n v="5.3"/>
    <n v="8"/>
    <s v="Auto(A10)"/>
    <n v="10"/>
    <s v="2-Wheel Drive, Rear"/>
    <n v="16"/>
    <n v="21"/>
    <n v="18"/>
    <x v="12"/>
    <n v="2900"/>
    <n v="4"/>
    <n v="4"/>
    <n v="540"/>
    <n v="429"/>
    <n v="490"/>
    <m/>
    <n v="5000"/>
    <s v=""/>
    <s v="Naturally Aspirated"/>
    <s v="Yes"/>
  </r>
  <r>
    <n v="2025"/>
    <s v="General Motors"/>
    <s v="Chevrolet"/>
    <s v="SILVERADO 2WD"/>
    <n v="5.3"/>
    <n v="8"/>
    <s v="Auto(A10)"/>
    <n v="10"/>
    <s v="2-Wheel Drive, Rear"/>
    <n v="16"/>
    <n v="21"/>
    <n v="18"/>
    <x v="12"/>
    <n v="2900"/>
    <n v="4"/>
    <n v="4"/>
    <n v="555"/>
    <n v="414"/>
    <n v="491"/>
    <m/>
    <n v="5000"/>
    <s v=""/>
    <s v="Naturally Aspirated"/>
    <s v="Yes"/>
  </r>
  <r>
    <n v="2025"/>
    <s v="General Motors"/>
    <s v="Chevrolet"/>
    <s v="SILVERADO 2WD CAB CHASSIS"/>
    <n v="5.3"/>
    <n v="8"/>
    <s v="Auto(A10)"/>
    <n v="10"/>
    <s v="2-Wheel Drive, Rear"/>
    <n v="15"/>
    <n v="18"/>
    <n v="16"/>
    <x v="14"/>
    <n v="3300"/>
    <n v="3"/>
    <n v="3"/>
    <n v="589"/>
    <n v="504"/>
    <n v="551"/>
    <m/>
    <n v="7000"/>
    <s v=""/>
    <s v="Naturally Aspirated"/>
    <s v="Yes"/>
  </r>
  <r>
    <n v="2025"/>
    <s v="General Motors"/>
    <s v="Chevrolet"/>
    <s v="SILVERADO 4WD"/>
    <n v="3"/>
    <n v="6"/>
    <s v="Auto(A10)"/>
    <n v="10"/>
    <s v="4-Wheel Drive"/>
    <n v="22"/>
    <n v="26"/>
    <n v="24"/>
    <x v="13"/>
    <n v="2550"/>
    <n v="5"/>
    <n v="4"/>
    <n v="459"/>
    <n v="391"/>
    <n v="428"/>
    <m/>
    <n v="3250"/>
    <s v=""/>
    <s v="Turbocharged"/>
    <s v="Yes"/>
  </r>
  <r>
    <n v="2025"/>
    <s v="General Motors"/>
    <s v="Chevrolet"/>
    <s v="SILVERADO 4WD"/>
    <n v="3"/>
    <n v="6"/>
    <s v="Auto(A10)"/>
    <n v="10"/>
    <s v="4-Wheel Drive"/>
    <n v="22"/>
    <n v="25"/>
    <n v="23"/>
    <x v="13"/>
    <n v="2650"/>
    <n v="5"/>
    <n v="4"/>
    <n v="463"/>
    <n v="399"/>
    <n v="434"/>
    <m/>
    <n v="3750"/>
    <s v=""/>
    <s v="Turbocharged"/>
    <s v="Yes"/>
  </r>
  <r>
    <n v="2025"/>
    <s v="General Motors"/>
    <s v="Chevrolet"/>
    <s v="SILVERADO 4WD"/>
    <n v="2.7"/>
    <n v="4"/>
    <s v="Auto(A8)"/>
    <n v="8"/>
    <s v="4-Wheel Drive"/>
    <n v="17"/>
    <n v="20"/>
    <n v="18"/>
    <x v="13"/>
    <n v="2900"/>
    <n v="4"/>
    <n v="4"/>
    <n v="512"/>
    <n v="446"/>
    <n v="482"/>
    <m/>
    <n v="5000"/>
    <s v=""/>
    <s v="Turbocharged"/>
    <s v="Yes"/>
  </r>
  <r>
    <n v="2025"/>
    <s v="General Motors"/>
    <s v="Chevrolet"/>
    <s v="SILVERADO 4WD"/>
    <n v="2.7"/>
    <n v="4"/>
    <s v="Auto(A8)"/>
    <n v="8"/>
    <s v="4-Wheel Drive"/>
    <n v="17"/>
    <n v="20"/>
    <n v="18"/>
    <x v="13"/>
    <n v="2900"/>
    <n v="4"/>
    <n v="4"/>
    <n v="511"/>
    <n v="443"/>
    <n v="481"/>
    <m/>
    <n v="5000"/>
    <s v=""/>
    <s v="Turbocharged"/>
    <s v="Yes"/>
  </r>
  <r>
    <n v="2025"/>
    <s v="General Motors"/>
    <s v="Chevrolet"/>
    <s v="SILVERADO 4WD"/>
    <n v="5.3"/>
    <n v="8"/>
    <s v="Auto(A10)"/>
    <n v="10"/>
    <s v="4-Wheel Drive"/>
    <n v="15"/>
    <n v="19"/>
    <n v="17"/>
    <x v="13"/>
    <n v="3100"/>
    <n v="3"/>
    <n v="3"/>
    <n v="576"/>
    <n v="462"/>
    <n v="524"/>
    <m/>
    <n v="6000"/>
    <s v=""/>
    <s v="Naturally Aspirated"/>
    <s v="No"/>
  </r>
  <r>
    <n v="2025"/>
    <s v="General Motors"/>
    <s v="Chevrolet"/>
    <s v="SILVERADO 4WD"/>
    <n v="6.2"/>
    <n v="8"/>
    <s v="Auto(A10)"/>
    <n v="10"/>
    <s v="4-Wheel Drive"/>
    <n v="15"/>
    <n v="20"/>
    <n v="17"/>
    <x v="13"/>
    <n v="3750"/>
    <n v="3"/>
    <n v="3"/>
    <n v="592"/>
    <n v="450"/>
    <n v="528"/>
    <m/>
    <n v="9250"/>
    <s v=""/>
    <s v="Naturally Aspirated"/>
    <s v="Yes"/>
  </r>
  <r>
    <n v="2025"/>
    <s v="General Motors"/>
    <s v="Chevrolet"/>
    <s v="SILVERADO 4WD"/>
    <n v="5.3"/>
    <n v="8"/>
    <s v="Auto(A10)"/>
    <n v="10"/>
    <s v="4-Wheel Drive"/>
    <n v="15"/>
    <n v="19"/>
    <n v="16"/>
    <x v="13"/>
    <n v="3300"/>
    <n v="3"/>
    <n v="3"/>
    <n v="604"/>
    <n v="475"/>
    <n v="546"/>
    <m/>
    <n v="7000"/>
    <s v=""/>
    <s v="Naturally Aspirated"/>
    <s v="No"/>
  </r>
  <r>
    <n v="2025"/>
    <s v="General Motors"/>
    <s v="Chevrolet"/>
    <s v="SILVERADO 4WD"/>
    <n v="5.3"/>
    <n v="8"/>
    <s v="Auto(A10)"/>
    <n v="10"/>
    <s v="4-Wheel Drive"/>
    <n v="16"/>
    <n v="19"/>
    <n v="17"/>
    <x v="13"/>
    <n v="3100"/>
    <n v="3"/>
    <n v="3"/>
    <n v="565"/>
    <n v="465"/>
    <n v="520"/>
    <m/>
    <n v="6000"/>
    <s v=""/>
    <s v="Naturally Aspirated"/>
    <s v="Yes"/>
  </r>
  <r>
    <n v="2025"/>
    <s v="General Motors"/>
    <s v="Chevrolet"/>
    <s v="SILVERADO 4WD"/>
    <n v="5.3"/>
    <n v="8"/>
    <s v="Auto(A10)"/>
    <n v="10"/>
    <s v="4-Wheel Drive"/>
    <n v="16"/>
    <n v="19"/>
    <n v="17"/>
    <x v="13"/>
    <n v="3100"/>
    <n v="3"/>
    <n v="3"/>
    <n v="570"/>
    <n v="470"/>
    <n v="525"/>
    <m/>
    <n v="6000"/>
    <s v=""/>
    <s v="Naturally Aspirated"/>
    <s v="Yes"/>
  </r>
  <r>
    <n v="2025"/>
    <s v="General Motors"/>
    <s v="Chevrolet"/>
    <s v="SILVERADO 4WD CAB CHASSIS"/>
    <n v="5.3"/>
    <n v="8"/>
    <s v="Auto(A10)"/>
    <n v="10"/>
    <s v="4-Wheel Drive"/>
    <n v="14"/>
    <n v="16"/>
    <n v="15"/>
    <x v="14"/>
    <n v="3500"/>
    <n v="2"/>
    <n v="2"/>
    <n v="633"/>
    <n v="542"/>
    <n v="592"/>
    <m/>
    <n v="8000"/>
    <s v=""/>
    <s v="Naturally Aspirated"/>
    <s v="Yes"/>
  </r>
  <r>
    <n v="2025"/>
    <s v="General Motors"/>
    <s v="Chevrolet"/>
    <s v="SILVERADO 4WD MUD TERRAIN TIRES"/>
    <n v="3"/>
    <n v="6"/>
    <s v="Auto(A10)"/>
    <n v="10"/>
    <s v="4-Wheel Drive"/>
    <n v="21"/>
    <n v="24"/>
    <n v="23"/>
    <x v="13"/>
    <n v="2650"/>
    <n v="5"/>
    <n v="4"/>
    <n v="475"/>
    <n v="420"/>
    <n v="450"/>
    <m/>
    <n v="3750"/>
    <s v=""/>
    <s v="Turbocharged"/>
    <s v="Yes"/>
  </r>
  <r>
    <n v="2025"/>
    <s v="General Motors"/>
    <s v="Chevrolet"/>
    <s v="SILVERADO 4WD MUD TERRAIN TIRES"/>
    <n v="3"/>
    <n v="6"/>
    <s v="Auto(A10)"/>
    <n v="10"/>
    <s v="4-Wheel Drive"/>
    <n v="21"/>
    <n v="24"/>
    <n v="22"/>
    <x v="13"/>
    <n v="2800"/>
    <n v="5"/>
    <n v="4"/>
    <n v="478"/>
    <n v="429"/>
    <n v="456"/>
    <m/>
    <n v="4500"/>
    <s v=""/>
    <s v="Turbocharged"/>
    <s v="Yes"/>
  </r>
  <r>
    <n v="2025"/>
    <s v="General Motors"/>
    <s v="Chevrolet"/>
    <s v="SILVERADO 4WD MUD TERRAIN TIRES"/>
    <n v="2.7"/>
    <n v="4"/>
    <s v="Auto(A8)"/>
    <n v="8"/>
    <s v="4-Wheel Drive"/>
    <n v="16"/>
    <n v="17"/>
    <n v="16"/>
    <x v="13"/>
    <n v="3300"/>
    <n v="3"/>
    <n v="3"/>
    <n v="554"/>
    <n v="527"/>
    <n v="541"/>
    <m/>
    <n v="7000"/>
    <s v=""/>
    <s v="Turbocharged"/>
    <s v="Yes"/>
  </r>
  <r>
    <n v="2025"/>
    <s v="General Motors"/>
    <s v="Chevrolet"/>
    <s v="SILVERADO 4WD MUD TERRAIN TIRES"/>
    <n v="2.7"/>
    <n v="4"/>
    <s v="Auto(A8)"/>
    <n v="8"/>
    <s v="4-Wheel Drive"/>
    <n v="16"/>
    <n v="17"/>
    <n v="16"/>
    <x v="13"/>
    <n v="3300"/>
    <n v="3"/>
    <n v="3"/>
    <n v="552"/>
    <n v="521"/>
    <n v="538"/>
    <m/>
    <n v="7000"/>
    <s v=""/>
    <s v="Turbocharged"/>
    <s v="Yes"/>
  </r>
  <r>
    <n v="2025"/>
    <s v="General Motors"/>
    <s v="Chevrolet"/>
    <s v="SILVERADO 4WD MUD TERRAIN TIRES"/>
    <n v="5.3"/>
    <n v="8"/>
    <s v="Auto(A10)"/>
    <n v="10"/>
    <s v="4-Wheel Drive"/>
    <n v="15"/>
    <n v="19"/>
    <n v="17"/>
    <x v="13"/>
    <n v="3100"/>
    <n v="3"/>
    <n v="3"/>
    <n v="576"/>
    <n v="462"/>
    <n v="524"/>
    <m/>
    <n v="6000"/>
    <s v=""/>
    <s v="Naturally Aspirated"/>
    <s v="No"/>
  </r>
  <r>
    <n v="2025"/>
    <s v="General Motors"/>
    <s v="Chevrolet"/>
    <s v="SILVERADO 4WD MUD TERRAIN TIRES"/>
    <n v="6.2"/>
    <n v="8"/>
    <s v="Auto(A10)"/>
    <n v="10"/>
    <s v="4-Wheel Drive"/>
    <n v="14"/>
    <n v="17"/>
    <n v="15"/>
    <x v="13"/>
    <n v="4250"/>
    <n v="2"/>
    <n v="2"/>
    <n v="635"/>
    <n v="524"/>
    <n v="593"/>
    <m/>
    <n v="11750"/>
    <s v=""/>
    <s v="Naturally Aspirated"/>
    <s v="Yes"/>
  </r>
  <r>
    <n v="2025"/>
    <s v="General Motors"/>
    <s v="Chevrolet"/>
    <s v="SILVERADO 4WD MUD TERRAIN TIRES"/>
    <n v="5.3"/>
    <n v="8"/>
    <s v="Auto(A10)"/>
    <n v="10"/>
    <s v="4-Wheel Drive"/>
    <n v="15"/>
    <n v="19"/>
    <n v="16"/>
    <x v="13"/>
    <n v="3300"/>
    <n v="3"/>
    <n v="3"/>
    <n v="604"/>
    <n v="475"/>
    <n v="546"/>
    <m/>
    <n v="7000"/>
    <s v=""/>
    <s v="Naturally Aspirated"/>
    <s v="No"/>
  </r>
  <r>
    <n v="2025"/>
    <s v="General Motors"/>
    <s v="Chevrolet"/>
    <s v="SILVERADO 4WD MUD TERRAIN TIRES"/>
    <n v="5.3"/>
    <n v="8"/>
    <s v="Auto(A10)"/>
    <n v="10"/>
    <s v="4-Wheel Drive"/>
    <n v="15"/>
    <n v="18"/>
    <n v="16"/>
    <x v="13"/>
    <n v="3300"/>
    <n v="3"/>
    <n v="3"/>
    <n v="585"/>
    <n v="496"/>
    <n v="545"/>
    <m/>
    <n v="7000"/>
    <s v=""/>
    <s v="Naturally Aspirated"/>
    <s v="Yes"/>
  </r>
  <r>
    <n v="2025"/>
    <s v="General Motors"/>
    <s v="Chevrolet"/>
    <s v="SILVERADO 4WD MUD TERRAIN TIRES"/>
    <n v="5.3"/>
    <n v="8"/>
    <s v="Auto(A10)"/>
    <n v="10"/>
    <s v="4-Wheel Drive"/>
    <n v="15"/>
    <n v="18"/>
    <n v="16"/>
    <x v="13"/>
    <n v="3300"/>
    <n v="3"/>
    <n v="3"/>
    <n v="585"/>
    <n v="496"/>
    <n v="545"/>
    <m/>
    <n v="7000"/>
    <s v=""/>
    <s v="Naturally Aspirated"/>
    <s v="Yes"/>
  </r>
  <r>
    <n v="2025"/>
    <s v="General Motors"/>
    <s v="Chevrolet"/>
    <s v="SILVERADO 4WD ZR2"/>
    <n v="3"/>
    <n v="6"/>
    <s v="Auto(A10)"/>
    <n v="10"/>
    <s v="4-Wheel Drive"/>
    <n v="20"/>
    <n v="23"/>
    <n v="21"/>
    <x v="13"/>
    <n v="2950"/>
    <n v="4"/>
    <n v="4"/>
    <n v="504"/>
    <n v="448"/>
    <n v="479"/>
    <m/>
    <n v="5250"/>
    <s v=""/>
    <s v="Turbocharged"/>
    <s v="Yes"/>
  </r>
  <r>
    <n v="2025"/>
    <s v="General Motors"/>
    <s v="Chevrolet"/>
    <s v="SILVERADO 4WD ZR2"/>
    <n v="6.2"/>
    <n v="8"/>
    <s v="Auto(A10)"/>
    <n v="10"/>
    <s v="4-Wheel Drive"/>
    <n v="14"/>
    <n v="17"/>
    <n v="15"/>
    <x v="13"/>
    <n v="4250"/>
    <n v="2"/>
    <n v="2"/>
    <n v="638"/>
    <n v="535"/>
    <n v="591"/>
    <m/>
    <n v="11750"/>
    <s v=""/>
    <s v="Naturally Aspirated"/>
    <s v="Yes"/>
  </r>
  <r>
    <n v="2025"/>
    <s v="General Motors"/>
    <s v="Chevrolet"/>
    <s v="SUBURBAN 2WD"/>
    <n v="6.2"/>
    <n v="8"/>
    <s v="Auto(A10)"/>
    <n v="10"/>
    <s v="2-Wheel Drive, Rear"/>
    <n v="15"/>
    <n v="19"/>
    <n v="16"/>
    <x v="11"/>
    <n v="4000"/>
    <n v="3"/>
    <n v="3"/>
    <n v="605"/>
    <n v="470"/>
    <n v="544"/>
    <m/>
    <n v="10500"/>
    <s v=""/>
    <s v="Naturally Aspirated"/>
    <s v="Yes"/>
  </r>
  <r>
    <n v="2025"/>
    <s v="General Motors"/>
    <s v="Chevrolet"/>
    <s v="SUBURBAN 2WD"/>
    <n v="5.3"/>
    <n v="8"/>
    <s v="Auto(A10)"/>
    <n v="10"/>
    <s v="2-Wheel Drive, Rear"/>
    <n v="15"/>
    <n v="20"/>
    <n v="17"/>
    <x v="11"/>
    <n v="3100"/>
    <n v="3"/>
    <n v="3"/>
    <n v="592"/>
    <n v="453"/>
    <n v="530"/>
    <m/>
    <n v="6000"/>
    <s v=""/>
    <s v="Naturally Aspirated"/>
    <s v="Yes"/>
  </r>
  <r>
    <n v="2025"/>
    <s v="General Motors"/>
    <s v="Chevrolet"/>
    <s v="SUBURBAN 2WD"/>
    <n v="3"/>
    <n v="6"/>
    <s v="Auto(A10)"/>
    <n v="10"/>
    <s v="2-Wheel Drive, Rear"/>
    <n v="21"/>
    <n v="26"/>
    <n v="23"/>
    <x v="11"/>
    <n v="2650"/>
    <n v="5"/>
    <n v="4"/>
    <n v="485"/>
    <n v="385"/>
    <n v="442"/>
    <m/>
    <n v="3750"/>
    <s v=""/>
    <s v="Turbocharged"/>
    <s v="Yes"/>
  </r>
  <r>
    <n v="2025"/>
    <s v="General Motors"/>
    <s v="Chevrolet"/>
    <s v="SUBURBAN 4WD"/>
    <n v="6.2"/>
    <n v="8"/>
    <s v="Auto(A10)"/>
    <n v="10"/>
    <s v="4-Wheel Drive"/>
    <n v="14"/>
    <n v="18"/>
    <n v="16"/>
    <x v="3"/>
    <n v="4000"/>
    <n v="3"/>
    <n v="3"/>
    <n v="634"/>
    <n v="495"/>
    <n v="572"/>
    <m/>
    <n v="10500"/>
    <s v=""/>
    <s v="Naturally Aspirated"/>
    <s v="Yes"/>
  </r>
  <r>
    <n v="2025"/>
    <s v="General Motors"/>
    <s v="Chevrolet"/>
    <s v="SUBURBAN 4WD"/>
    <n v="5.3"/>
    <n v="8"/>
    <s v="Auto(A10)"/>
    <n v="10"/>
    <s v="4-Wheel Drive"/>
    <n v="14"/>
    <n v="19"/>
    <n v="16"/>
    <x v="3"/>
    <n v="3300"/>
    <n v="3"/>
    <n v="3"/>
    <n v="645"/>
    <n v="481"/>
    <n v="571"/>
    <m/>
    <n v="7000"/>
    <s v=""/>
    <s v="Naturally Aspirated"/>
    <s v="Yes"/>
  </r>
  <r>
    <n v="2025"/>
    <s v="General Motors"/>
    <s v="Chevrolet"/>
    <s v="SUBURBAN 4WD"/>
    <n v="3"/>
    <n v="6"/>
    <s v="Auto(A10)"/>
    <n v="10"/>
    <s v="4-Wheel Drive"/>
    <n v="20"/>
    <n v="26"/>
    <n v="22"/>
    <x v="3"/>
    <n v="2800"/>
    <n v="5"/>
    <n v="4"/>
    <n v="504"/>
    <n v="395"/>
    <n v="455"/>
    <m/>
    <n v="4500"/>
    <s v=""/>
    <s v="Turbocharged"/>
    <s v="Yes"/>
  </r>
  <r>
    <n v="2025"/>
    <s v="General Motors"/>
    <s v="Chevrolet"/>
    <s v="TAHOE 2WD"/>
    <n v="6.2"/>
    <n v="8"/>
    <s v="Auto(A10)"/>
    <n v="10"/>
    <s v="2-Wheel Drive, Rear"/>
    <n v="15"/>
    <n v="20"/>
    <n v="17"/>
    <x v="11"/>
    <n v="3750"/>
    <n v="3"/>
    <n v="3"/>
    <n v="587"/>
    <n v="444"/>
    <n v="523"/>
    <m/>
    <n v="9250"/>
    <s v=""/>
    <s v="Naturally Aspirated"/>
    <s v="Yes"/>
  </r>
  <r>
    <n v="2025"/>
    <s v="General Motors"/>
    <s v="Chevrolet"/>
    <s v="TAHOE 2WD"/>
    <n v="5.3"/>
    <n v="8"/>
    <s v="Auto(A10)"/>
    <n v="10"/>
    <s v="2-Wheel Drive, Rear"/>
    <n v="15"/>
    <n v="20"/>
    <n v="17"/>
    <x v="11"/>
    <n v="3100"/>
    <n v="3"/>
    <n v="3"/>
    <n v="592"/>
    <n v="453"/>
    <n v="530"/>
    <m/>
    <n v="6000"/>
    <s v=""/>
    <s v="Naturally Aspirated"/>
    <s v="Yes"/>
  </r>
  <r>
    <n v="2025"/>
    <s v="General Motors"/>
    <s v="Chevrolet"/>
    <s v="TAHOE 2WD"/>
    <n v="3"/>
    <n v="6"/>
    <s v="Auto(A10)"/>
    <n v="10"/>
    <s v="2-Wheel Drive, Rear"/>
    <n v="22"/>
    <n v="26"/>
    <n v="24"/>
    <x v="11"/>
    <n v="2550"/>
    <n v="5"/>
    <n v="4"/>
    <n v="457"/>
    <n v="391"/>
    <n v="427"/>
    <m/>
    <n v="3250"/>
    <s v=""/>
    <s v="Turbocharged"/>
    <s v="Yes"/>
  </r>
  <r>
    <n v="2025"/>
    <s v="General Motors"/>
    <s v="Chevrolet"/>
    <s v="TAHOE 4WD"/>
    <n v="6.2"/>
    <n v="8"/>
    <s v="Auto(A10)"/>
    <n v="10"/>
    <s v="4-Wheel Drive"/>
    <n v="14"/>
    <n v="18"/>
    <n v="16"/>
    <x v="3"/>
    <n v="4000"/>
    <n v="3"/>
    <n v="3"/>
    <n v="634"/>
    <n v="495"/>
    <n v="572"/>
    <m/>
    <n v="10500"/>
    <s v=""/>
    <s v="Naturally Aspirated"/>
    <s v="Yes"/>
  </r>
  <r>
    <n v="2025"/>
    <s v="General Motors"/>
    <s v="Chevrolet"/>
    <s v="TAHOE 4WD"/>
    <n v="5.3"/>
    <n v="8"/>
    <s v="Auto(A10)"/>
    <n v="10"/>
    <s v="4-Wheel Drive"/>
    <n v="15"/>
    <n v="19"/>
    <n v="17"/>
    <x v="3"/>
    <n v="3100"/>
    <n v="3"/>
    <n v="3"/>
    <n v="594"/>
    <n v="462"/>
    <n v="535"/>
    <m/>
    <n v="6000"/>
    <s v=""/>
    <s v="Naturally Aspirated"/>
    <s v="Yes"/>
  </r>
  <r>
    <n v="2025"/>
    <s v="General Motors"/>
    <s v="Chevrolet"/>
    <s v="TAHOE 4WD"/>
    <n v="5.3"/>
    <n v="8"/>
    <s v="Auto(A10)"/>
    <n v="10"/>
    <s v="4-Wheel Drive"/>
    <n v="14"/>
    <n v="18"/>
    <n v="16"/>
    <x v="3"/>
    <n v="3300"/>
    <n v="3"/>
    <n v="3"/>
    <n v="636"/>
    <n v="492"/>
    <n v="571"/>
    <m/>
    <n v="7000"/>
    <s v=""/>
    <s v="Naturally Aspirated"/>
    <s v="No"/>
  </r>
  <r>
    <n v="2025"/>
    <s v="General Motors"/>
    <s v="Chevrolet"/>
    <s v="TAHOE 4WD"/>
    <n v="3"/>
    <n v="6"/>
    <s v="Auto(A10)"/>
    <n v="10"/>
    <s v="4-Wheel Drive"/>
    <n v="20"/>
    <n v="26"/>
    <n v="22"/>
    <x v="3"/>
    <n v="2800"/>
    <n v="5"/>
    <n v="4"/>
    <n v="504"/>
    <n v="395"/>
    <n v="455"/>
    <m/>
    <n v="4500"/>
    <s v=""/>
    <s v="Turbocharged"/>
    <s v="Yes"/>
  </r>
  <r>
    <n v="2025"/>
    <s v="General Motors"/>
    <s v="Chevrolet"/>
    <s v="TRAILBLAZER AWD"/>
    <n v="1.3"/>
    <n v="3"/>
    <s v="Auto(A9)"/>
    <n v="9"/>
    <s v="All Wheel Drive"/>
    <n v="26"/>
    <n v="29"/>
    <n v="27"/>
    <x v="2"/>
    <n v="1950"/>
    <n v="5"/>
    <n v="5"/>
    <n v="342"/>
    <n v="305"/>
    <n v="329"/>
    <m/>
    <n v="250"/>
    <s v=""/>
    <s v="Turbocharged"/>
    <s v="Yes"/>
  </r>
  <r>
    <n v="2025"/>
    <s v="General Motors"/>
    <s v="Chevrolet"/>
    <s v="TRAILBLAZER FWD"/>
    <n v="1.3"/>
    <n v="3"/>
    <s v="Auto(AV)"/>
    <n v="1"/>
    <s v="2-Wheel Drive, Front"/>
    <n v="29"/>
    <n v="33"/>
    <n v="31"/>
    <x v="4"/>
    <n v="1700"/>
    <n v="6"/>
    <n v="6"/>
    <n v="307"/>
    <n v="269"/>
    <n v="287"/>
    <n v="1000"/>
    <m/>
    <s v=""/>
    <s v="Turbocharged"/>
    <s v="Yes"/>
  </r>
  <r>
    <n v="2025"/>
    <s v="General Motors"/>
    <s v="Chevrolet"/>
    <s v="TRAILBLAZER FWD"/>
    <n v="1.2"/>
    <n v="3"/>
    <s v="Auto(AV)"/>
    <n v="1"/>
    <s v="2-Wheel Drive, Front"/>
    <n v="30"/>
    <n v="31"/>
    <n v="30"/>
    <x v="4"/>
    <n v="1750"/>
    <n v="6"/>
    <n v="6"/>
    <n v="293"/>
    <n v="284"/>
    <n v="297"/>
    <n v="750"/>
    <m/>
    <s v=""/>
    <s v="Turbocharged"/>
    <s v="Yes"/>
  </r>
  <r>
    <n v="2025"/>
    <s v="General Motors"/>
    <s v="Chevrolet"/>
    <s v="TRAVERSE AWD"/>
    <n v="2.5"/>
    <n v="4"/>
    <s v="Auto(A8)"/>
    <n v="8"/>
    <s v="All Wheel Drive"/>
    <n v="19"/>
    <n v="24"/>
    <n v="21"/>
    <x v="3"/>
    <n v="2500"/>
    <n v="4"/>
    <n v="4"/>
    <n v="462"/>
    <n v="374"/>
    <n v="422"/>
    <m/>
    <n v="3000"/>
    <s v=""/>
    <s v="Turbocharged"/>
    <s v="Yes"/>
  </r>
  <r>
    <n v="2025"/>
    <s v="General Motors"/>
    <s v="Chevrolet"/>
    <s v="TRAVERSE FWD"/>
    <n v="2.5"/>
    <n v="4"/>
    <s v="Auto(A8)"/>
    <n v="8"/>
    <s v="2-Wheel Drive, Front"/>
    <n v="20"/>
    <n v="27"/>
    <n v="23"/>
    <x v="11"/>
    <n v="2300"/>
    <n v="5"/>
    <n v="5"/>
    <n v="431"/>
    <n v="334"/>
    <n v="388"/>
    <m/>
    <n v="2000"/>
    <s v=""/>
    <s v="Turbocharged"/>
    <s v="Yes"/>
  </r>
  <r>
    <n v="2025"/>
    <s v="General Motors"/>
    <s v="Chevrolet"/>
    <s v="TRAX"/>
    <n v="1.2"/>
    <n v="3"/>
    <s v="Auto(A6)"/>
    <n v="6"/>
    <s v="2-Wheel Drive, Front"/>
    <n v="28"/>
    <n v="32"/>
    <n v="30"/>
    <x v="0"/>
    <n v="1750"/>
    <n v="6"/>
    <n v="6"/>
    <n v="318"/>
    <n v="277"/>
    <n v="296"/>
    <n v="750"/>
    <m/>
    <s v=""/>
    <s v="Turbocharged"/>
    <s v="Yes"/>
  </r>
  <r>
    <n v="2025"/>
    <s v="General Motors"/>
    <s v="Chevrolet"/>
    <s v="TRAX"/>
    <n v="1.2"/>
    <n v="3"/>
    <s v="Auto(A6)"/>
    <n v="6"/>
    <s v="2-Wheel Drive, Front"/>
    <n v="28"/>
    <n v="31"/>
    <n v="29"/>
    <x v="0"/>
    <n v="1800"/>
    <n v="6"/>
    <n v="6"/>
    <n v="322"/>
    <n v="286"/>
    <n v="306"/>
    <n v="500"/>
    <m/>
    <s v=""/>
    <s v="Turbocharged"/>
    <s v="Yes"/>
  </r>
  <r>
    <n v="2025"/>
    <s v="FCA US LLC"/>
    <s v="Chrysler"/>
    <s v="Pacifica"/>
    <n v="3.6"/>
    <n v="6"/>
    <s v="Auto(A9)"/>
    <n v="9"/>
    <s v="2-Wheel Drive, Front"/>
    <n v="19"/>
    <n v="28"/>
    <n v="22"/>
    <x v="15"/>
    <n v="2400"/>
    <n v="5"/>
    <n v="5"/>
    <n v="469"/>
    <n v="317"/>
    <n v="401"/>
    <m/>
    <n v="2500"/>
    <s v=""/>
    <s v="Naturally Aspirated"/>
    <s v="Yes"/>
  </r>
  <r>
    <n v="2025"/>
    <s v="FCA US LLC"/>
    <s v="Chrysler"/>
    <s v="Pacifica AWD"/>
    <n v="3.6"/>
    <n v="6"/>
    <s v="Auto(A9)"/>
    <n v="9"/>
    <s v="All Wheel Drive"/>
    <n v="17"/>
    <n v="25"/>
    <n v="20"/>
    <x v="16"/>
    <n v="2600"/>
    <n v="4"/>
    <n v="4"/>
    <n v="531"/>
    <n v="351"/>
    <n v="450"/>
    <m/>
    <n v="3500"/>
    <s v=""/>
    <s v="Naturally Aspirated"/>
    <s v="Yes"/>
  </r>
  <r>
    <n v="2025"/>
    <s v="FCA US LLC"/>
    <s v="Chrysler"/>
    <s v="Voyager"/>
    <n v="3.6"/>
    <n v="6"/>
    <s v="Auto(A9)"/>
    <n v="9"/>
    <s v="2-Wheel Drive, Front"/>
    <n v="19"/>
    <n v="28"/>
    <n v="22"/>
    <x v="15"/>
    <n v="2400"/>
    <n v="5"/>
    <n v="5"/>
    <n v="469"/>
    <n v="317"/>
    <n v="401"/>
    <m/>
    <n v="2500"/>
    <s v=""/>
    <s v="Naturally Aspirated"/>
    <s v="Yes"/>
  </r>
  <r>
    <n v="2025"/>
    <s v="FCA US LLC"/>
    <s v="Dodge"/>
    <s v="Durango AWD"/>
    <n v="3.6"/>
    <n v="6"/>
    <s v="Auto(A8)"/>
    <n v="8"/>
    <s v="All Wheel Drive"/>
    <n v="17"/>
    <n v="24"/>
    <n v="20"/>
    <x v="3"/>
    <n v="2600"/>
    <n v="4"/>
    <n v="4"/>
    <n v="510"/>
    <n v="377"/>
    <n v="450"/>
    <m/>
    <n v="3500"/>
    <s v=""/>
    <s v="Naturally Aspirated"/>
    <s v="Yes"/>
  </r>
  <r>
    <n v="2025"/>
    <s v="FCA US LLC"/>
    <s v="Dodge"/>
    <s v="Durango AWD"/>
    <n v="5.7"/>
    <n v="8"/>
    <s v="Auto(A8)"/>
    <n v="8"/>
    <s v="All Wheel Drive"/>
    <n v="14"/>
    <n v="22"/>
    <n v="17"/>
    <x v="3"/>
    <n v="3550"/>
    <n v="3"/>
    <n v="3"/>
    <n v="633"/>
    <n v="410"/>
    <n v="533"/>
    <m/>
    <n v="8250"/>
    <s v=""/>
    <s v="Naturally Aspirated"/>
    <s v="No"/>
  </r>
  <r>
    <n v="2025"/>
    <s v="FCA US LLC"/>
    <s v="Dodge"/>
    <s v="Durango RWD"/>
    <n v="3.6"/>
    <n v="6"/>
    <s v="Auto(A8)"/>
    <n v="8"/>
    <s v="2-Wheel Drive, Rear"/>
    <n v="18"/>
    <n v="25"/>
    <n v="20"/>
    <x v="11"/>
    <n v="2600"/>
    <n v="4"/>
    <n v="4"/>
    <n v="503"/>
    <n v="361"/>
    <n v="439"/>
    <m/>
    <n v="3500"/>
    <s v=""/>
    <s v="Naturally Aspirated"/>
    <s v="Yes"/>
  </r>
  <r>
    <n v="2025"/>
    <s v="FCA US LLC"/>
    <s v="Dodge"/>
    <s v="Durango RWD"/>
    <n v="5.7"/>
    <n v="8"/>
    <s v="Auto(A8)"/>
    <n v="8"/>
    <s v="2-Wheel Drive, Rear"/>
    <n v="14"/>
    <n v="22"/>
    <n v="17"/>
    <x v="11"/>
    <n v="3550"/>
    <n v="3"/>
    <n v="3"/>
    <n v="628"/>
    <n v="399"/>
    <n v="525"/>
    <m/>
    <n v="8250"/>
    <s v=""/>
    <s v="Naturally Aspirated"/>
    <s v="No"/>
  </r>
  <r>
    <n v="2025"/>
    <s v="FCA US LLC"/>
    <s v="Dodge"/>
    <s v="Durango SRT AWD"/>
    <n v="6.2"/>
    <n v="8"/>
    <s v="Auto(A8)"/>
    <n v="8"/>
    <s v="All Wheel Drive"/>
    <n v="12"/>
    <n v="17"/>
    <n v="13"/>
    <x v="3"/>
    <n v="4900"/>
    <n v="1"/>
    <n v="1"/>
    <n v="773"/>
    <n v="520"/>
    <n v="659"/>
    <m/>
    <n v="15000"/>
    <s v=""/>
    <s v="Supercharged"/>
    <s v="No"/>
  </r>
  <r>
    <n v="2025"/>
    <s v="FCA US LLC"/>
    <s v="Dodge"/>
    <s v="Hornet AWD"/>
    <n v="2"/>
    <n v="4"/>
    <s v="Auto(A9)"/>
    <n v="9"/>
    <s v="All Wheel Drive"/>
    <n v="21"/>
    <n v="29"/>
    <n v="24"/>
    <x v="2"/>
    <n v="2200"/>
    <n v="5"/>
    <n v="5"/>
    <n v="425"/>
    <n v="308"/>
    <n v="372"/>
    <m/>
    <n v="1500"/>
    <s v=""/>
    <s v="Turbocharged"/>
    <s v="Yes"/>
  </r>
  <r>
    <n v="2025"/>
    <s v="Ferrari"/>
    <s v="Ferrari North America, Inc."/>
    <s v="F167 ABA"/>
    <n v="6.5"/>
    <n v="12"/>
    <s v="Auto(AM8)"/>
    <n v="8"/>
    <s v="2-Wheel Drive, Rear"/>
    <n v="12"/>
    <n v="19"/>
    <n v="14"/>
    <x v="8"/>
    <n v="4550"/>
    <n v="2"/>
    <n v="2"/>
    <n v="736"/>
    <n v="477"/>
    <n v="619"/>
    <m/>
    <n v="13250"/>
    <s v="G"/>
    <s v="Naturally Aspirated"/>
    <s v="Yes"/>
  </r>
  <r>
    <n v="2025"/>
    <s v="Ferrari"/>
    <s v="Ferrari North America, Inc."/>
    <s v="Ferrari Daytona SP3"/>
    <n v="6.5"/>
    <n v="12"/>
    <s v="Auto(AM7)"/>
    <n v="7"/>
    <s v="2-Wheel Drive, Rear"/>
    <n v="12"/>
    <n v="16"/>
    <n v="13"/>
    <x v="8"/>
    <n v="4900"/>
    <n v="1"/>
    <n v="1"/>
    <n v="745"/>
    <n v="556"/>
    <n v="660"/>
    <m/>
    <n v="15000"/>
    <s v="G"/>
    <s v="Naturally Aspirated"/>
    <s v="Yes"/>
  </r>
  <r>
    <n v="2025"/>
    <s v="Ferrari"/>
    <s v="Ferrari North America, Inc."/>
    <s v="Roma Spider"/>
    <n v="3.9"/>
    <n v="8"/>
    <s v="Auto(AM8)"/>
    <n v="8"/>
    <s v="2-Wheel Drive, Rear"/>
    <n v="17"/>
    <n v="22"/>
    <n v="19"/>
    <x v="7"/>
    <n v="3350"/>
    <n v="4"/>
    <n v="4"/>
    <n v="524"/>
    <n v="397"/>
    <n v="467"/>
    <m/>
    <n v="7250"/>
    <s v=""/>
    <s v="Turbocharged"/>
    <s v="Yes"/>
  </r>
  <r>
    <n v="2025"/>
    <s v="Ford Motor Company"/>
    <s v="Ford"/>
    <s v="BRONCO 4WD"/>
    <n v="2.2999999999999998"/>
    <n v="4"/>
    <s v="Auto(S10)"/>
    <n v="10"/>
    <s v="Part-time 4-Wheel Drive"/>
    <n v="18"/>
    <n v="22"/>
    <n v="20"/>
    <x v="2"/>
    <n v="2600"/>
    <n v="4"/>
    <n v="4"/>
    <n v="508"/>
    <n v="411"/>
    <n v="464"/>
    <m/>
    <n v="3500"/>
    <s v=""/>
    <s v="Turbocharged"/>
    <s v="Yes"/>
  </r>
  <r>
    <n v="2025"/>
    <s v="Ford Motor Company"/>
    <s v="Ford"/>
    <s v="BRONCO 4WD"/>
    <n v="2.7"/>
    <n v="6"/>
    <s v="Auto(S10)"/>
    <n v="10"/>
    <s v="Part-time 4-Wheel Drive"/>
    <n v="17"/>
    <n v="18"/>
    <n v="18"/>
    <x v="2"/>
    <n v="2900"/>
    <n v="4"/>
    <n v="4"/>
    <n v="523"/>
    <n v="482"/>
    <n v="494"/>
    <m/>
    <n v="5000"/>
    <s v=""/>
    <s v="Turbocharged"/>
    <s v="Yes"/>
  </r>
  <r>
    <n v="2025"/>
    <s v="Ford Motor Company"/>
    <s v="Ford"/>
    <s v="BRONCO 4WD"/>
    <n v="2.2999999999999998"/>
    <n v="4"/>
    <s v="Manual(M7)"/>
    <n v="7"/>
    <s v="Part-time 4-Wheel Drive"/>
    <n v="18"/>
    <n v="21"/>
    <n v="19"/>
    <x v="2"/>
    <n v="2750"/>
    <n v="4"/>
    <n v="4"/>
    <n v="514"/>
    <n v="412"/>
    <n v="468"/>
    <m/>
    <n v="4250"/>
    <s v=""/>
    <s v="Turbocharged"/>
    <s v="Yes"/>
  </r>
  <r>
    <n v="2025"/>
    <s v="Ford Motor Company"/>
    <s v="Ford"/>
    <s v="BRONCO 4WD"/>
    <n v="2.7"/>
    <n v="6"/>
    <s v="Auto(S10)"/>
    <n v="10"/>
    <s v="Part-time 4-Wheel Drive"/>
    <n v="17"/>
    <n v="18"/>
    <n v="18"/>
    <x v="2"/>
    <n v="2900"/>
    <n v="4"/>
    <n v="4"/>
    <n v="517"/>
    <n v="493"/>
    <n v="506"/>
    <m/>
    <n v="5000"/>
    <s v=""/>
    <s v="Turbocharged"/>
    <s v="Yes"/>
  </r>
  <r>
    <n v="2025"/>
    <s v="Ford Motor Company"/>
    <s v="Ford"/>
    <s v="BRONCO BADLANDS 4WD"/>
    <n v="2.2999999999999998"/>
    <n v="4"/>
    <s v="Auto(S10)"/>
    <n v="10"/>
    <s v="Part-time 4-Wheel Drive"/>
    <n v="17"/>
    <n v="19"/>
    <n v="18"/>
    <x v="2"/>
    <n v="2900"/>
    <n v="4"/>
    <n v="4"/>
    <n v="554"/>
    <n v="472"/>
    <n v="517"/>
    <m/>
    <n v="5000"/>
    <s v=""/>
    <s v="Turbocharged"/>
    <s v="Yes"/>
  </r>
  <r>
    <n v="2025"/>
    <s v="Ford Motor Company"/>
    <s v="Ford"/>
    <s v="BRONCO BADLANDS 4WD"/>
    <n v="2.2999999999999998"/>
    <n v="4"/>
    <s v="Manual(M7)"/>
    <n v="7"/>
    <s v="Part-time 4-Wheel Drive"/>
    <n v="17"/>
    <n v="18"/>
    <n v="17"/>
    <x v="2"/>
    <n v="3100"/>
    <n v="3"/>
    <n v="3"/>
    <n v="560"/>
    <n v="485"/>
    <n v="526"/>
    <m/>
    <n v="6000"/>
    <s v=""/>
    <s v="Turbocharged"/>
    <s v="Yes"/>
  </r>
  <r>
    <n v="2025"/>
    <s v="Ford Motor Company"/>
    <s v="Ford"/>
    <s v="BRONCO OUTER BANKS 4WD"/>
    <n v="2.7"/>
    <n v="6"/>
    <s v="Auto(S10)"/>
    <n v="10"/>
    <s v="Part-time 4-Wheel Drive"/>
    <n v="19"/>
    <n v="21"/>
    <n v="20"/>
    <x v="3"/>
    <n v="2600"/>
    <n v="4"/>
    <n v="4"/>
    <n v="471"/>
    <n v="431"/>
    <n v="453"/>
    <m/>
    <n v="3500"/>
    <s v=""/>
    <s v="Turbocharged"/>
    <s v="Yes"/>
  </r>
  <r>
    <n v="2025"/>
    <s v="Ford Motor Company"/>
    <s v="Ford"/>
    <s v="BRONCO RAPTOR 4WD"/>
    <n v="3"/>
    <n v="6"/>
    <s v="Auto(S10)"/>
    <n v="10"/>
    <s v="Part-time 4-Wheel Drive"/>
    <n v="15"/>
    <n v="16"/>
    <n v="15"/>
    <x v="3"/>
    <n v="3500"/>
    <n v="2"/>
    <n v="2"/>
    <n v="592"/>
    <n v="558"/>
    <n v="577"/>
    <m/>
    <n v="8000"/>
    <s v=""/>
    <s v="Turbocharged"/>
    <s v="Yes"/>
  </r>
  <r>
    <n v="2025"/>
    <s v="Ford Motor Company"/>
    <s v="Ford"/>
    <s v="BRONCO SASQUATCH 4WD"/>
    <n v="2.2999999999999998"/>
    <n v="4"/>
    <s v="Auto(S10)"/>
    <n v="10"/>
    <s v="Part-time 4-Wheel Drive"/>
    <n v="17"/>
    <n v="19"/>
    <n v="18"/>
    <x v="2"/>
    <n v="2900"/>
    <n v="4"/>
    <n v="4"/>
    <n v="508"/>
    <n v="411"/>
    <n v="464"/>
    <m/>
    <n v="5000"/>
    <s v=""/>
    <s v="Turbocharged"/>
    <s v="Yes"/>
  </r>
  <r>
    <n v="2025"/>
    <s v="Ford Motor Company"/>
    <s v="Ford"/>
    <s v="BRONCO SASQUATCH 4WD"/>
    <n v="2.2999999999999998"/>
    <n v="4"/>
    <s v="Manual(M7)"/>
    <n v="7"/>
    <s v="Part-time 4-Wheel Drive"/>
    <n v="17"/>
    <n v="19"/>
    <n v="18"/>
    <x v="2"/>
    <n v="2900"/>
    <n v="4"/>
    <n v="4"/>
    <n v="514"/>
    <n v="412"/>
    <n v="468"/>
    <m/>
    <n v="5000"/>
    <s v=""/>
    <s v="Turbocharged"/>
    <s v="Yes"/>
  </r>
  <r>
    <n v="2025"/>
    <s v="Ford Motor Company"/>
    <s v="Ford"/>
    <s v="BRONCO SPORT 4WD"/>
    <n v="1.5"/>
    <n v="3"/>
    <s v="Auto(A8)"/>
    <n v="8"/>
    <s v="Part-time 4-Wheel Drive"/>
    <n v="25"/>
    <n v="30"/>
    <n v="27"/>
    <x v="2"/>
    <n v="1950"/>
    <n v="5"/>
    <n v="5"/>
    <n v="350"/>
    <n v="293"/>
    <n v="324"/>
    <m/>
    <n v="250"/>
    <s v=""/>
    <s v="Turbocharged"/>
    <s v="Yes"/>
  </r>
  <r>
    <n v="2025"/>
    <s v="Ford Motor Company"/>
    <s v="Ford"/>
    <s v="BRONCO SPORT 4WD"/>
    <n v="2"/>
    <n v="4"/>
    <s v="Auto(S8)"/>
    <n v="8"/>
    <s v="4-Wheel Drive"/>
    <n v="21"/>
    <n v="27"/>
    <n v="23"/>
    <x v="2"/>
    <n v="2300"/>
    <n v="5"/>
    <n v="5"/>
    <n v="424"/>
    <n v="330"/>
    <n v="387"/>
    <m/>
    <n v="2000"/>
    <s v=""/>
    <s v="Turbocharged"/>
    <s v="Yes"/>
  </r>
  <r>
    <n v="2025"/>
    <s v="Ford Motor Company"/>
    <s v="Ford"/>
    <s v="BRONCO SPORT SASQUATCH"/>
    <n v="1.5"/>
    <n v="3"/>
    <s v="Auto(A8)"/>
    <n v="8"/>
    <s v="4-Wheel Drive"/>
    <n v="23"/>
    <n v="26"/>
    <n v="24"/>
    <x v="2"/>
    <n v="2200"/>
    <n v="5"/>
    <n v="5"/>
    <n v="387"/>
    <n v="341"/>
    <n v="370"/>
    <m/>
    <n v="1500"/>
    <s v=""/>
    <s v="Turbocharged"/>
    <s v="Yes"/>
  </r>
  <r>
    <n v="2025"/>
    <s v="Ford Motor Company"/>
    <s v="Ford"/>
    <s v="ESCAPE AWD"/>
    <n v="2"/>
    <n v="4"/>
    <s v="Auto(A8)"/>
    <n v="8"/>
    <s v="All Wheel Drive"/>
    <n v="23"/>
    <n v="31"/>
    <n v="26"/>
    <x v="2"/>
    <n v="2000"/>
    <n v="5"/>
    <n v="5"/>
    <n v="387"/>
    <n v="274"/>
    <n v="336"/>
    <m/>
    <n v="500"/>
    <s v=""/>
    <s v="Turbocharged"/>
    <s v="Yes"/>
  </r>
  <r>
    <n v="2025"/>
    <s v="Ford Motor Company"/>
    <s v="Ford"/>
    <s v="ESCAPE AWD"/>
    <n v="1.5"/>
    <n v="3"/>
    <s v="Auto(A8)"/>
    <n v="8"/>
    <s v="All Wheel Drive"/>
    <n v="26"/>
    <n v="32"/>
    <n v="28"/>
    <x v="2"/>
    <n v="1900"/>
    <n v="6"/>
    <n v="6"/>
    <n v="345"/>
    <n v="277"/>
    <n v="316"/>
    <n v="0"/>
    <m/>
    <s v=""/>
    <s v="Turbocharged"/>
    <s v="Yes"/>
  </r>
  <r>
    <n v="2025"/>
    <s v="Ford Motor Company"/>
    <s v="Ford"/>
    <s v="ESCAPE AWD HEV"/>
    <n v="2.5"/>
    <n v="4"/>
    <s v="Auto(AV)"/>
    <n v="1"/>
    <s v="Part-time 4-Wheel Drive"/>
    <n v="42"/>
    <n v="36"/>
    <n v="39"/>
    <x v="2"/>
    <n v="1350"/>
    <n v="7"/>
    <n v="7"/>
    <n v="208"/>
    <n v="246"/>
    <n v="225"/>
    <n v="2750"/>
    <m/>
    <s v=""/>
    <s v="Naturally Aspirated"/>
    <s v="Yes"/>
  </r>
  <r>
    <n v="2025"/>
    <s v="Ford Motor Company"/>
    <s v="Ford"/>
    <s v="ESCAPE FWD"/>
    <n v="1.5"/>
    <n v="3"/>
    <s v="Auto(A8)"/>
    <n v="8"/>
    <s v="2-Wheel Drive, Front"/>
    <n v="27"/>
    <n v="34"/>
    <n v="30"/>
    <x v="4"/>
    <n v="1750"/>
    <n v="6"/>
    <n v="6"/>
    <n v="333"/>
    <n v="256"/>
    <n v="298"/>
    <n v="750"/>
    <m/>
    <s v=""/>
    <s v="Turbocharged"/>
    <s v="Yes"/>
  </r>
  <r>
    <n v="2025"/>
    <s v="Ford Motor Company"/>
    <s v="Ford"/>
    <s v="ESCAPE FWD HEV"/>
    <n v="2.5"/>
    <n v="4"/>
    <s v="Auto(AV)"/>
    <n v="1"/>
    <s v="2-Wheel Drive, Front"/>
    <n v="42"/>
    <n v="36"/>
    <n v="39"/>
    <x v="4"/>
    <n v="1350"/>
    <n v="7"/>
    <n v="7"/>
    <n v="208"/>
    <n v="246"/>
    <n v="225"/>
    <n v="2750"/>
    <m/>
    <s v=""/>
    <s v="Naturally Aspirated"/>
    <s v="Yes"/>
  </r>
  <r>
    <n v="2025"/>
    <s v="Ford Motor Company"/>
    <s v="Ford"/>
    <s v="EXPEDITION 2WD"/>
    <n v="3.5"/>
    <n v="6"/>
    <s v="Auto(S10)"/>
    <n v="10"/>
    <s v="2-Wheel Drive, Rear"/>
    <n v="16"/>
    <n v="24"/>
    <n v="19"/>
    <x v="11"/>
    <n v="2750"/>
    <n v="4"/>
    <n v="4"/>
    <n v="556"/>
    <n v="370"/>
    <n v="472"/>
    <m/>
    <n v="4250"/>
    <s v=""/>
    <s v="Turbocharged"/>
    <s v="Yes"/>
  </r>
  <r>
    <n v="2025"/>
    <s v="Ford Motor Company"/>
    <s v="Ford"/>
    <s v="EXPEDITION 4WD"/>
    <n v="3.5"/>
    <n v="6"/>
    <s v="Auto(S10)"/>
    <n v="10"/>
    <s v="Part-time 4-Wheel Drive"/>
    <n v="15"/>
    <n v="22"/>
    <n v="18"/>
    <x v="3"/>
    <n v="2900"/>
    <n v="4"/>
    <n v="4"/>
    <n v="580"/>
    <n v="404"/>
    <n v="501"/>
    <m/>
    <n v="5000"/>
    <s v=""/>
    <s v="Turbocharged"/>
    <s v="Yes"/>
  </r>
  <r>
    <n v="2025"/>
    <s v="Ford Motor Company"/>
    <s v="Ford"/>
    <s v="EXPLORER AWD"/>
    <n v="3"/>
    <n v="6"/>
    <s v="Auto(S10)"/>
    <n v="10"/>
    <s v="Part-time 4-Wheel Drive"/>
    <n v="18"/>
    <n v="25"/>
    <n v="20"/>
    <x v="3"/>
    <n v="2600"/>
    <n v="4"/>
    <n v="4"/>
    <n v="503"/>
    <n v="361"/>
    <n v="439"/>
    <m/>
    <n v="3500"/>
    <s v=""/>
    <s v="Turbocharged"/>
    <s v="Yes"/>
  </r>
  <r>
    <n v="2025"/>
    <s v="Ford Motor Company"/>
    <s v="Ford"/>
    <s v="EXPLORER AWD"/>
    <n v="3"/>
    <n v="6"/>
    <s v="Auto(A10)"/>
    <n v="10"/>
    <s v="Part-time 4-Wheel Drive"/>
    <n v="18"/>
    <n v="25"/>
    <n v="21"/>
    <x v="3"/>
    <n v="2500"/>
    <n v="4"/>
    <n v="4"/>
    <n v="490"/>
    <n v="352"/>
    <n v="428"/>
    <m/>
    <n v="3000"/>
    <s v=""/>
    <s v="Turbocharged"/>
    <s v="Yes"/>
  </r>
  <r>
    <n v="2025"/>
    <s v="Ford Motor Company"/>
    <s v="Ford"/>
    <s v="EXPLORER AWD"/>
    <n v="2.2999999999999998"/>
    <n v="4"/>
    <s v="Auto(A10)"/>
    <n v="10"/>
    <s v="Part-time 4-Wheel Drive"/>
    <n v="20"/>
    <n v="27"/>
    <n v="23"/>
    <x v="3"/>
    <n v="2300"/>
    <n v="5"/>
    <n v="5"/>
    <n v="448"/>
    <n v="329"/>
    <n v="394"/>
    <m/>
    <n v="2000"/>
    <s v=""/>
    <s v="Turbocharged"/>
    <s v="Yes"/>
  </r>
  <r>
    <n v="2025"/>
    <s v="Ford Motor Company"/>
    <s v="Ford"/>
    <s v="EXPLORER RWD"/>
    <n v="3"/>
    <n v="6"/>
    <s v="Auto(S10)"/>
    <n v="10"/>
    <s v="2-Wheel Drive, Rear"/>
    <n v="18"/>
    <n v="25"/>
    <n v="21"/>
    <x v="11"/>
    <n v="2500"/>
    <n v="4"/>
    <n v="4"/>
    <n v="488"/>
    <n v="348"/>
    <n v="425"/>
    <m/>
    <n v="3000"/>
    <s v=""/>
    <s v="Turbocharged"/>
    <s v="Yes"/>
  </r>
  <r>
    <n v="2025"/>
    <s v="Ford Motor Company"/>
    <s v="Ford"/>
    <s v="EXPLORER RWD"/>
    <n v="3"/>
    <n v="6"/>
    <s v="Auto(A10)"/>
    <n v="10"/>
    <s v="2-Wheel Drive, Rear"/>
    <n v="18"/>
    <n v="25"/>
    <n v="21"/>
    <x v="11"/>
    <n v="2500"/>
    <n v="4"/>
    <n v="4"/>
    <n v="480"/>
    <n v="348"/>
    <n v="420"/>
    <m/>
    <n v="3000"/>
    <s v=""/>
    <s v="Turbocharged"/>
    <s v="Yes"/>
  </r>
  <r>
    <n v="2025"/>
    <s v="Ford Motor Company"/>
    <s v="Ford"/>
    <s v="EXPLORER RWD"/>
    <n v="2.2999999999999998"/>
    <n v="4"/>
    <s v="Auto(A10)"/>
    <n v="10"/>
    <s v="2-Wheel Drive, Rear"/>
    <n v="20"/>
    <n v="29"/>
    <n v="24"/>
    <x v="11"/>
    <n v="2200"/>
    <n v="5"/>
    <n v="5"/>
    <n v="433"/>
    <n v="308"/>
    <n v="377"/>
    <m/>
    <n v="1500"/>
    <s v=""/>
    <s v="Turbocharged"/>
    <s v="Yes"/>
  </r>
  <r>
    <n v="2025"/>
    <s v="Ford Motor Company"/>
    <s v="Ford"/>
    <s v="F150 PICKUP 2WD"/>
    <n v="3.5"/>
    <n v="6"/>
    <s v="Auto(S10)"/>
    <n v="10"/>
    <s v="2-Wheel Drive, Rear"/>
    <n v="17"/>
    <n v="25"/>
    <n v="20"/>
    <x v="12"/>
    <n v="2600"/>
    <n v="4"/>
    <n v="4"/>
    <n v="530"/>
    <n v="358"/>
    <n v="452"/>
    <m/>
    <n v="3500"/>
    <s v=""/>
    <s v="Turbocharged"/>
    <s v="Yes"/>
  </r>
  <r>
    <n v="2025"/>
    <s v="Ford Motor Company"/>
    <s v="Ford"/>
    <s v="F150 PICKUP 2WD"/>
    <n v="2.7"/>
    <n v="6"/>
    <s v="Auto(S10)"/>
    <n v="10"/>
    <s v="2-Wheel Drive, Rear"/>
    <n v="19"/>
    <n v="25"/>
    <n v="21"/>
    <x v="12"/>
    <n v="2500"/>
    <n v="4"/>
    <n v="4"/>
    <n v="480"/>
    <n v="358"/>
    <n v="425"/>
    <m/>
    <n v="3000"/>
    <s v=""/>
    <s v="Turbocharged"/>
    <s v="Yes"/>
  </r>
  <r>
    <n v="2025"/>
    <s v="Ford Motor Company"/>
    <s v="Ford"/>
    <s v="F150 PICKUP 2WD"/>
    <n v="5"/>
    <n v="8"/>
    <s v="Auto(S10)"/>
    <n v="10"/>
    <s v="2-Wheel Drive, Rear"/>
    <n v="16"/>
    <n v="24"/>
    <n v="19"/>
    <x v="12"/>
    <n v="2750"/>
    <n v="4"/>
    <n v="4"/>
    <n v="555"/>
    <n v="373"/>
    <n v="473"/>
    <m/>
    <n v="4250"/>
    <s v=""/>
    <s v="Naturally Aspirated"/>
    <s v="Yes"/>
  </r>
  <r>
    <n v="2025"/>
    <s v="Ford Motor Company"/>
    <s v="Ford"/>
    <s v="F150 PICKUP 4WD"/>
    <n v="3.5"/>
    <n v="6"/>
    <s v="Auto(S10)"/>
    <n v="10"/>
    <s v="Part-time 4-Wheel Drive"/>
    <n v="16"/>
    <n v="24"/>
    <n v="19"/>
    <x v="13"/>
    <n v="2750"/>
    <n v="4"/>
    <n v="4"/>
    <n v="548"/>
    <n v="366"/>
    <n v="467"/>
    <m/>
    <n v="4250"/>
    <s v=""/>
    <s v="Turbocharged"/>
    <s v="Yes"/>
  </r>
  <r>
    <n v="2025"/>
    <s v="Ford Motor Company"/>
    <s v="Ford"/>
    <s v="F150 PICKUP 4WD"/>
    <n v="2.7"/>
    <n v="6"/>
    <s v="Auto(S10)"/>
    <n v="10"/>
    <s v="Part-time 4-Wheel Drive"/>
    <n v="18"/>
    <n v="23"/>
    <n v="20"/>
    <x v="13"/>
    <n v="2600"/>
    <n v="4"/>
    <n v="4"/>
    <n v="494"/>
    <n v="366"/>
    <n v="437"/>
    <m/>
    <n v="3500"/>
    <s v=""/>
    <s v="Turbocharged"/>
    <s v="Yes"/>
  </r>
  <r>
    <n v="2025"/>
    <s v="Ford Motor Company"/>
    <s v="Ford"/>
    <s v="F150 PICKUP 4WD"/>
    <n v="5"/>
    <n v="8"/>
    <s v="Auto(S10)"/>
    <n v="10"/>
    <s v="Part-time 4-Wheel Drive"/>
    <n v="16"/>
    <n v="24"/>
    <n v="19"/>
    <x v="13"/>
    <n v="2750"/>
    <n v="4"/>
    <n v="4"/>
    <n v="554"/>
    <n v="377"/>
    <n v="474"/>
    <m/>
    <n v="4250"/>
    <s v=""/>
    <s v="Naturally Aspirated"/>
    <s v="Yes"/>
  </r>
  <r>
    <n v="2025"/>
    <s v="Ford Motor Company"/>
    <s v="Ford"/>
    <s v="F150 PICKUP 4WD HEV"/>
    <n v="3.5"/>
    <n v="6"/>
    <s v="Auto(S10)"/>
    <n v="10"/>
    <s v="Part-time 4-Wheel Drive"/>
    <n v="22"/>
    <n v="24"/>
    <n v="23"/>
    <x v="13"/>
    <n v="2300"/>
    <n v="5"/>
    <n v="5"/>
    <n v="397"/>
    <n v="373"/>
    <n v="386"/>
    <m/>
    <n v="2000"/>
    <s v=""/>
    <s v="Turbocharged"/>
    <s v="Yes"/>
  </r>
  <r>
    <n v="2025"/>
    <s v="Ford Motor Company"/>
    <s v="Ford"/>
    <s v="F150 PICKUP TREMOR 4WD"/>
    <n v="3.5"/>
    <n v="6"/>
    <s v="Auto(S10)"/>
    <n v="10"/>
    <s v="Part-time 4-Wheel Drive"/>
    <n v="16"/>
    <n v="21"/>
    <n v="18"/>
    <x v="13"/>
    <n v="2900"/>
    <n v="4"/>
    <n v="4"/>
    <n v="540"/>
    <n v="424"/>
    <n v="494"/>
    <m/>
    <n v="5000"/>
    <s v=""/>
    <s v="Turbocharged"/>
    <s v="Yes"/>
  </r>
  <r>
    <n v="2025"/>
    <s v="Ford Motor Company"/>
    <s v="Ford"/>
    <s v="F150 PICKUP TREMOR 4WD"/>
    <n v="5"/>
    <n v="8"/>
    <s v="Auto(S10)"/>
    <n v="10"/>
    <s v="Part-time 4-Wheel Drive"/>
    <n v="15"/>
    <n v="20"/>
    <n v="17"/>
    <x v="13"/>
    <n v="3100"/>
    <n v="3"/>
    <n v="3"/>
    <n v="592"/>
    <n v="444"/>
    <n v="523"/>
    <m/>
    <n v="6000"/>
    <s v=""/>
    <s v="Naturally Aspirated"/>
    <s v="Yes"/>
  </r>
  <r>
    <n v="2025"/>
    <s v="Ford Motor Company"/>
    <s v="Ford"/>
    <s v="F150 RAPTOR 4WD"/>
    <n v="3.5"/>
    <n v="6"/>
    <s v="Auto(S10)"/>
    <n v="10"/>
    <s v="Part-time 4-Wheel Drive"/>
    <n v="14"/>
    <n v="18"/>
    <n v="16"/>
    <x v="13"/>
    <n v="3300"/>
    <n v="3"/>
    <n v="3"/>
    <n v="626"/>
    <n v="478"/>
    <n v="559"/>
    <m/>
    <n v="7000"/>
    <s v=""/>
    <s v="Turbocharged"/>
    <s v="Yes"/>
  </r>
  <r>
    <n v="2025"/>
    <s v="Ford Motor Company"/>
    <s v="Ford"/>
    <s v="F150 RAPTOR R 4WD"/>
    <n v="5.2"/>
    <n v="8"/>
    <s v="Auto(S10)"/>
    <n v="10"/>
    <s v="Part-time 4-Wheel Drive"/>
    <n v="10"/>
    <n v="15"/>
    <n v="12"/>
    <x v="13"/>
    <n v="5300"/>
    <n v="1"/>
    <n v="1"/>
    <n v="858"/>
    <n v="598"/>
    <n v="741"/>
    <m/>
    <n v="17000"/>
    <s v=""/>
    <s v="Supercharged"/>
    <s v="No"/>
  </r>
  <r>
    <n v="2025"/>
    <s v="Ford Motor Company"/>
    <s v="Ford"/>
    <s v="MAVERICK AWD"/>
    <n v="2"/>
    <n v="4"/>
    <s v="Auto(A8)"/>
    <n v="8"/>
    <s v="Part-time 4-Wheel Drive"/>
    <n v="22"/>
    <n v="30"/>
    <n v="25"/>
    <x v="17"/>
    <n v="2100"/>
    <n v="5"/>
    <n v="5"/>
    <n v="401"/>
    <n v="296"/>
    <n v="355"/>
    <m/>
    <n v="1000"/>
    <s v=""/>
    <s v="Turbocharged"/>
    <s v="Yes"/>
  </r>
  <r>
    <n v="2025"/>
    <s v="Ford Motor Company"/>
    <s v="Ford"/>
    <s v="MAVERICK HEV AWD"/>
    <n v="2.5"/>
    <n v="4"/>
    <s v="Auto(AV)"/>
    <n v="1"/>
    <s v="Part-time 4-Wheel Drive"/>
    <n v="40"/>
    <n v="34"/>
    <n v="37"/>
    <x v="17"/>
    <n v="1400"/>
    <n v="7"/>
    <n v="7"/>
    <n v="222"/>
    <n v="261"/>
    <n v="240"/>
    <n v="2500"/>
    <m/>
    <s v=""/>
    <s v="Naturally Aspirated"/>
    <s v="Yes"/>
  </r>
  <r>
    <n v="2025"/>
    <s v="Ford Motor Company"/>
    <s v="Ford"/>
    <s v="MAVERICK HEV FWD"/>
    <n v="2.5"/>
    <n v="4"/>
    <s v="Auto(AV)"/>
    <n v="1"/>
    <s v="2-Wheel Drive, Front"/>
    <n v="42"/>
    <n v="35"/>
    <n v="38"/>
    <x v="18"/>
    <n v="1400"/>
    <n v="7"/>
    <n v="7"/>
    <n v="211"/>
    <n v="254"/>
    <n v="234"/>
    <n v="2500"/>
    <m/>
    <s v=""/>
    <s v="Naturally Aspirated"/>
    <s v="Yes"/>
  </r>
  <r>
    <n v="2025"/>
    <s v="Ford Motor Company"/>
    <s v="Ford"/>
    <s v="MAVERICK LOBO AWD"/>
    <n v="2"/>
    <n v="4"/>
    <s v="Auto(S8)"/>
    <n v="8"/>
    <s v="4-Wheel Drive"/>
    <n v="21"/>
    <n v="30"/>
    <n v="24"/>
    <x v="17"/>
    <n v="2200"/>
    <n v="5"/>
    <n v="5"/>
    <n v="423"/>
    <n v="297"/>
    <n v="370"/>
    <m/>
    <n v="1500"/>
    <s v=""/>
    <s v="Turbocharged"/>
    <s v="Yes"/>
  </r>
  <r>
    <n v="2025"/>
    <s v="Ford Motor Company"/>
    <s v="Ford"/>
    <s v="MAVERICK TREMOR AWD"/>
    <n v="2"/>
    <n v="4"/>
    <s v="Auto(S8)"/>
    <n v="8"/>
    <s v="4-Wheel Drive"/>
    <n v="21"/>
    <n v="27"/>
    <n v="23"/>
    <x v="17"/>
    <n v="2300"/>
    <n v="5"/>
    <n v="5"/>
    <n v="424"/>
    <n v="330"/>
    <n v="387"/>
    <m/>
    <n v="2000"/>
    <s v=""/>
    <s v="Turbocharged"/>
    <s v="Yes"/>
  </r>
  <r>
    <n v="2025"/>
    <s v="Ford Motor Company"/>
    <s v="Ford"/>
    <s v="MUSTANG"/>
    <n v="5"/>
    <n v="8"/>
    <s v="Auto(S10)"/>
    <n v="10"/>
    <s v="2-Wheel Drive, Rear"/>
    <n v="16"/>
    <n v="24"/>
    <n v="19"/>
    <x v="9"/>
    <n v="2750"/>
    <n v="4"/>
    <n v="4"/>
    <n v="557"/>
    <n v="371"/>
    <n v="467"/>
    <m/>
    <n v="4250"/>
    <s v=""/>
    <s v="Naturally Aspirated"/>
    <s v="Yes"/>
  </r>
  <r>
    <n v="2025"/>
    <s v="Ford Motor Company"/>
    <s v="Ford"/>
    <s v="MUSTANG"/>
    <n v="2.2999999999999998"/>
    <n v="4"/>
    <s v="Auto(A10)"/>
    <n v="10"/>
    <s v="2-Wheel Drive, Rear"/>
    <n v="22"/>
    <n v="33"/>
    <n v="26"/>
    <x v="9"/>
    <n v="2000"/>
    <n v="5"/>
    <n v="5"/>
    <n v="404"/>
    <n v="268"/>
    <n v="342"/>
    <m/>
    <n v="500"/>
    <s v=""/>
    <s v="Turbocharged"/>
    <s v="Yes"/>
  </r>
  <r>
    <n v="2025"/>
    <s v="Ford Motor Company"/>
    <s v="Ford"/>
    <s v="MUSTANG"/>
    <n v="5"/>
    <n v="8"/>
    <s v="Manual(M6)"/>
    <n v="6"/>
    <s v="2-Wheel Drive, Rear"/>
    <n v="15"/>
    <n v="23"/>
    <n v="18"/>
    <x v="9"/>
    <n v="2900"/>
    <n v="4"/>
    <n v="4"/>
    <n v="585"/>
    <n v="385"/>
    <n v="494"/>
    <m/>
    <n v="5000"/>
    <s v=""/>
    <s v="Naturally Aspirated"/>
    <s v="Yes"/>
  </r>
  <r>
    <n v="2025"/>
    <s v="Ford Motor Company"/>
    <s v="Ford"/>
    <s v="MUSTANG DARK HORSE"/>
    <n v="5"/>
    <n v="8"/>
    <s v="Auto(S10)"/>
    <n v="10"/>
    <s v="2-Wheel Drive, Rear"/>
    <n v="14"/>
    <n v="22"/>
    <n v="17"/>
    <x v="9"/>
    <n v="3100"/>
    <n v="3"/>
    <n v="3"/>
    <n v="619"/>
    <n v="407"/>
    <n v="524"/>
    <m/>
    <n v="6000"/>
    <s v="G"/>
    <s v="Naturally Aspirated"/>
    <s v="No"/>
  </r>
  <r>
    <n v="2025"/>
    <s v="Ford Motor Company"/>
    <s v="Ford"/>
    <s v="MUSTANG DARK HORSE"/>
    <n v="5"/>
    <n v="8"/>
    <s v="Manual(M6)"/>
    <n v="6"/>
    <s v="2-Wheel Drive, Rear"/>
    <n v="14"/>
    <n v="22"/>
    <n v="17"/>
    <x v="9"/>
    <n v="3100"/>
    <n v="3"/>
    <n v="3"/>
    <n v="638"/>
    <n v="405"/>
    <n v="533"/>
    <m/>
    <n v="6000"/>
    <s v="G"/>
    <s v="Naturally Aspirated"/>
    <s v="No"/>
  </r>
  <r>
    <n v="2025"/>
    <s v="Ford Motor Company"/>
    <s v="Ford"/>
    <s v="MUSTANG GTD"/>
    <n v="5.2"/>
    <n v="8"/>
    <s v="Auto(AM-S8)"/>
    <n v="8"/>
    <s v="2-Wheel Drive, Rear"/>
    <n v="10"/>
    <n v="17"/>
    <n v="12"/>
    <x v="9"/>
    <n v="4400"/>
    <n v="1"/>
    <n v="1"/>
    <n v="889"/>
    <n v="525"/>
    <n v="740"/>
    <m/>
    <n v="12500"/>
    <s v="G"/>
    <s v="Supercharged"/>
    <s v="No"/>
  </r>
  <r>
    <n v="2025"/>
    <s v="Ford Motor Company"/>
    <s v="Ford"/>
    <s v="RANGER 2WD"/>
    <n v="2.2999999999999998"/>
    <n v="4"/>
    <s v="Auto(S10)"/>
    <n v="10"/>
    <s v="2-Wheel Drive, Rear"/>
    <n v="21"/>
    <n v="26"/>
    <n v="23"/>
    <x v="12"/>
    <n v="2300"/>
    <n v="5"/>
    <n v="5"/>
    <n v="431"/>
    <n v="317"/>
    <n v="380"/>
    <m/>
    <n v="2000"/>
    <s v=""/>
    <s v="Turbocharged"/>
    <s v="Yes"/>
  </r>
  <r>
    <n v="2025"/>
    <s v="Ford Motor Company"/>
    <s v="Ford"/>
    <s v="RANGER 4WD"/>
    <n v="2.2999999999999998"/>
    <n v="4"/>
    <s v="Auto(S10)"/>
    <n v="10"/>
    <s v="Part-time 4-Wheel Drive"/>
    <n v="19"/>
    <n v="26"/>
    <n v="22"/>
    <x v="13"/>
    <n v="2400"/>
    <n v="5"/>
    <n v="5"/>
    <n v="459"/>
    <n v="339"/>
    <n v="405"/>
    <m/>
    <n v="2500"/>
    <s v=""/>
    <s v="Turbocharged"/>
    <s v="Yes"/>
  </r>
  <r>
    <n v="2025"/>
    <s v="Ford Motor Company"/>
    <s v="Ford"/>
    <s v="RANGER 4WD"/>
    <n v="2.7"/>
    <n v="6"/>
    <s v="Auto(S10)"/>
    <n v="10"/>
    <s v="Part-time 4-Wheel Drive"/>
    <n v="19"/>
    <n v="23"/>
    <n v="20"/>
    <x v="13"/>
    <n v="2600"/>
    <n v="4"/>
    <n v="4"/>
    <n v="475"/>
    <n v="378"/>
    <n v="431"/>
    <m/>
    <n v="3500"/>
    <s v=""/>
    <s v="Turbocharged"/>
    <s v="Yes"/>
  </r>
  <r>
    <n v="2025"/>
    <s v="Ford Motor Company"/>
    <s v="Ford"/>
    <s v="RANGER RAPTOR 4WD"/>
    <n v="3"/>
    <n v="6"/>
    <s v="Auto(S10)"/>
    <n v="10"/>
    <s v="Part-time 4-Wheel Drive"/>
    <n v="16"/>
    <n v="18"/>
    <n v="17"/>
    <x v="13"/>
    <n v="3100"/>
    <n v="3"/>
    <n v="3"/>
    <n v="561"/>
    <n v="482"/>
    <n v="525"/>
    <m/>
    <n v="6000"/>
    <s v=""/>
    <s v="Turbocharged"/>
    <s v="Yes"/>
  </r>
  <r>
    <n v="2025"/>
    <s v="Hyundai"/>
    <s v="GENESIS"/>
    <s v="G70 AWD"/>
    <n v="3.3"/>
    <n v="6"/>
    <s v="Auto(S8)"/>
    <n v="8"/>
    <s v="All Wheel Drive"/>
    <n v="17"/>
    <n v="23"/>
    <n v="19"/>
    <x v="5"/>
    <n v="3350"/>
    <n v="4"/>
    <n v="4"/>
    <n v="528"/>
    <n v="389"/>
    <n v="466"/>
    <m/>
    <n v="7250"/>
    <s v=""/>
    <s v="Turbocharged"/>
    <s v="No"/>
  </r>
  <r>
    <n v="2025"/>
    <s v="Hyundai"/>
    <s v="GENESIS"/>
    <s v="G70 AWD"/>
    <n v="2.5"/>
    <n v="4"/>
    <s v="Auto(S8)"/>
    <n v="8"/>
    <s v="All Wheel Drive"/>
    <n v="20"/>
    <n v="28"/>
    <n v="23"/>
    <x v="5"/>
    <n v="2750"/>
    <n v="5"/>
    <n v="5"/>
    <n v="440"/>
    <n v="319"/>
    <n v="385"/>
    <m/>
    <n v="4250"/>
    <s v=""/>
    <s v="Turbocharged"/>
    <s v="No"/>
  </r>
  <r>
    <n v="2025"/>
    <s v="Hyundai"/>
    <s v="GENESIS"/>
    <s v="G70 RWD"/>
    <n v="3.3"/>
    <n v="6"/>
    <s v="Auto(S8)"/>
    <n v="8"/>
    <s v="2-Wheel Drive, Rear"/>
    <n v="17"/>
    <n v="25"/>
    <n v="20"/>
    <x v="5"/>
    <n v="3200"/>
    <n v="4"/>
    <n v="4"/>
    <n v="526"/>
    <n v="355"/>
    <n v="449"/>
    <m/>
    <n v="6500"/>
    <s v=""/>
    <s v="Turbocharged"/>
    <s v="No"/>
  </r>
  <r>
    <n v="2025"/>
    <s v="Hyundai"/>
    <s v="GENESIS"/>
    <s v="G70 RWD"/>
    <n v="2.5"/>
    <n v="4"/>
    <s v="Auto(S8)"/>
    <n v="8"/>
    <s v="2-Wheel Drive, Rear"/>
    <n v="21"/>
    <n v="29"/>
    <n v="24"/>
    <x v="5"/>
    <n v="2650"/>
    <n v="5"/>
    <n v="5"/>
    <n v="429"/>
    <n v="304"/>
    <n v="373"/>
    <m/>
    <n v="3750"/>
    <s v=""/>
    <s v="Turbocharged"/>
    <s v="No"/>
  </r>
  <r>
    <n v="2025"/>
    <s v="Hyundai"/>
    <s v="GENESIS"/>
    <s v="G80 AWD"/>
    <n v="2.5"/>
    <n v="4"/>
    <s v="Auto(S8)"/>
    <n v="8"/>
    <s v="All Wheel Drive"/>
    <n v="20"/>
    <n v="29"/>
    <n v="24"/>
    <x v="1"/>
    <n v="2650"/>
    <n v="5"/>
    <n v="5"/>
    <n v="438"/>
    <n v="303"/>
    <n v="377"/>
    <m/>
    <n v="3750"/>
    <s v=""/>
    <s v="Turbocharged"/>
    <s v="Yes"/>
  </r>
  <r>
    <n v="2025"/>
    <s v="Hyundai"/>
    <s v="GENESIS"/>
    <s v="G80 AWD"/>
    <n v="3.5"/>
    <n v="6"/>
    <s v="Auto(S8)"/>
    <n v="8"/>
    <s v="All Wheel Drive"/>
    <n v="16"/>
    <n v="24"/>
    <n v="19"/>
    <x v="1"/>
    <n v="3350"/>
    <n v="4"/>
    <n v="4"/>
    <n v="562"/>
    <n v="366"/>
    <n v="474"/>
    <m/>
    <n v="7250"/>
    <s v=""/>
    <s v="Turbocharged"/>
    <s v="Yes"/>
  </r>
  <r>
    <n v="2025"/>
    <s v="Hyundai"/>
    <s v="GENESIS"/>
    <s v="G90 AWD"/>
    <n v="3.5"/>
    <n v="6"/>
    <s v="Auto(S8)"/>
    <n v="8"/>
    <s v="All Wheel Drive"/>
    <n v="18"/>
    <n v="26"/>
    <n v="21"/>
    <x v="1"/>
    <n v="3050"/>
    <n v="4"/>
    <n v="4"/>
    <n v="491"/>
    <n v="347"/>
    <n v="426"/>
    <m/>
    <n v="5750"/>
    <s v=""/>
    <s v="Turbocharged"/>
    <s v="Yes"/>
  </r>
  <r>
    <n v="2025"/>
    <s v="Hyundai"/>
    <s v="GENESIS"/>
    <s v="G90 MHEV"/>
    <n v="3.5"/>
    <n v="6"/>
    <s v="Auto(S8)"/>
    <n v="8"/>
    <s v="All Wheel Drive"/>
    <n v="17"/>
    <n v="24"/>
    <n v="20"/>
    <x v="1"/>
    <n v="3200"/>
    <n v="4"/>
    <n v="4"/>
    <n v="505"/>
    <n v="363"/>
    <n v="441"/>
    <m/>
    <n v="6500"/>
    <s v=""/>
    <s v="Turbocharged+Supercharged"/>
    <s v="Yes"/>
  </r>
  <r>
    <n v="2025"/>
    <s v="Hyundai"/>
    <s v="GENESIS"/>
    <s v="GV70 AWD"/>
    <n v="2.5"/>
    <n v="4"/>
    <s v="Auto(S8)"/>
    <n v="8"/>
    <s v="All Wheel Drive"/>
    <n v="19"/>
    <n v="26"/>
    <n v="22"/>
    <x v="2"/>
    <n v="2900"/>
    <n v="5"/>
    <n v="5"/>
    <n v="457"/>
    <n v="347"/>
    <n v="408"/>
    <m/>
    <n v="5000"/>
    <s v=""/>
    <s v="Turbocharged"/>
    <s v="Yes"/>
  </r>
  <r>
    <n v="2025"/>
    <s v="Hyundai"/>
    <s v="GENESIS"/>
    <s v="GV70 AWD"/>
    <n v="2.5"/>
    <n v="4"/>
    <s v="Auto(S8)"/>
    <n v="8"/>
    <s v="All Wheel Drive"/>
    <n v="22"/>
    <n v="28"/>
    <n v="24"/>
    <x v="2"/>
    <n v="2650"/>
    <n v="5"/>
    <n v="5"/>
    <n v="409"/>
    <n v="320"/>
    <n v="369"/>
    <m/>
    <n v="3750"/>
    <s v=""/>
    <s v="Turbocharged"/>
    <s v="Yes"/>
  </r>
  <r>
    <n v="2025"/>
    <s v="Hyundai"/>
    <s v="GENESIS"/>
    <s v="GV70 AWD"/>
    <n v="3.5"/>
    <n v="6"/>
    <s v="Auto(S8)"/>
    <n v="8"/>
    <s v="All Wheel Drive"/>
    <n v="18"/>
    <n v="24"/>
    <n v="20"/>
    <x v="2"/>
    <n v="3200"/>
    <n v="4"/>
    <n v="4"/>
    <n v="492"/>
    <n v="379"/>
    <n v="441"/>
    <m/>
    <n v="6500"/>
    <s v=""/>
    <s v="Turbocharged"/>
    <s v="Yes"/>
  </r>
  <r>
    <n v="2025"/>
    <s v="Hyundai"/>
    <s v="GENESIS"/>
    <s v="GV80 AWD"/>
    <n v="2.5"/>
    <n v="4"/>
    <s v="Auto(S8)"/>
    <n v="8"/>
    <s v="All Wheel Drive"/>
    <n v="19"/>
    <n v="24"/>
    <n v="21"/>
    <x v="3"/>
    <n v="3050"/>
    <n v="4"/>
    <n v="4"/>
    <n v="474"/>
    <n v="369"/>
    <n v="427"/>
    <m/>
    <n v="5750"/>
    <s v=""/>
    <s v="Turbocharged"/>
    <s v="Yes"/>
  </r>
  <r>
    <n v="2025"/>
    <s v="Hyundai"/>
    <s v="GENESIS"/>
    <s v="GV80 AWD"/>
    <n v="3.5"/>
    <n v="6"/>
    <s v="Auto(S8)"/>
    <n v="8"/>
    <s v="All Wheel Drive"/>
    <n v="16"/>
    <n v="22"/>
    <n v="19"/>
    <x v="3"/>
    <n v="3350"/>
    <n v="4"/>
    <n v="4"/>
    <n v="542"/>
    <n v="404"/>
    <n v="480"/>
    <m/>
    <n v="7250"/>
    <s v=""/>
    <s v="Turbocharged"/>
    <s v="Yes"/>
  </r>
  <r>
    <n v="2025"/>
    <s v="Hyundai"/>
    <s v="GENESIS"/>
    <s v="GV80 MHEV"/>
    <n v="3.5"/>
    <n v="6"/>
    <s v="Auto(S8)"/>
    <n v="8"/>
    <s v="All Wheel Drive"/>
    <n v="18"/>
    <n v="22"/>
    <n v="20"/>
    <x v="3"/>
    <n v="3200"/>
    <n v="4"/>
    <n v="4"/>
    <n v="497"/>
    <n v="405"/>
    <n v="455"/>
    <m/>
    <n v="6500"/>
    <s v=""/>
    <s v="Turbocharged+Supercharged"/>
    <s v="Yes"/>
  </r>
  <r>
    <n v="2025"/>
    <s v="General Motors"/>
    <s v="GMC"/>
    <s v="ACADIA AWD"/>
    <n v="2.5"/>
    <n v="4"/>
    <s v="Auto(A8)"/>
    <n v="8"/>
    <s v="All Wheel Drive"/>
    <n v="19"/>
    <n v="24"/>
    <n v="21"/>
    <x v="3"/>
    <n v="2500"/>
    <n v="4"/>
    <n v="4"/>
    <n v="462"/>
    <n v="374"/>
    <n v="422"/>
    <m/>
    <n v="3000"/>
    <s v=""/>
    <s v="Turbocharged"/>
    <s v="Yes"/>
  </r>
  <r>
    <n v="2025"/>
    <s v="General Motors"/>
    <s v="GMC"/>
    <s v="ACADIA FWD"/>
    <n v="2.5"/>
    <n v="4"/>
    <s v="Auto(A8)"/>
    <n v="8"/>
    <s v="2-Wheel Drive, Front"/>
    <n v="20"/>
    <n v="27"/>
    <n v="23"/>
    <x v="11"/>
    <n v="2300"/>
    <n v="5"/>
    <n v="5"/>
    <n v="431"/>
    <n v="334"/>
    <n v="387"/>
    <m/>
    <n v="2000"/>
    <s v=""/>
    <s v="Turbocharged"/>
    <s v="Yes"/>
  </r>
  <r>
    <n v="2025"/>
    <s v="General Motors"/>
    <s v="GMC"/>
    <s v="CANYON 2WD"/>
    <n v="2.7"/>
    <n v="4"/>
    <s v="Auto(A8)"/>
    <n v="8"/>
    <s v="2-Wheel Drive, Rear"/>
    <n v="19"/>
    <n v="23"/>
    <n v="20"/>
    <x v="12"/>
    <n v="2600"/>
    <n v="4"/>
    <n v="4"/>
    <n v="472"/>
    <n v="388"/>
    <n v="434"/>
    <m/>
    <n v="3500"/>
    <s v=""/>
    <s v="Turbocharged"/>
    <s v="Yes"/>
  </r>
  <r>
    <n v="2025"/>
    <s v="General Motors"/>
    <s v="GMC"/>
    <s v="CANYON 4WD"/>
    <n v="2.7"/>
    <n v="4"/>
    <s v="Auto(A8)"/>
    <n v="8"/>
    <s v="4-Wheel Drive"/>
    <n v="17"/>
    <n v="21"/>
    <n v="19"/>
    <x v="13"/>
    <n v="2750"/>
    <n v="4"/>
    <n v="4"/>
    <n v="520"/>
    <n v="446"/>
    <n v="487"/>
    <m/>
    <n v="4250"/>
    <s v=""/>
    <s v="Turbocharged"/>
    <s v="Yes"/>
  </r>
  <r>
    <n v="2025"/>
    <s v="General Motors"/>
    <s v="GMC"/>
    <s v="CANYON AT4X 4WD"/>
    <n v="2.7"/>
    <n v="4"/>
    <s v="Auto(A8)"/>
    <n v="8"/>
    <s v="4-Wheel Drive"/>
    <n v="17"/>
    <n v="17"/>
    <n v="17"/>
    <x v="13"/>
    <n v="3100"/>
    <n v="3"/>
    <n v="3"/>
    <n v="531"/>
    <n v="522"/>
    <n v="527"/>
    <m/>
    <n v="6000"/>
    <s v=""/>
    <s v="Turbocharged"/>
    <s v="Yes"/>
  </r>
  <r>
    <n v="2025"/>
    <s v="General Motors"/>
    <s v="GMC"/>
    <s v="CANYON AT4X AEV 4WD"/>
    <n v="2.7"/>
    <n v="4"/>
    <s v="Auto(A8)"/>
    <n v="8"/>
    <s v="4-Wheel Drive"/>
    <n v="16"/>
    <n v="16"/>
    <n v="16"/>
    <x v="13"/>
    <n v="3300"/>
    <n v="3"/>
    <n v="3"/>
    <n v="559"/>
    <n v="570"/>
    <n v="564"/>
    <m/>
    <n v="7000"/>
    <s v=""/>
    <s v="Turbocharged"/>
    <s v="Yes"/>
  </r>
  <r>
    <n v="2025"/>
    <s v="General Motors"/>
    <s v="GMC"/>
    <s v="SIERRA 2WD"/>
    <n v="3"/>
    <n v="6"/>
    <s v="Auto(A10)"/>
    <n v="10"/>
    <s v="2-Wheel Drive, Rear"/>
    <n v="23"/>
    <n v="29"/>
    <n v="26"/>
    <x v="12"/>
    <n v="2350"/>
    <n v="5"/>
    <n v="5"/>
    <n v="434"/>
    <n v="356"/>
    <n v="399"/>
    <m/>
    <n v="2250"/>
    <s v=""/>
    <s v="Turbocharged"/>
    <s v="Yes"/>
  </r>
  <r>
    <n v="2025"/>
    <s v="General Motors"/>
    <s v="GMC"/>
    <s v="SIERRA 2WD"/>
    <n v="2.7"/>
    <n v="4"/>
    <s v="Auto(A8)"/>
    <n v="8"/>
    <s v="2-Wheel Drive, Rear"/>
    <n v="18"/>
    <n v="21"/>
    <n v="19"/>
    <x v="12"/>
    <n v="2750"/>
    <n v="4"/>
    <n v="4"/>
    <n v="503"/>
    <n v="426"/>
    <n v="468"/>
    <m/>
    <n v="4250"/>
    <s v=""/>
    <s v="Turbocharged"/>
    <s v="Yes"/>
  </r>
  <r>
    <n v="2025"/>
    <s v="General Motors"/>
    <s v="GMC"/>
    <s v="SIERRA 2WD"/>
    <n v="2.7"/>
    <n v="4"/>
    <s v="Auto(A8)"/>
    <n v="8"/>
    <s v="2-Wheel Drive, Rear"/>
    <n v="17"/>
    <n v="21"/>
    <n v="19"/>
    <x v="12"/>
    <n v="2750"/>
    <n v="4"/>
    <n v="4"/>
    <n v="506"/>
    <n v="426"/>
    <n v="470"/>
    <m/>
    <n v="4250"/>
    <s v=""/>
    <s v="Turbocharged"/>
    <s v="Yes"/>
  </r>
  <r>
    <n v="2025"/>
    <s v="General Motors"/>
    <s v="GMC"/>
    <s v="SIERRA 2WD"/>
    <n v="5.3"/>
    <n v="8"/>
    <s v="Auto(A10)"/>
    <n v="10"/>
    <s v="2-Wheel Drive, Rear"/>
    <n v="16"/>
    <n v="21"/>
    <n v="18"/>
    <x v="12"/>
    <n v="2900"/>
    <n v="4"/>
    <n v="4"/>
    <n v="554"/>
    <n v="423"/>
    <n v="495"/>
    <m/>
    <n v="5000"/>
    <s v=""/>
    <s v="Naturally Aspirated"/>
    <s v="Yes"/>
  </r>
  <r>
    <n v="2025"/>
    <s v="General Motors"/>
    <s v="GMC"/>
    <s v="SIERRA 2WD"/>
    <n v="5.3"/>
    <n v="8"/>
    <s v="Auto(A10)"/>
    <n v="10"/>
    <s v="2-Wheel Drive, Rear"/>
    <n v="16"/>
    <n v="20"/>
    <n v="17"/>
    <x v="12"/>
    <n v="3100"/>
    <n v="3"/>
    <n v="3"/>
    <n v="559"/>
    <n v="442"/>
    <n v="507"/>
    <m/>
    <n v="6000"/>
    <s v=""/>
    <s v="Naturally Aspirated"/>
    <s v="Yes"/>
  </r>
  <r>
    <n v="2025"/>
    <s v="General Motors"/>
    <s v="GMC"/>
    <s v="SIERRA 2WD CAB CHASSIS"/>
    <n v="5.3"/>
    <n v="8"/>
    <s v="Auto(A10)"/>
    <n v="10"/>
    <s v="2-Wheel Drive, Rear"/>
    <n v="15"/>
    <n v="18"/>
    <n v="16"/>
    <x v="14"/>
    <n v="3300"/>
    <n v="3"/>
    <n v="3"/>
    <n v="589"/>
    <n v="504"/>
    <n v="551"/>
    <m/>
    <n v="7000"/>
    <s v=""/>
    <s v="Naturally Aspirated"/>
    <s v="Yes"/>
  </r>
  <r>
    <n v="2025"/>
    <s v="General Motors"/>
    <s v="GMC"/>
    <s v="SIERRA 4WD"/>
    <n v="3"/>
    <n v="6"/>
    <s v="Auto(A10)"/>
    <n v="10"/>
    <s v="4-Wheel Drive"/>
    <n v="22"/>
    <n v="26"/>
    <n v="24"/>
    <x v="13"/>
    <n v="2550"/>
    <n v="5"/>
    <n v="4"/>
    <n v="459"/>
    <n v="391"/>
    <n v="428"/>
    <m/>
    <n v="3250"/>
    <s v=""/>
    <s v="Turbocharged"/>
    <s v="Yes"/>
  </r>
  <r>
    <n v="2025"/>
    <s v="General Motors"/>
    <s v="GMC"/>
    <s v="SIERRA 4WD"/>
    <n v="2.7"/>
    <n v="4"/>
    <s v="Auto(A8)"/>
    <n v="8"/>
    <s v="4-Wheel Drive"/>
    <n v="17"/>
    <n v="18"/>
    <n v="17"/>
    <x v="13"/>
    <n v="3100"/>
    <n v="3"/>
    <n v="3"/>
    <n v="537"/>
    <n v="489"/>
    <n v="516"/>
    <m/>
    <n v="6000"/>
    <s v=""/>
    <s v="Turbocharged"/>
    <s v="Yes"/>
  </r>
  <r>
    <n v="2025"/>
    <s v="General Motors"/>
    <s v="GMC"/>
    <s v="SIERRA 4WD"/>
    <n v="2.7"/>
    <n v="4"/>
    <s v="Auto(A8)"/>
    <n v="8"/>
    <s v="4-Wheel Drive"/>
    <n v="17"/>
    <n v="19"/>
    <n v="18"/>
    <x v="13"/>
    <n v="2900"/>
    <n v="4"/>
    <n v="4"/>
    <n v="522"/>
    <n v="463"/>
    <n v="496"/>
    <m/>
    <n v="5000"/>
    <s v=""/>
    <s v="Turbocharged"/>
    <s v="Yes"/>
  </r>
  <r>
    <n v="2025"/>
    <s v="General Motors"/>
    <s v="GMC"/>
    <s v="SIERRA 4WD"/>
    <n v="5.3"/>
    <n v="8"/>
    <s v="Auto(A10)"/>
    <n v="10"/>
    <s v="4-Wheel Drive"/>
    <n v="15"/>
    <n v="19"/>
    <n v="17"/>
    <x v="13"/>
    <n v="3100"/>
    <n v="3"/>
    <n v="3"/>
    <n v="576"/>
    <n v="462"/>
    <n v="524"/>
    <m/>
    <n v="6000"/>
    <s v=""/>
    <s v="Naturally Aspirated"/>
    <s v="No"/>
  </r>
  <r>
    <n v="2025"/>
    <s v="General Motors"/>
    <s v="GMC"/>
    <s v="SIERRA 4WD"/>
    <n v="6.2"/>
    <n v="8"/>
    <s v="Auto(A10)"/>
    <n v="10"/>
    <s v="4-Wheel Drive"/>
    <n v="15"/>
    <n v="19"/>
    <n v="16"/>
    <x v="13"/>
    <n v="4000"/>
    <n v="3"/>
    <n v="3"/>
    <n v="606"/>
    <n v="457"/>
    <n v="539"/>
    <m/>
    <n v="10500"/>
    <s v=""/>
    <s v="Naturally Aspirated"/>
    <s v="Yes"/>
  </r>
  <r>
    <n v="2025"/>
    <s v="General Motors"/>
    <s v="GMC"/>
    <s v="SIERRA 4WD"/>
    <n v="5.3"/>
    <n v="8"/>
    <s v="Auto(A10)"/>
    <n v="10"/>
    <s v="4-Wheel Drive"/>
    <n v="15"/>
    <n v="19"/>
    <n v="16"/>
    <x v="13"/>
    <n v="3300"/>
    <n v="3"/>
    <n v="3"/>
    <n v="604"/>
    <n v="475"/>
    <n v="546"/>
    <m/>
    <n v="7000"/>
    <s v=""/>
    <s v="Naturally Aspirated"/>
    <s v="No"/>
  </r>
  <r>
    <n v="2025"/>
    <s v="General Motors"/>
    <s v="GMC"/>
    <s v="SIERRA 4WD"/>
    <n v="5.3"/>
    <n v="8"/>
    <s v="Auto(A10)"/>
    <n v="10"/>
    <s v="4-Wheel Drive"/>
    <n v="15"/>
    <n v="19"/>
    <n v="17"/>
    <x v="13"/>
    <n v="3100"/>
    <n v="3"/>
    <n v="3"/>
    <n v="571"/>
    <n v="470"/>
    <n v="526"/>
    <m/>
    <n v="6000"/>
    <s v=""/>
    <s v="Naturally Aspirated"/>
    <s v="Yes"/>
  </r>
  <r>
    <n v="2025"/>
    <s v="General Motors"/>
    <s v="GMC"/>
    <s v="SIERRA 4WD"/>
    <n v="5.3"/>
    <n v="8"/>
    <s v="Auto(A10)"/>
    <n v="10"/>
    <s v="4-Wheel Drive"/>
    <n v="15"/>
    <n v="19"/>
    <n v="17"/>
    <x v="13"/>
    <n v="3100"/>
    <n v="3"/>
    <n v="3"/>
    <n v="580"/>
    <n v="479"/>
    <n v="535"/>
    <m/>
    <n v="6000"/>
    <s v=""/>
    <s v="Naturally Aspirated"/>
    <s v="Yes"/>
  </r>
  <r>
    <n v="2025"/>
    <s v="General Motors"/>
    <s v="GMC"/>
    <s v="SIERRA 4WD AT4X"/>
    <n v="3"/>
    <n v="6"/>
    <s v="Auto(A10)"/>
    <n v="10"/>
    <s v="4-Wheel Drive"/>
    <n v="19"/>
    <n v="20"/>
    <n v="19"/>
    <x v="13"/>
    <n v="3250"/>
    <n v="4"/>
    <n v="3"/>
    <n v="530"/>
    <n v="516"/>
    <n v="524"/>
    <m/>
    <n v="6750"/>
    <s v=""/>
    <s v="Turbocharged"/>
    <s v="Yes"/>
  </r>
  <r>
    <n v="2025"/>
    <s v="General Motors"/>
    <s v="GMC"/>
    <s v="SIERRA 4WD AT4X"/>
    <n v="6.2"/>
    <n v="8"/>
    <s v="Auto(A10)"/>
    <n v="10"/>
    <s v="4-Wheel Drive"/>
    <n v="14"/>
    <n v="16"/>
    <n v="15"/>
    <x v="13"/>
    <n v="4250"/>
    <n v="2"/>
    <n v="2"/>
    <n v="638"/>
    <n v="557"/>
    <n v="601"/>
    <m/>
    <n v="11750"/>
    <s v=""/>
    <s v="Naturally Aspirated"/>
    <s v="Yes"/>
  </r>
  <r>
    <n v="2025"/>
    <s v="General Motors"/>
    <s v="GMC"/>
    <s v="SIERRA 4WD CAB CHASSIS"/>
    <n v="5.3"/>
    <n v="8"/>
    <s v="Auto(A10)"/>
    <n v="10"/>
    <s v="4-Wheel Drive"/>
    <n v="14"/>
    <n v="16"/>
    <n v="15"/>
    <x v="14"/>
    <n v="3500"/>
    <n v="2"/>
    <n v="2"/>
    <n v="633"/>
    <n v="542"/>
    <n v="592"/>
    <m/>
    <n v="8000"/>
    <s v=""/>
    <s v="Naturally Aspirated"/>
    <s v="Yes"/>
  </r>
  <r>
    <n v="2025"/>
    <s v="General Motors"/>
    <s v="GMC"/>
    <s v="SIERRA 4WD MUD TERRAIN TIRES"/>
    <n v="3"/>
    <n v="6"/>
    <s v="Auto(A10)"/>
    <n v="10"/>
    <s v="4-Wheel Drive"/>
    <n v="21"/>
    <n v="24"/>
    <n v="23"/>
    <x v="13"/>
    <n v="2650"/>
    <n v="5"/>
    <n v="4"/>
    <n v="475"/>
    <n v="420"/>
    <n v="450"/>
    <m/>
    <n v="3750"/>
    <s v=""/>
    <s v="Turbocharged"/>
    <s v="Yes"/>
  </r>
  <r>
    <n v="2025"/>
    <s v="General Motors"/>
    <s v="GMC"/>
    <s v="SIERRA 4WD MUD TERRAIN TIRES"/>
    <n v="2.7"/>
    <n v="4"/>
    <s v="Auto(A8)"/>
    <n v="8"/>
    <s v="4-Wheel Drive"/>
    <n v="16"/>
    <n v="17"/>
    <n v="16"/>
    <x v="13"/>
    <n v="3300"/>
    <n v="3"/>
    <n v="3"/>
    <n v="552"/>
    <n v="521"/>
    <n v="538"/>
    <m/>
    <n v="7000"/>
    <s v=""/>
    <s v="Turbocharged"/>
    <s v="Yes"/>
  </r>
  <r>
    <n v="2025"/>
    <s v="General Motors"/>
    <s v="GMC"/>
    <s v="SIERRA 4WD MUD TERRAIN TIRES"/>
    <n v="5.3"/>
    <n v="8"/>
    <s v="Auto(A10)"/>
    <n v="10"/>
    <s v="4-Wheel Drive"/>
    <n v="15"/>
    <n v="19"/>
    <n v="17"/>
    <x v="13"/>
    <n v="3100"/>
    <n v="3"/>
    <n v="3"/>
    <n v="576"/>
    <n v="462"/>
    <n v="524"/>
    <m/>
    <n v="6000"/>
    <s v=""/>
    <s v="Naturally Aspirated"/>
    <s v="No"/>
  </r>
  <r>
    <n v="2025"/>
    <s v="General Motors"/>
    <s v="GMC"/>
    <s v="SIERRA 4WD MUD TERRAIN TIRES"/>
    <n v="6.2"/>
    <n v="8"/>
    <s v="Auto(A10)"/>
    <n v="10"/>
    <s v="4-Wheel Drive"/>
    <n v="14"/>
    <n v="17"/>
    <n v="15"/>
    <x v="13"/>
    <n v="4250"/>
    <n v="2"/>
    <n v="2"/>
    <n v="636"/>
    <n v="523"/>
    <n v="593"/>
    <m/>
    <n v="11750"/>
    <s v=""/>
    <s v="Naturally Aspirated"/>
    <s v="Yes"/>
  </r>
  <r>
    <n v="2025"/>
    <s v="General Motors"/>
    <s v="GMC"/>
    <s v="SIERRA 4WD MUD TERRAIN TIRES"/>
    <n v="5.3"/>
    <n v="8"/>
    <s v="Auto(A10)"/>
    <n v="10"/>
    <s v="4-Wheel Drive"/>
    <n v="15"/>
    <n v="19"/>
    <n v="16"/>
    <x v="13"/>
    <n v="3300"/>
    <n v="3"/>
    <n v="3"/>
    <n v="604"/>
    <n v="475"/>
    <n v="546"/>
    <m/>
    <n v="7000"/>
    <s v=""/>
    <s v="Naturally Aspirated"/>
    <s v="No"/>
  </r>
  <r>
    <n v="2025"/>
    <s v="General Motors"/>
    <s v="GMC"/>
    <s v="SIERRA 4WD MUD TERRAIN TIRES"/>
    <n v="5.3"/>
    <n v="8"/>
    <s v="Auto(A10)"/>
    <n v="10"/>
    <s v="4-Wheel Drive"/>
    <n v="15"/>
    <n v="18"/>
    <n v="16"/>
    <x v="13"/>
    <n v="3300"/>
    <n v="3"/>
    <n v="3"/>
    <n v="590"/>
    <n v="499"/>
    <n v="549"/>
    <m/>
    <n v="7000"/>
    <s v=""/>
    <s v="Naturally Aspirated"/>
    <s v="Yes"/>
  </r>
  <r>
    <n v="2025"/>
    <s v="General Motors"/>
    <s v="GMC"/>
    <s v="SIERRA 4WD MUD TERRAIN TIRES"/>
    <n v="5.3"/>
    <n v="8"/>
    <s v="Auto(A10)"/>
    <n v="10"/>
    <s v="4-Wheel Drive"/>
    <n v="15"/>
    <n v="18"/>
    <n v="16"/>
    <x v="13"/>
    <n v="3300"/>
    <n v="3"/>
    <n v="3"/>
    <n v="595"/>
    <n v="502"/>
    <n v="553"/>
    <m/>
    <n v="7000"/>
    <s v=""/>
    <s v="Naturally Aspirated"/>
    <s v="Yes"/>
  </r>
  <r>
    <n v="2025"/>
    <s v="General Motors"/>
    <s v="GMC"/>
    <s v="TERRAIN AWD"/>
    <n v="1.5"/>
    <n v="4"/>
    <s v="Auto(A8)"/>
    <n v="8"/>
    <s v="All Wheel Drive"/>
    <n v="24"/>
    <n v="28"/>
    <n v="25"/>
    <x v="2"/>
    <n v="2100"/>
    <n v="5"/>
    <n v="5"/>
    <n v="377"/>
    <n v="318"/>
    <n v="356"/>
    <m/>
    <n v="1000"/>
    <s v=""/>
    <s v="Turbocharged"/>
    <s v="Yes"/>
  </r>
  <r>
    <n v="2025"/>
    <s v="General Motors"/>
    <s v="GMC"/>
    <s v="TERRAIN FWD"/>
    <n v="1.5"/>
    <n v="4"/>
    <s v="Auto(AV)"/>
    <n v="1"/>
    <s v="2-Wheel Drive, Front"/>
    <n v="26"/>
    <n v="28"/>
    <n v="27"/>
    <x v="4"/>
    <n v="1950"/>
    <n v="5"/>
    <n v="5"/>
    <n v="346"/>
    <n v="314"/>
    <n v="332"/>
    <m/>
    <n v="250"/>
    <s v=""/>
    <s v="Turbocharged"/>
    <s v="Yes"/>
  </r>
  <r>
    <n v="2025"/>
    <s v="General Motors"/>
    <s v="GMC"/>
    <s v="YUKON 2WD"/>
    <n v="6.2"/>
    <n v="8"/>
    <s v="Auto(A10)"/>
    <n v="10"/>
    <s v="2-Wheel Drive, Rear"/>
    <n v="15"/>
    <n v="20"/>
    <n v="17"/>
    <x v="11"/>
    <n v="3750"/>
    <n v="3"/>
    <n v="3"/>
    <n v="587"/>
    <n v="444"/>
    <n v="523"/>
    <m/>
    <n v="9250"/>
    <s v=""/>
    <s v="Naturally Aspirated"/>
    <s v="Yes"/>
  </r>
  <r>
    <n v="2025"/>
    <s v="General Motors"/>
    <s v="GMC"/>
    <s v="YUKON 2WD"/>
    <n v="5.3"/>
    <n v="8"/>
    <s v="Auto(A10)"/>
    <n v="10"/>
    <s v="2-Wheel Drive, Rear"/>
    <n v="15"/>
    <n v="20"/>
    <n v="17"/>
    <x v="11"/>
    <n v="3100"/>
    <n v="3"/>
    <n v="3"/>
    <n v="592"/>
    <n v="453"/>
    <n v="530"/>
    <m/>
    <n v="6000"/>
    <s v=""/>
    <s v="Naturally Aspirated"/>
    <s v="Yes"/>
  </r>
  <r>
    <n v="2025"/>
    <s v="General Motors"/>
    <s v="GMC"/>
    <s v="YUKON 2WD"/>
    <n v="3"/>
    <n v="6"/>
    <s v="Auto(A10)"/>
    <n v="10"/>
    <s v="2-Wheel Drive, Rear"/>
    <n v="21"/>
    <n v="26"/>
    <n v="23"/>
    <x v="11"/>
    <n v="2650"/>
    <n v="5"/>
    <n v="4"/>
    <n v="485"/>
    <n v="385"/>
    <n v="442"/>
    <m/>
    <n v="3750"/>
    <s v=""/>
    <s v="Turbocharged"/>
    <s v="Yes"/>
  </r>
  <r>
    <n v="2025"/>
    <s v="General Motors"/>
    <s v="GMC"/>
    <s v="YUKON 4WD"/>
    <n v="6.2"/>
    <n v="8"/>
    <s v="Auto(A10)"/>
    <n v="10"/>
    <s v="4-Wheel Drive"/>
    <n v="14"/>
    <n v="18"/>
    <n v="16"/>
    <x v="3"/>
    <n v="4000"/>
    <n v="3"/>
    <n v="3"/>
    <n v="634"/>
    <n v="495"/>
    <n v="572"/>
    <m/>
    <n v="10500"/>
    <s v=""/>
    <s v="Naturally Aspirated"/>
    <s v="Yes"/>
  </r>
  <r>
    <n v="2025"/>
    <s v="General Motors"/>
    <s v="GMC"/>
    <s v="YUKON 4WD"/>
    <n v="5.3"/>
    <n v="8"/>
    <s v="Auto(A10)"/>
    <n v="10"/>
    <s v="4-Wheel Drive"/>
    <n v="15"/>
    <n v="19"/>
    <n v="17"/>
    <x v="3"/>
    <n v="3100"/>
    <n v="3"/>
    <n v="3"/>
    <n v="594"/>
    <n v="462"/>
    <n v="535"/>
    <m/>
    <n v="6000"/>
    <s v=""/>
    <s v="Naturally Aspirated"/>
    <s v="Yes"/>
  </r>
  <r>
    <n v="2025"/>
    <s v="General Motors"/>
    <s v="GMC"/>
    <s v="YUKON 4WD"/>
    <n v="3"/>
    <n v="6"/>
    <s v="Auto(A10)"/>
    <n v="10"/>
    <s v="4-Wheel Drive"/>
    <n v="20"/>
    <n v="26"/>
    <n v="22"/>
    <x v="3"/>
    <n v="2800"/>
    <n v="5"/>
    <n v="4"/>
    <n v="504"/>
    <n v="395"/>
    <n v="455"/>
    <m/>
    <n v="4500"/>
    <s v=""/>
    <s v="Turbocharged"/>
    <s v="Yes"/>
  </r>
  <r>
    <n v="2025"/>
    <s v="General Motors"/>
    <s v="GMC"/>
    <s v="YUKON XL 2WD"/>
    <n v="6.2"/>
    <n v="8"/>
    <s v="Auto(A10)"/>
    <n v="10"/>
    <s v="2-Wheel Drive, Rear"/>
    <n v="15"/>
    <n v="19"/>
    <n v="16"/>
    <x v="11"/>
    <n v="4000"/>
    <n v="3"/>
    <n v="3"/>
    <n v="605"/>
    <n v="470"/>
    <n v="544"/>
    <m/>
    <n v="10500"/>
    <s v=""/>
    <s v="Naturally Aspirated"/>
    <s v="Yes"/>
  </r>
  <r>
    <n v="2025"/>
    <s v="General Motors"/>
    <s v="GMC"/>
    <s v="YUKON XL 2WD"/>
    <n v="5.3"/>
    <n v="8"/>
    <s v="Auto(A10)"/>
    <n v="10"/>
    <s v="2-Wheel Drive, Rear"/>
    <n v="15"/>
    <n v="20"/>
    <n v="17"/>
    <x v="11"/>
    <n v="3100"/>
    <n v="3"/>
    <n v="3"/>
    <n v="592"/>
    <n v="453"/>
    <n v="530"/>
    <m/>
    <n v="6000"/>
    <s v=""/>
    <s v="Naturally Aspirated"/>
    <s v="Yes"/>
  </r>
  <r>
    <n v="2025"/>
    <s v="General Motors"/>
    <s v="GMC"/>
    <s v="YUKON XL 2WD"/>
    <n v="3"/>
    <n v="6"/>
    <s v="Auto(A10)"/>
    <n v="10"/>
    <s v="2-Wheel Drive, Rear"/>
    <n v="21"/>
    <n v="26"/>
    <n v="23"/>
    <x v="11"/>
    <n v="2650"/>
    <n v="5"/>
    <n v="4"/>
    <n v="485"/>
    <n v="385"/>
    <n v="442"/>
    <m/>
    <n v="3750"/>
    <s v=""/>
    <s v="Turbocharged"/>
    <s v="Yes"/>
  </r>
  <r>
    <n v="2025"/>
    <s v="General Motors"/>
    <s v="GMC"/>
    <s v="YUKON XL 4WD"/>
    <n v="6.2"/>
    <n v="8"/>
    <s v="Auto(A10)"/>
    <n v="10"/>
    <s v="4-Wheel Drive"/>
    <n v="14"/>
    <n v="18"/>
    <n v="16"/>
    <x v="3"/>
    <n v="4000"/>
    <n v="3"/>
    <n v="3"/>
    <n v="634"/>
    <n v="495"/>
    <n v="572"/>
    <m/>
    <n v="10500"/>
    <s v=""/>
    <s v="Naturally Aspirated"/>
    <s v="Yes"/>
  </r>
  <r>
    <n v="2025"/>
    <s v="General Motors"/>
    <s v="GMC"/>
    <s v="YUKON XL 4WD"/>
    <n v="5.3"/>
    <n v="8"/>
    <s v="Auto(A10)"/>
    <n v="10"/>
    <s v="4-Wheel Drive"/>
    <n v="14"/>
    <n v="19"/>
    <n v="16"/>
    <x v="3"/>
    <n v="3300"/>
    <n v="3"/>
    <n v="3"/>
    <n v="645"/>
    <n v="481"/>
    <n v="571"/>
    <m/>
    <n v="7000"/>
    <s v=""/>
    <s v="Naturally Aspirated"/>
    <s v="Yes"/>
  </r>
  <r>
    <n v="2025"/>
    <s v="General Motors"/>
    <s v="GMC"/>
    <s v="YUKON XL 4WD"/>
    <n v="3"/>
    <n v="6"/>
    <s v="Auto(A10)"/>
    <n v="10"/>
    <s v="4-Wheel Drive"/>
    <n v="20"/>
    <n v="26"/>
    <n v="22"/>
    <x v="3"/>
    <n v="2800"/>
    <n v="5"/>
    <n v="4"/>
    <n v="504"/>
    <n v="395"/>
    <n v="455"/>
    <m/>
    <n v="4500"/>
    <s v=""/>
    <s v="Turbocharged"/>
    <s v="Yes"/>
  </r>
  <r>
    <n v="2025"/>
    <s v="Honda"/>
    <s v="Honda"/>
    <s v="ACCORD"/>
    <n v="1.5"/>
    <n v="4"/>
    <s v="Auto(AV)"/>
    <n v="1"/>
    <s v="2-Wheel Drive, Front"/>
    <n v="29"/>
    <n v="37"/>
    <n v="32"/>
    <x v="1"/>
    <n v="1650"/>
    <n v="6"/>
    <n v="6"/>
    <n v="306"/>
    <n v="239"/>
    <n v="277"/>
    <n v="1250"/>
    <m/>
    <s v=""/>
    <s v="Turbocharged"/>
    <s v="Yes"/>
  </r>
  <r>
    <n v="2025"/>
    <s v="Honda"/>
    <s v="Honda"/>
    <s v="ACCORD"/>
    <n v="2"/>
    <n v="4"/>
    <s v="Auto(AV)"/>
    <n v="1"/>
    <s v="2-Wheel Drive, Front"/>
    <n v="51"/>
    <n v="44"/>
    <n v="48"/>
    <x v="1"/>
    <n v="1100"/>
    <n v="8"/>
    <n v="8"/>
    <n v="172"/>
    <n v="200"/>
    <n v="184"/>
    <n v="4000"/>
    <m/>
    <s v=""/>
    <s v="Naturally Aspirated"/>
    <s v="Yes"/>
  </r>
  <r>
    <n v="2025"/>
    <s v="Honda"/>
    <s v="Honda"/>
    <s v="ACCORD SPORT/TOURING"/>
    <n v="2"/>
    <n v="4"/>
    <s v="Auto(AV)"/>
    <n v="1"/>
    <s v="2-Wheel Drive, Front"/>
    <n v="46"/>
    <n v="41"/>
    <n v="44"/>
    <x v="6"/>
    <n v="1200"/>
    <n v="7"/>
    <n v="7"/>
    <n v="192"/>
    <n v="216"/>
    <n v="201"/>
    <n v="3500"/>
    <m/>
    <s v=""/>
    <s v="Naturally Aspirated"/>
    <s v="Yes"/>
  </r>
  <r>
    <n v="2025"/>
    <s v="Honda"/>
    <s v="Honda"/>
    <s v="CIVIC 4Dr"/>
    <n v="1.5"/>
    <n v="4"/>
    <s v="Manual(M6)"/>
    <n v="6"/>
    <s v="2-Wheel Drive, Front"/>
    <n v="27"/>
    <n v="37"/>
    <n v="31"/>
    <x v="6"/>
    <n v="2050"/>
    <n v="6"/>
    <n v="6"/>
    <n v="323"/>
    <n v="239"/>
    <n v="285"/>
    <m/>
    <n v="750"/>
    <s v=""/>
    <s v="Turbocharged"/>
    <s v="Yes"/>
  </r>
  <r>
    <n v="2025"/>
    <s v="Honda"/>
    <s v="Honda"/>
    <s v="CIVIC 4Dr"/>
    <n v="2"/>
    <n v="4"/>
    <s v="Auto(AV)"/>
    <n v="1"/>
    <s v="2-Wheel Drive, Front"/>
    <n v="32"/>
    <n v="41"/>
    <n v="36"/>
    <x v="6"/>
    <n v="1450"/>
    <n v="7"/>
    <n v="7"/>
    <n v="276"/>
    <n v="215"/>
    <n v="248"/>
    <n v="2250"/>
    <m/>
    <s v=""/>
    <s v="Naturally Aspirated"/>
    <s v="Yes"/>
  </r>
  <r>
    <n v="2025"/>
    <s v="Honda"/>
    <s v="Honda"/>
    <s v="CIVIC 4Dr"/>
    <n v="2"/>
    <n v="4"/>
    <s v="Auto(AV-S7)"/>
    <n v="7"/>
    <s v="2-Wheel Drive, Front"/>
    <n v="31"/>
    <n v="39"/>
    <n v="34"/>
    <x v="6"/>
    <n v="1550"/>
    <n v="7"/>
    <n v="7"/>
    <n v="281"/>
    <n v="226"/>
    <n v="260"/>
    <n v="1750"/>
    <m/>
    <s v=""/>
    <s v="Naturally Aspirated"/>
    <s v="Yes"/>
  </r>
  <r>
    <n v="2025"/>
    <s v="Honda"/>
    <s v="Honda"/>
    <s v="CIVIC 4Dr"/>
    <n v="2"/>
    <n v="4"/>
    <s v="Auto(AV)"/>
    <n v="1"/>
    <s v="2-Wheel Drive, Front"/>
    <n v="50"/>
    <n v="47"/>
    <n v="49"/>
    <x v="6"/>
    <n v="1050"/>
    <n v="8"/>
    <n v="8"/>
    <n v="176"/>
    <n v="188"/>
    <n v="181"/>
    <n v="4250"/>
    <m/>
    <s v=""/>
    <s v="Naturally Aspirated"/>
    <s v="Yes"/>
  </r>
  <r>
    <n v="2025"/>
    <s v="Honda"/>
    <s v="Honda"/>
    <s v="CIVIC 5Dr"/>
    <n v="2"/>
    <n v="4"/>
    <s v="Auto(AV-S7)"/>
    <n v="7"/>
    <s v="2-Wheel Drive, Front"/>
    <n v="30"/>
    <n v="38"/>
    <n v="34"/>
    <x v="1"/>
    <n v="1550"/>
    <n v="7"/>
    <n v="7"/>
    <n v="286"/>
    <n v="228"/>
    <n v="260"/>
    <n v="1750"/>
    <m/>
    <s v=""/>
    <s v="Naturally Aspirated"/>
    <s v="Yes"/>
  </r>
  <r>
    <n v="2025"/>
    <s v="Honda"/>
    <s v="Honda"/>
    <s v="CIVIC 5Dr"/>
    <n v="2"/>
    <n v="4"/>
    <s v="Auto(AV)"/>
    <n v="1"/>
    <s v="2-Wheel Drive, Front"/>
    <n v="50"/>
    <n v="45"/>
    <n v="48"/>
    <x v="1"/>
    <n v="1100"/>
    <n v="8"/>
    <n v="8"/>
    <n v="177"/>
    <n v="196"/>
    <n v="186"/>
    <n v="4000"/>
    <m/>
    <s v=""/>
    <s v="Naturally Aspirated"/>
    <s v="Yes"/>
  </r>
  <r>
    <n v="2025"/>
    <s v="Honda"/>
    <s v="Honda"/>
    <s v="CIVIC 5Dr"/>
    <n v="2"/>
    <n v="4"/>
    <s v="Manual(M6)"/>
    <n v="6"/>
    <s v="2-Wheel Drive, Front"/>
    <n v="22"/>
    <n v="28"/>
    <n v="24"/>
    <x v="1"/>
    <n v="2650"/>
    <n v="5"/>
    <n v="5"/>
    <n v="404"/>
    <n v="314"/>
    <n v="364"/>
    <m/>
    <n v="3750"/>
    <s v=""/>
    <s v="Turbocharged"/>
    <s v="No"/>
  </r>
  <r>
    <n v="2025"/>
    <s v="Honda"/>
    <s v="Honda"/>
    <s v="CR-V AWD"/>
    <n v="1.5"/>
    <n v="4"/>
    <s v="Auto(AV)"/>
    <n v="1"/>
    <s v="All Wheel Drive"/>
    <n v="26"/>
    <n v="31"/>
    <n v="28"/>
    <x v="2"/>
    <n v="1900"/>
    <n v="6"/>
    <n v="6"/>
    <n v="336"/>
    <n v="282"/>
    <n v="312"/>
    <n v="0"/>
    <m/>
    <s v=""/>
    <s v="Turbocharged"/>
    <s v="Yes"/>
  </r>
  <r>
    <n v="2025"/>
    <s v="Honda"/>
    <s v="Honda"/>
    <s v="CR-V AWD"/>
    <n v="2"/>
    <n v="4"/>
    <s v="Auto(AV)"/>
    <n v="1"/>
    <s v="All Wheel Drive"/>
    <n v="40"/>
    <n v="34"/>
    <n v="37"/>
    <x v="2"/>
    <n v="1400"/>
    <n v="7"/>
    <n v="7"/>
    <n v="218"/>
    <n v="259"/>
    <n v="237"/>
    <n v="2500"/>
    <m/>
    <s v=""/>
    <s v="Naturally Aspirated"/>
    <s v="Yes"/>
  </r>
  <r>
    <n v="2025"/>
    <s v="Honda"/>
    <s v="Honda"/>
    <s v="CR-V FWD"/>
    <n v="1.5"/>
    <n v="4"/>
    <s v="Auto(AV)"/>
    <n v="1"/>
    <s v="2-Wheel Drive, Front"/>
    <n v="28"/>
    <n v="34"/>
    <n v="30"/>
    <x v="4"/>
    <n v="1750"/>
    <n v="6"/>
    <n v="6"/>
    <n v="314"/>
    <n v="260"/>
    <n v="290"/>
    <n v="750"/>
    <m/>
    <s v=""/>
    <s v="Turbocharged"/>
    <s v="Yes"/>
  </r>
  <r>
    <n v="2025"/>
    <s v="Honda"/>
    <s v="Honda"/>
    <s v="CR-V FWD"/>
    <n v="2"/>
    <n v="4"/>
    <s v="Auto(AV)"/>
    <n v="1"/>
    <s v="2-Wheel Drive, Front"/>
    <n v="43"/>
    <n v="36"/>
    <n v="40"/>
    <x v="4"/>
    <n v="1300"/>
    <n v="7"/>
    <n v="7"/>
    <n v="205"/>
    <n v="246"/>
    <n v="223"/>
    <n v="3000"/>
    <m/>
    <s v=""/>
    <s v="Naturally Aspirated"/>
    <s v="Yes"/>
  </r>
  <r>
    <n v="2025"/>
    <s v="Honda"/>
    <s v="Honda"/>
    <s v="HR-V AWD"/>
    <n v="2"/>
    <n v="4"/>
    <s v="Auto(AV)"/>
    <n v="1"/>
    <s v="All Wheel Drive"/>
    <n v="25"/>
    <n v="30"/>
    <n v="27"/>
    <x v="0"/>
    <n v="1950"/>
    <n v="5"/>
    <n v="5"/>
    <n v="354"/>
    <n v="292"/>
    <n v="326"/>
    <m/>
    <n v="250"/>
    <s v=""/>
    <s v="Naturally Aspirated"/>
    <s v="No"/>
  </r>
  <r>
    <n v="2025"/>
    <s v="Honda"/>
    <s v="Honda"/>
    <s v="HR-V FWD"/>
    <n v="2"/>
    <n v="4"/>
    <s v="Auto(AV)"/>
    <n v="1"/>
    <s v="2-Wheel Drive, Front"/>
    <n v="26"/>
    <n v="32"/>
    <n v="28"/>
    <x v="0"/>
    <n v="1900"/>
    <n v="6"/>
    <n v="6"/>
    <n v="338"/>
    <n v="278"/>
    <n v="311"/>
    <n v="0"/>
    <m/>
    <s v=""/>
    <s v="Naturally Aspirated"/>
    <s v="No"/>
  </r>
  <r>
    <n v="2025"/>
    <s v="Honda"/>
    <s v="Honda"/>
    <s v="ODYSSEY FWD"/>
    <n v="3.5"/>
    <n v="6"/>
    <s v="Auto(S10)"/>
    <n v="10"/>
    <s v="2-Wheel Drive, Front"/>
    <n v="19"/>
    <n v="28"/>
    <n v="22"/>
    <x v="15"/>
    <n v="2400"/>
    <n v="5"/>
    <n v="5"/>
    <n v="457"/>
    <n v="319"/>
    <n v="395"/>
    <m/>
    <n v="2500"/>
    <s v=""/>
    <s v="Naturally Aspirated"/>
    <s v="Yes"/>
  </r>
  <r>
    <n v="2025"/>
    <s v="Honda"/>
    <s v="Honda"/>
    <s v="PASSPORT AWD"/>
    <n v="3.5"/>
    <n v="6"/>
    <s v="Auto(S9)"/>
    <n v="9"/>
    <s v="All Wheel Drive"/>
    <n v="19"/>
    <n v="24"/>
    <n v="21"/>
    <x v="2"/>
    <n v="2500"/>
    <n v="4"/>
    <n v="4"/>
    <n v="459"/>
    <n v="364"/>
    <n v="416"/>
    <m/>
    <n v="3000"/>
    <s v=""/>
    <s v="Naturally Aspirated"/>
    <s v="Yes"/>
  </r>
  <r>
    <n v="2025"/>
    <s v="Honda"/>
    <s v="Honda"/>
    <s v="PILOT AWD"/>
    <n v="3.5"/>
    <n v="6"/>
    <s v="Auto(S10)"/>
    <n v="10"/>
    <s v="All Wheel Drive"/>
    <n v="19"/>
    <n v="25"/>
    <n v="21"/>
    <x v="3"/>
    <n v="2500"/>
    <n v="4"/>
    <n v="4"/>
    <n v="467"/>
    <n v="351"/>
    <n v="415"/>
    <m/>
    <n v="3000"/>
    <s v=""/>
    <s v="Naturally Aspirated"/>
    <s v="Yes"/>
  </r>
  <r>
    <n v="2025"/>
    <s v="Honda"/>
    <s v="Honda"/>
    <s v="Pilot AWD Touring/Elite/Black"/>
    <n v="3.5"/>
    <n v="6"/>
    <s v="Auto(S10)"/>
    <n v="10"/>
    <s v="All Wheel Drive"/>
    <n v="19"/>
    <n v="25"/>
    <n v="21"/>
    <x v="3"/>
    <n v="2500"/>
    <n v="4"/>
    <n v="4"/>
    <n v="476"/>
    <n v="356"/>
    <n v="422"/>
    <m/>
    <n v="3000"/>
    <s v=""/>
    <s v="Naturally Aspirated"/>
    <s v="Yes"/>
  </r>
  <r>
    <n v="2025"/>
    <s v="Honda"/>
    <s v="Honda"/>
    <s v="Pilot AWD TRAILSPORT"/>
    <n v="3.5"/>
    <n v="6"/>
    <s v="Auto(S10)"/>
    <n v="10"/>
    <s v="All Wheel Drive"/>
    <n v="18"/>
    <n v="23"/>
    <n v="20"/>
    <x v="3"/>
    <n v="2600"/>
    <n v="4"/>
    <n v="4"/>
    <n v="496"/>
    <n v="382"/>
    <n v="444"/>
    <m/>
    <n v="3500"/>
    <s v=""/>
    <s v="Naturally Aspirated"/>
    <s v="Yes"/>
  </r>
  <r>
    <n v="2025"/>
    <s v="Honda"/>
    <s v="Honda"/>
    <s v="PILOT FWD"/>
    <n v="3.5"/>
    <n v="6"/>
    <s v="Auto(S10)"/>
    <n v="10"/>
    <s v="2-Wheel Drive, Front"/>
    <n v="19"/>
    <n v="27"/>
    <n v="22"/>
    <x v="4"/>
    <n v="2400"/>
    <n v="5"/>
    <n v="5"/>
    <n v="465"/>
    <n v="326"/>
    <n v="402"/>
    <m/>
    <n v="2500"/>
    <s v=""/>
    <s v="Naturally Aspirated"/>
    <s v="Yes"/>
  </r>
  <r>
    <n v="2025"/>
    <s v="Honda"/>
    <s v="Honda"/>
    <s v="RIDGELINE AWD"/>
    <n v="3.5"/>
    <n v="6"/>
    <s v="Auto(S9)"/>
    <n v="9"/>
    <s v="All Wheel Drive"/>
    <n v="18"/>
    <n v="24"/>
    <n v="21"/>
    <x v="13"/>
    <n v="2500"/>
    <n v="4"/>
    <n v="4"/>
    <n v="474"/>
    <n v="375"/>
    <n v="429"/>
    <m/>
    <n v="3000"/>
    <s v=""/>
    <s v="Naturally Aspirated"/>
    <s v="Yes"/>
  </r>
  <r>
    <n v="2025"/>
    <s v="Honda"/>
    <s v="Honda"/>
    <s v="RIDGELINE AWD TrailSport"/>
    <n v="3.5"/>
    <n v="6"/>
    <s v="Auto(S9)"/>
    <n v="9"/>
    <s v="All Wheel Drive"/>
    <n v="18"/>
    <n v="23"/>
    <n v="20"/>
    <x v="13"/>
    <n v="2600"/>
    <n v="4"/>
    <n v="4"/>
    <n v="496"/>
    <n v="386"/>
    <n v="446"/>
    <m/>
    <n v="3500"/>
    <s v=""/>
    <s v="Naturally Aspirated"/>
    <s v="Yes"/>
  </r>
  <r>
    <n v="2025"/>
    <s v="Hyundai"/>
    <s v="HYUNDAI MOTOR COMPANY"/>
    <s v="Elantra"/>
    <n v="2"/>
    <n v="4"/>
    <s v="Auto(AV-S1)"/>
    <n v="1"/>
    <s v="2-Wheel Drive, Front"/>
    <n v="30"/>
    <n v="39"/>
    <n v="34"/>
    <x v="6"/>
    <n v="1550"/>
    <n v="7"/>
    <n v="7"/>
    <n v="292"/>
    <n v="228"/>
    <n v="263"/>
    <n v="1750"/>
    <m/>
    <s v=""/>
    <s v="Naturally Aspirated"/>
    <s v="No"/>
  </r>
  <r>
    <n v="2025"/>
    <s v="Hyundai"/>
    <s v="HYUNDAI MOTOR COMPANY"/>
    <s v="Elantra"/>
    <n v="2"/>
    <n v="4"/>
    <s v="Auto(AV-S1)"/>
    <n v="1"/>
    <s v="2-Wheel Drive, Front"/>
    <n v="32"/>
    <n v="41"/>
    <n v="36"/>
    <x v="6"/>
    <n v="1450"/>
    <n v="7"/>
    <n v="7"/>
    <n v="272"/>
    <n v="214"/>
    <n v="246"/>
    <n v="2250"/>
    <m/>
    <s v=""/>
    <s v="Naturally Aspirated"/>
    <s v="Yes"/>
  </r>
  <r>
    <n v="2025"/>
    <s v="Hyundai"/>
    <s v="HYUNDAI MOTOR COMPANY"/>
    <s v="Elantra"/>
    <n v="1.6"/>
    <n v="4"/>
    <s v="Auto(AM-S7)"/>
    <n v="7"/>
    <s v="2-Wheel Drive, Front"/>
    <n v="28"/>
    <n v="35"/>
    <n v="31"/>
    <x v="6"/>
    <n v="1700"/>
    <n v="6"/>
    <n v="6"/>
    <n v="313"/>
    <n v="257"/>
    <n v="288"/>
    <n v="1000"/>
    <m/>
    <s v=""/>
    <s v="Turbocharged"/>
    <s v="No"/>
  </r>
  <r>
    <n v="2025"/>
    <s v="Hyundai"/>
    <s v="HYUNDAI MOTOR COMPANY"/>
    <s v="Elantra Hybrid"/>
    <n v="1.6"/>
    <n v="4"/>
    <s v="Auto(AM-S6)"/>
    <n v="6"/>
    <s v="2-Wheel Drive, Front"/>
    <n v="49"/>
    <n v="52"/>
    <n v="50"/>
    <x v="6"/>
    <n v="1050"/>
    <n v="8"/>
    <n v="8"/>
    <n v="180"/>
    <n v="172"/>
    <n v="177"/>
    <n v="4250"/>
    <m/>
    <s v=""/>
    <s v="Naturally Aspirated"/>
    <s v="Yes"/>
  </r>
  <r>
    <n v="2025"/>
    <s v="Hyundai"/>
    <s v="HYUNDAI MOTOR COMPANY"/>
    <s v="Elantra Hybrid Blue"/>
    <n v="1.6"/>
    <n v="4"/>
    <s v="Auto(AM-S6)"/>
    <n v="6"/>
    <s v="2-Wheel Drive, Front"/>
    <n v="51"/>
    <n v="58"/>
    <n v="54"/>
    <x v="6"/>
    <n v="950"/>
    <n v="8"/>
    <n v="8"/>
    <n v="174"/>
    <n v="154"/>
    <n v="165"/>
    <n v="4750"/>
    <m/>
    <s v=""/>
    <s v="Naturally Aspirated"/>
    <s v="Yes"/>
  </r>
  <r>
    <n v="2025"/>
    <s v="Hyundai"/>
    <s v="HYUNDAI MOTOR COMPANY"/>
    <s v="Elantra N"/>
    <n v="2"/>
    <n v="4"/>
    <s v="Auto(AM-S8)"/>
    <n v="8"/>
    <s v="2-Wheel Drive, Front"/>
    <n v="20"/>
    <n v="27"/>
    <n v="23"/>
    <x v="6"/>
    <n v="2750"/>
    <n v="5"/>
    <n v="5"/>
    <n v="446"/>
    <n v="326"/>
    <n v="392"/>
    <m/>
    <n v="4250"/>
    <s v=""/>
    <s v="Turbocharged"/>
    <s v="No"/>
  </r>
  <r>
    <n v="2025"/>
    <s v="Hyundai"/>
    <s v="HYUNDAI MOTOR COMPANY"/>
    <s v="Elantra N"/>
    <n v="2"/>
    <n v="4"/>
    <s v="Manual(M6)"/>
    <n v="6"/>
    <s v="2-Wheel Drive, Front"/>
    <n v="21"/>
    <n v="29"/>
    <n v="24"/>
    <x v="6"/>
    <n v="2650"/>
    <n v="5"/>
    <n v="5"/>
    <n v="414"/>
    <n v="307"/>
    <n v="366"/>
    <m/>
    <n v="3750"/>
    <s v=""/>
    <s v="Turbocharged"/>
    <s v="No"/>
  </r>
  <r>
    <n v="2025"/>
    <s v="Hyundai"/>
    <s v="HYUNDAI MOTOR COMPANY"/>
    <s v="Kona AWD"/>
    <n v="1.6"/>
    <n v="4"/>
    <s v="Auto(S8)"/>
    <n v="8"/>
    <s v="All Wheel Drive"/>
    <n v="24"/>
    <n v="29"/>
    <n v="26"/>
    <x v="2"/>
    <n v="2000"/>
    <n v="5"/>
    <n v="5"/>
    <n v="365"/>
    <n v="309"/>
    <n v="339"/>
    <m/>
    <n v="500"/>
    <s v=""/>
    <s v="Turbocharged"/>
    <s v="No"/>
  </r>
  <r>
    <n v="2025"/>
    <s v="Hyundai"/>
    <s v="HYUNDAI MOTOR COMPANY"/>
    <s v="Kona AWD"/>
    <n v="2"/>
    <n v="4"/>
    <s v="Auto(AV-S1)"/>
    <n v="1"/>
    <s v="All Wheel Drive"/>
    <n v="26"/>
    <n v="29"/>
    <n v="27"/>
    <x v="2"/>
    <n v="1950"/>
    <n v="5"/>
    <n v="5"/>
    <n v="341"/>
    <n v="300"/>
    <n v="323"/>
    <m/>
    <n v="250"/>
    <s v=""/>
    <s v="Naturally Aspirated"/>
    <s v="No"/>
  </r>
  <r>
    <n v="2025"/>
    <s v="Hyundai"/>
    <s v="HYUNDAI MOTOR COMPANY"/>
    <s v="Kona AWD"/>
    <n v="2"/>
    <n v="4"/>
    <s v="Auto(AV-S1)"/>
    <n v="1"/>
    <s v="All Wheel Drive"/>
    <n v="27"/>
    <n v="29"/>
    <n v="28"/>
    <x v="2"/>
    <n v="1900"/>
    <n v="6"/>
    <n v="6"/>
    <n v="332"/>
    <n v="302"/>
    <n v="319"/>
    <n v="0"/>
    <m/>
    <s v=""/>
    <s v="Naturally Aspirated"/>
    <s v="Yes"/>
  </r>
  <r>
    <n v="2025"/>
    <s v="Hyundai"/>
    <s v="HYUNDAI MOTOR COMPANY"/>
    <s v="Kona FWD"/>
    <n v="1.6"/>
    <n v="4"/>
    <s v="Auto(S8)"/>
    <n v="8"/>
    <s v="2-Wheel Drive, Front"/>
    <n v="26"/>
    <n v="32"/>
    <n v="28"/>
    <x v="4"/>
    <n v="1900"/>
    <n v="6"/>
    <n v="6"/>
    <n v="345"/>
    <n v="279"/>
    <n v="315"/>
    <n v="0"/>
    <m/>
    <s v=""/>
    <s v="Turbocharged"/>
    <s v="No"/>
  </r>
  <r>
    <n v="2025"/>
    <s v="Hyundai"/>
    <s v="HYUNDAI MOTOR COMPANY"/>
    <s v="Kona FWD"/>
    <n v="2"/>
    <n v="4"/>
    <s v="Auto(AV-S1)"/>
    <n v="1"/>
    <s v="2-Wheel Drive, Front"/>
    <n v="28"/>
    <n v="35"/>
    <n v="31"/>
    <x v="4"/>
    <n v="1700"/>
    <n v="6"/>
    <n v="6"/>
    <n v="316"/>
    <n v="255"/>
    <n v="288"/>
    <n v="1000"/>
    <m/>
    <s v=""/>
    <s v="Naturally Aspirated"/>
    <s v="No"/>
  </r>
  <r>
    <n v="2025"/>
    <s v="Hyundai"/>
    <s v="HYUNDAI MOTOR COMPANY"/>
    <s v="Kona FWD"/>
    <n v="2"/>
    <n v="4"/>
    <s v="Auto(AV-S1)"/>
    <n v="1"/>
    <s v="2-Wheel Drive, Front"/>
    <n v="29"/>
    <n v="34"/>
    <n v="31"/>
    <x v="4"/>
    <n v="1700"/>
    <n v="6"/>
    <n v="6"/>
    <n v="305"/>
    <n v="258"/>
    <n v="284"/>
    <n v="1000"/>
    <m/>
    <s v=""/>
    <s v="Naturally Aspirated"/>
    <s v="Yes"/>
  </r>
  <r>
    <n v="2025"/>
    <s v="Hyundai"/>
    <s v="HYUNDAI MOTOR COMPANY"/>
    <s v="Palisade AWD"/>
    <n v="3.8"/>
    <n v="6"/>
    <s v="Auto(S8)"/>
    <n v="8"/>
    <s v="All Wheel Drive"/>
    <n v="19"/>
    <n v="24"/>
    <n v="21"/>
    <x v="2"/>
    <n v="2500"/>
    <n v="4"/>
    <n v="4"/>
    <n v="462"/>
    <n v="367"/>
    <n v="420"/>
    <m/>
    <n v="3000"/>
    <s v=""/>
    <s v="Naturally Aspirated"/>
    <s v="Yes"/>
  </r>
  <r>
    <n v="2025"/>
    <s v="Hyundai"/>
    <s v="HYUNDAI MOTOR COMPANY"/>
    <s v="Palisade FWD"/>
    <n v="3.8"/>
    <n v="6"/>
    <s v="Auto(S8)"/>
    <n v="8"/>
    <s v="2-Wheel Drive, Front"/>
    <n v="19"/>
    <n v="26"/>
    <n v="22"/>
    <x v="4"/>
    <n v="2400"/>
    <n v="5"/>
    <n v="5"/>
    <n v="458"/>
    <n v="336"/>
    <n v="403"/>
    <m/>
    <n v="2500"/>
    <s v=""/>
    <s v="Naturally Aspirated"/>
    <s v="Yes"/>
  </r>
  <r>
    <n v="2025"/>
    <s v="Hyundai"/>
    <s v="HYUNDAI MOTOR COMPANY"/>
    <s v="Santa Cruz AWD"/>
    <n v="2.5"/>
    <n v="4"/>
    <s v="Auto(S8)"/>
    <n v="8"/>
    <s v="All Wheel Drive"/>
    <n v="21"/>
    <n v="29"/>
    <n v="24"/>
    <x v="2"/>
    <n v="2200"/>
    <n v="5"/>
    <n v="5"/>
    <n v="415"/>
    <n v="309"/>
    <n v="367"/>
    <m/>
    <n v="1500"/>
    <s v=""/>
    <s v="Naturally Aspirated"/>
    <s v="No"/>
  </r>
  <r>
    <n v="2025"/>
    <s v="Hyundai"/>
    <s v="HYUNDAI MOTOR COMPANY"/>
    <s v="Santa Cruz AWD"/>
    <n v="2.5"/>
    <n v="4"/>
    <s v="Auto(AM-S8)"/>
    <n v="8"/>
    <s v="All Wheel Drive"/>
    <n v="19"/>
    <n v="27"/>
    <n v="22"/>
    <x v="2"/>
    <n v="2400"/>
    <n v="5"/>
    <n v="5"/>
    <n v="470"/>
    <n v="327"/>
    <n v="406"/>
    <m/>
    <n v="2500"/>
    <s v=""/>
    <s v="Turbocharged"/>
    <s v="No"/>
  </r>
  <r>
    <n v="2025"/>
    <s v="Hyundai"/>
    <s v="HYUNDAI MOTOR COMPANY"/>
    <s v="Santa Cruz FWD"/>
    <n v="2.5"/>
    <n v="4"/>
    <s v="Auto(S8)"/>
    <n v="8"/>
    <s v="2-Wheel Drive, Front"/>
    <n v="22"/>
    <n v="30"/>
    <n v="25"/>
    <x v="4"/>
    <n v="2100"/>
    <n v="5"/>
    <n v="5"/>
    <n v="405"/>
    <n v="296"/>
    <n v="356"/>
    <m/>
    <n v="1000"/>
    <s v=""/>
    <s v="Naturally Aspirated"/>
    <s v="No"/>
  </r>
  <r>
    <n v="2025"/>
    <s v="Hyundai"/>
    <s v="HYUNDAI MOTOR COMPANY"/>
    <s v="Santa Cruz XRT AWD"/>
    <n v="2.5"/>
    <n v="4"/>
    <s v="Auto(AM-S8)"/>
    <n v="8"/>
    <s v="All Wheel Drive"/>
    <n v="18"/>
    <n v="26"/>
    <n v="21"/>
    <x v="2"/>
    <n v="2500"/>
    <n v="4"/>
    <n v="4"/>
    <n v="485"/>
    <n v="338"/>
    <n v="419"/>
    <m/>
    <n v="3000"/>
    <s v=""/>
    <s v="Turbocharged"/>
    <s v="No"/>
  </r>
  <r>
    <n v="2025"/>
    <s v="Hyundai"/>
    <s v="HYUNDAI MOTOR COMPANY"/>
    <s v="Santa Fe AWD"/>
    <n v="2.5"/>
    <n v="4"/>
    <s v="Auto(AM-S8)"/>
    <n v="8"/>
    <s v="All Wheel Drive"/>
    <n v="20"/>
    <n v="28"/>
    <n v="23"/>
    <x v="2"/>
    <n v="2300"/>
    <n v="5"/>
    <n v="5"/>
    <n v="449"/>
    <n v="319"/>
    <n v="390"/>
    <m/>
    <n v="2000"/>
    <s v=""/>
    <s v="Turbocharged"/>
    <s v="Yes"/>
  </r>
  <r>
    <n v="2025"/>
    <s v="Hyundai"/>
    <s v="HYUNDAI MOTOR COMPANY"/>
    <s v="Santa Fe AWD XRT"/>
    <n v="2.5"/>
    <n v="4"/>
    <s v="Auto(AM-S8)"/>
    <n v="8"/>
    <s v="All Wheel Drive"/>
    <n v="19"/>
    <n v="26"/>
    <n v="22"/>
    <x v="2"/>
    <n v="2400"/>
    <n v="5"/>
    <n v="5"/>
    <n v="461"/>
    <n v="346"/>
    <n v="409"/>
    <m/>
    <n v="2500"/>
    <s v=""/>
    <s v="Turbocharged"/>
    <s v="Yes"/>
  </r>
  <r>
    <n v="2025"/>
    <s v="Hyundai"/>
    <s v="HYUNDAI MOTOR COMPANY"/>
    <s v="Santa Fe FWD"/>
    <n v="2.5"/>
    <n v="4"/>
    <s v="Auto(AM-S8)"/>
    <n v="8"/>
    <s v="2-Wheel Drive, Front"/>
    <n v="20"/>
    <n v="29"/>
    <n v="24"/>
    <x v="4"/>
    <n v="2200"/>
    <n v="5"/>
    <n v="5"/>
    <n v="435"/>
    <n v="303"/>
    <n v="376"/>
    <m/>
    <n v="1500"/>
    <s v=""/>
    <s v="Turbocharged"/>
    <s v="Yes"/>
  </r>
  <r>
    <n v="2025"/>
    <s v="Hyundai"/>
    <s v="HYUNDAI MOTOR COMPANY"/>
    <s v="Santa Fe Hybrid AWD"/>
    <n v="1.6"/>
    <n v="4"/>
    <s v="Auto(AM-S6)"/>
    <n v="6"/>
    <s v="All Wheel Drive"/>
    <n v="35"/>
    <n v="34"/>
    <n v="34"/>
    <x v="2"/>
    <n v="1550"/>
    <n v="7"/>
    <n v="7"/>
    <n v="255"/>
    <n v="262"/>
    <n v="258"/>
    <n v="1750"/>
    <m/>
    <s v=""/>
    <s v="Turbocharged"/>
    <s v="Yes"/>
  </r>
  <r>
    <n v="2025"/>
    <s v="Hyundai"/>
    <s v="HYUNDAI MOTOR COMPANY"/>
    <s v="Santa Fe Hybrid FWD"/>
    <n v="1.6"/>
    <n v="4"/>
    <s v="Auto(AM-S6)"/>
    <n v="6"/>
    <s v="2-Wheel Drive, Front"/>
    <n v="36"/>
    <n v="35"/>
    <n v="36"/>
    <x v="4"/>
    <n v="1450"/>
    <n v="7"/>
    <n v="7"/>
    <n v="246"/>
    <n v="252"/>
    <n v="249"/>
    <n v="2250"/>
    <m/>
    <s v=""/>
    <s v="Turbocharged"/>
    <s v="Yes"/>
  </r>
  <r>
    <n v="2025"/>
    <s v="Hyundai"/>
    <s v="HYUNDAI MOTOR COMPANY"/>
    <s v="Sonata AWD"/>
    <n v="2.5"/>
    <n v="4"/>
    <s v="Auto(S8)"/>
    <n v="8"/>
    <s v="All Wheel Drive"/>
    <n v="25"/>
    <n v="34"/>
    <n v="28"/>
    <x v="1"/>
    <n v="1900"/>
    <n v="6"/>
    <n v="6"/>
    <n v="361"/>
    <n v="260"/>
    <n v="316"/>
    <n v="0"/>
    <m/>
    <s v=""/>
    <s v="Naturally Aspirated"/>
    <s v="No"/>
  </r>
  <r>
    <n v="2025"/>
    <s v="Hyundai"/>
    <s v="HYUNDAI MOTOR COMPANY"/>
    <s v="Sonata FWD"/>
    <n v="2.5"/>
    <n v="4"/>
    <s v="Auto(S8)"/>
    <n v="8"/>
    <s v="2-Wheel Drive, Front"/>
    <n v="25"/>
    <n v="36"/>
    <n v="29"/>
    <x v="1"/>
    <n v="1800"/>
    <n v="6"/>
    <n v="6"/>
    <n v="354"/>
    <n v="245"/>
    <n v="305"/>
    <n v="500"/>
    <m/>
    <s v=""/>
    <s v="Naturally Aspirated"/>
    <s v="No"/>
  </r>
  <r>
    <n v="2025"/>
    <s v="Hyundai"/>
    <s v="HYUNDAI MOTOR COMPANY"/>
    <s v="Sonata FWD"/>
    <n v="2.5"/>
    <n v="4"/>
    <s v="Auto(S8)"/>
    <n v="8"/>
    <s v="2-Wheel Drive, Front"/>
    <n v="28"/>
    <n v="38"/>
    <n v="32"/>
    <x v="1"/>
    <n v="1650"/>
    <n v="6"/>
    <n v="6"/>
    <n v="322"/>
    <n v="232"/>
    <n v="281"/>
    <n v="1250"/>
    <m/>
    <s v=""/>
    <s v="Naturally Aspirated"/>
    <s v="Yes"/>
  </r>
  <r>
    <n v="2025"/>
    <s v="Hyundai"/>
    <s v="HYUNDAI MOTOR COMPANY"/>
    <s v="Sonata FWD"/>
    <n v="2.5"/>
    <n v="4"/>
    <s v="Auto(AM-S8)"/>
    <n v="8"/>
    <s v="2-Wheel Drive, Front"/>
    <n v="23"/>
    <n v="32"/>
    <n v="27"/>
    <x v="1"/>
    <n v="1950"/>
    <n v="5"/>
    <n v="5"/>
    <n v="378"/>
    <n v="277"/>
    <n v="333"/>
    <m/>
    <n v="250"/>
    <s v=""/>
    <s v="Turbocharged"/>
    <s v="No"/>
  </r>
  <r>
    <n v="2025"/>
    <s v="Hyundai"/>
    <s v="HYUNDAI MOTOR COMPANY"/>
    <s v="Sonata Hybrid"/>
    <n v="2"/>
    <n v="4"/>
    <s v="Auto(AM-S6)"/>
    <n v="6"/>
    <s v="2-Wheel Drive, Front"/>
    <n v="44"/>
    <n v="51"/>
    <n v="47"/>
    <x v="1"/>
    <n v="1100"/>
    <n v="8"/>
    <n v="8"/>
    <n v="199"/>
    <n v="174"/>
    <n v="188"/>
    <n v="4000"/>
    <m/>
    <s v=""/>
    <s v="Naturally Aspirated"/>
    <s v="Yes"/>
  </r>
  <r>
    <n v="2025"/>
    <s v="Hyundai"/>
    <s v="HYUNDAI MOTOR COMPANY"/>
    <s v="Tucson AWD"/>
    <n v="2.5"/>
    <n v="4"/>
    <s v="Auto(S8)"/>
    <n v="8"/>
    <s v="All Wheel Drive"/>
    <n v="24"/>
    <n v="30"/>
    <n v="26"/>
    <x v="2"/>
    <n v="2000"/>
    <n v="5"/>
    <n v="5"/>
    <n v="372"/>
    <n v="299"/>
    <n v="339"/>
    <m/>
    <n v="500"/>
    <s v=""/>
    <s v="Naturally Aspirated"/>
    <s v="Yes"/>
  </r>
  <r>
    <n v="2025"/>
    <s v="Hyundai"/>
    <s v="HYUNDAI MOTOR COMPANY"/>
    <s v="Tucson FWD"/>
    <n v="2.5"/>
    <n v="4"/>
    <s v="Auto(S8)"/>
    <n v="8"/>
    <s v="2-Wheel Drive, Front"/>
    <n v="25"/>
    <n v="33"/>
    <n v="28"/>
    <x v="4"/>
    <n v="1900"/>
    <n v="6"/>
    <n v="6"/>
    <n v="362"/>
    <n v="273"/>
    <n v="322"/>
    <n v="0"/>
    <m/>
    <s v=""/>
    <s v="Naturally Aspirated"/>
    <s v="Yes"/>
  </r>
  <r>
    <n v="2025"/>
    <s v="Hyundai"/>
    <s v="HYUNDAI MOTOR COMPANY"/>
    <s v="Tucson Hybrid"/>
    <n v="1.6"/>
    <n v="4"/>
    <s v="Auto(AM-S6)"/>
    <n v="6"/>
    <s v="All Wheel Drive"/>
    <n v="35"/>
    <n v="35"/>
    <n v="35"/>
    <x v="2"/>
    <n v="1500"/>
    <n v="7"/>
    <n v="7"/>
    <n v="252"/>
    <n v="254"/>
    <n v="253"/>
    <n v="2000"/>
    <m/>
    <s v=""/>
    <s v="Turbocharged"/>
    <s v="Yes"/>
  </r>
  <r>
    <n v="2025"/>
    <s v="Hyundai"/>
    <s v="HYUNDAI MOTOR COMPANY"/>
    <s v="Tucson Hybrid Blue"/>
    <n v="1.6"/>
    <n v="4"/>
    <s v="Auto(AM-S6)"/>
    <n v="6"/>
    <s v="All Wheel Drive"/>
    <n v="38"/>
    <n v="38"/>
    <n v="38"/>
    <x v="2"/>
    <n v="1400"/>
    <n v="7"/>
    <n v="7"/>
    <n v="232"/>
    <n v="235"/>
    <n v="234"/>
    <n v="2500"/>
    <m/>
    <s v=""/>
    <s v="Turbocharged"/>
    <s v="Yes"/>
  </r>
  <r>
    <n v="2025"/>
    <s v="Hyundai"/>
    <s v="HYUNDAI MOTOR COMPANY"/>
    <s v="Venue"/>
    <n v="1.6"/>
    <n v="4"/>
    <s v="Auto(AV-S1)"/>
    <n v="1"/>
    <s v="2-Wheel Drive, Front"/>
    <n v="29"/>
    <n v="32"/>
    <n v="31"/>
    <x v="4"/>
    <n v="1700"/>
    <n v="6"/>
    <n v="6"/>
    <n v="304"/>
    <n v="275"/>
    <n v="291"/>
    <n v="1000"/>
    <m/>
    <s v=""/>
    <s v="Naturally Aspirated"/>
    <s v="No"/>
  </r>
  <r>
    <n v="2025"/>
    <s v="Ineos Automotive Li"/>
    <s v="INEOS Automotive Limited"/>
    <s v="Grenadier Station Wagon"/>
    <n v="3"/>
    <n v="6"/>
    <s v="Auto(S8)"/>
    <n v="8"/>
    <s v="4-Wheel Drive"/>
    <n v="15"/>
    <n v="15"/>
    <n v="15"/>
    <x v="3"/>
    <n v="4250"/>
    <n v="2"/>
    <n v="2"/>
    <n v="605"/>
    <n v="575"/>
    <n v="592"/>
    <m/>
    <n v="11750"/>
    <s v=""/>
    <s v="Turbocharged"/>
    <s v="Yes"/>
  </r>
  <r>
    <n v="2025"/>
    <s v="Ineos Automotive Li"/>
    <s v="INEOS Automotive Limited"/>
    <s v="Grenadier Trialmaster Edition"/>
    <n v="3"/>
    <n v="6"/>
    <s v="Auto(S8)"/>
    <n v="8"/>
    <s v="4-Wheel Drive"/>
    <n v="14"/>
    <n v="14"/>
    <n v="14"/>
    <x v="3"/>
    <n v="4550"/>
    <n v="2"/>
    <n v="2"/>
    <n v="635"/>
    <n v="630"/>
    <n v="633"/>
    <m/>
    <n v="13250"/>
    <s v=""/>
    <s v="Turbocharged"/>
    <s v="Yes"/>
  </r>
  <r>
    <n v="2025"/>
    <s v="Nissan"/>
    <s v="INFINITI"/>
    <s v="QX50"/>
    <n v="2"/>
    <n v="4"/>
    <s v="Auto(AV-S8)"/>
    <n v="8"/>
    <s v="2-Wheel Drive, Front"/>
    <n v="23"/>
    <n v="29"/>
    <n v="26"/>
    <x v="4"/>
    <n v="2450"/>
    <n v="5"/>
    <n v="5"/>
    <n v="388"/>
    <n v="308"/>
    <n v="343"/>
    <m/>
    <n v="2750"/>
    <s v=""/>
    <s v="Turbocharged"/>
    <s v="No"/>
  </r>
  <r>
    <n v="2025"/>
    <s v="Nissan"/>
    <s v="INFINITI"/>
    <s v="QX50 AWD"/>
    <n v="2"/>
    <n v="4"/>
    <s v="Auto(AV-S8)"/>
    <n v="8"/>
    <s v="All Wheel Drive"/>
    <n v="22"/>
    <n v="28"/>
    <n v="25"/>
    <x v="2"/>
    <n v="2550"/>
    <n v="5"/>
    <n v="5"/>
    <n v="406"/>
    <n v="319"/>
    <n v="357"/>
    <m/>
    <n v="3250"/>
    <s v=""/>
    <s v="Turbocharged"/>
    <s v="No"/>
  </r>
  <r>
    <n v="2025"/>
    <s v="Nissan"/>
    <s v="INFINITI"/>
    <s v="QX60 AWD"/>
    <n v="2"/>
    <n v="4"/>
    <s v="Auto(S9)"/>
    <n v="9"/>
    <s v="All Wheel Drive"/>
    <n v="22"/>
    <n v="27"/>
    <n v="24"/>
    <x v="3"/>
    <n v="2650"/>
    <n v="5"/>
    <n v="5"/>
    <n v="413"/>
    <n v="333"/>
    <n v="377"/>
    <m/>
    <n v="3750"/>
    <s v=""/>
    <s v="Turbocharged"/>
    <s v="Yes"/>
  </r>
  <r>
    <n v="2025"/>
    <s v="Nissan"/>
    <s v="INFINITI"/>
    <s v="QX60 FWD"/>
    <n v="2"/>
    <n v="4"/>
    <s v="Auto(S9)"/>
    <n v="9"/>
    <s v="2-Wheel Drive, Front"/>
    <n v="22"/>
    <n v="28"/>
    <n v="24"/>
    <x v="11"/>
    <n v="2650"/>
    <n v="5"/>
    <n v="5"/>
    <n v="404"/>
    <n v="318"/>
    <n v="371"/>
    <m/>
    <n v="3750"/>
    <s v=""/>
    <s v="Turbocharged"/>
    <s v="Yes"/>
  </r>
  <r>
    <n v="2025"/>
    <s v="Nissan"/>
    <s v="INFINITI"/>
    <s v="QX80 2WD"/>
    <n v="3.5"/>
    <n v="6"/>
    <s v="Auto(S9)"/>
    <n v="9"/>
    <s v="2-Wheel Drive, Rear"/>
    <n v="16"/>
    <n v="20"/>
    <n v="18"/>
    <x v="11"/>
    <n v="3550"/>
    <n v="4"/>
    <n v="4"/>
    <n v="557"/>
    <n v="440"/>
    <n v="504"/>
    <m/>
    <n v="8250"/>
    <s v=""/>
    <s v="Turbocharged"/>
    <s v="Yes"/>
  </r>
  <r>
    <n v="2025"/>
    <s v="Nissan"/>
    <s v="INFINITI"/>
    <s v="QX80 4WD"/>
    <n v="3.5"/>
    <n v="6"/>
    <s v="Auto(S9)"/>
    <n v="9"/>
    <s v="4-Wheel Drive"/>
    <n v="16"/>
    <n v="19"/>
    <n v="17"/>
    <x v="3"/>
    <n v="3750"/>
    <n v="3"/>
    <n v="3"/>
    <n v="572"/>
    <n v="460"/>
    <n v="522"/>
    <m/>
    <n v="9250"/>
    <s v=""/>
    <s v="Turbocharged"/>
    <s v="Yes"/>
  </r>
  <r>
    <n v="2025"/>
    <s v="Jaguar Land Rover L"/>
    <s v="Jaguar"/>
    <s v="F-PACE"/>
    <n v="2"/>
    <n v="4"/>
    <s v="Auto(S8)"/>
    <n v="8"/>
    <s v="All Wheel Drive"/>
    <n v="22"/>
    <n v="27"/>
    <n v="24"/>
    <x v="2"/>
    <n v="2650"/>
    <n v="5"/>
    <n v="5"/>
    <n v="409"/>
    <n v="335"/>
    <n v="376"/>
    <m/>
    <n v="3750"/>
    <s v=""/>
    <s v="Turbocharged"/>
    <s v="Yes"/>
  </r>
  <r>
    <n v="2025"/>
    <s v="Jaguar Land Rover L"/>
    <s v="Jaguar"/>
    <s v="F-PACE MHEV"/>
    <n v="3"/>
    <n v="6"/>
    <s v="Auto(S8)"/>
    <n v="8"/>
    <s v="4-Wheel Drive"/>
    <n v="19"/>
    <n v="25"/>
    <n v="21"/>
    <x v="2"/>
    <n v="3050"/>
    <n v="4"/>
    <n v="4"/>
    <n v="473"/>
    <n v="354"/>
    <n v="420"/>
    <m/>
    <n v="5750"/>
    <s v=""/>
    <s v="Turbocharged+Supercharged"/>
    <s v="Yes"/>
  </r>
  <r>
    <n v="2025"/>
    <s v="Jaguar Land Rover L"/>
    <s v="Jaguar"/>
    <s v="F-PACE SVR"/>
    <n v="5"/>
    <n v="8"/>
    <s v="Auto(S8)"/>
    <n v="8"/>
    <s v="All Wheel Drive"/>
    <n v="15"/>
    <n v="21"/>
    <n v="17"/>
    <x v="2"/>
    <n v="3750"/>
    <n v="3"/>
    <n v="3"/>
    <n v="592"/>
    <n v="430"/>
    <n v="519"/>
    <m/>
    <n v="9250"/>
    <s v=""/>
    <s v="Supercharged"/>
    <s v="Yes"/>
  </r>
  <r>
    <n v="2025"/>
    <s v="FCA US LLC"/>
    <s v="Jeep"/>
    <s v="Compass 4X4"/>
    <n v="2"/>
    <n v="4"/>
    <s v="Auto(A8)"/>
    <n v="8"/>
    <s v="All Wheel Drive"/>
    <n v="24"/>
    <n v="32"/>
    <n v="27"/>
    <x v="2"/>
    <n v="1950"/>
    <n v="5"/>
    <n v="5"/>
    <n v="373"/>
    <n v="278"/>
    <n v="330"/>
    <m/>
    <n v="250"/>
    <s v=""/>
    <s v="Turbocharged"/>
    <s v="Yes"/>
  </r>
  <r>
    <n v="2025"/>
    <s v="FCA US LLC"/>
    <s v="Jeep"/>
    <s v="Gladiator 4X4"/>
    <n v="3.6"/>
    <n v="6"/>
    <s v="Auto(A8)"/>
    <n v="8"/>
    <s v="4-Wheel Drive"/>
    <n v="17"/>
    <n v="22"/>
    <n v="19"/>
    <x v="13"/>
    <n v="2750"/>
    <n v="4"/>
    <n v="4"/>
    <n v="517"/>
    <n v="405"/>
    <n v="466"/>
    <m/>
    <n v="4250"/>
    <s v=""/>
    <s v="Naturally Aspirated"/>
    <s v="Yes"/>
  </r>
  <r>
    <n v="2025"/>
    <s v="FCA US LLC"/>
    <s v="Jeep"/>
    <s v="Grand Cherokee 4X2"/>
    <n v="3.6"/>
    <n v="6"/>
    <s v="Auto(A8)"/>
    <n v="8"/>
    <s v="2-Wheel Drive, Rear"/>
    <n v="19"/>
    <n v="26"/>
    <n v="22"/>
    <x v="11"/>
    <n v="2400"/>
    <n v="5"/>
    <n v="5"/>
    <n v="461"/>
    <n v="340"/>
    <n v="407"/>
    <m/>
    <n v="2500"/>
    <s v=""/>
    <s v="Naturally Aspirated"/>
    <s v="Yes"/>
  </r>
  <r>
    <n v="2025"/>
    <s v="FCA US LLC"/>
    <s v="Jeep"/>
    <s v="Grand Cherokee 4X4"/>
    <n v="3.6"/>
    <n v="6"/>
    <s v="Auto(A8)"/>
    <n v="8"/>
    <s v="4-Wheel Drive"/>
    <n v="19"/>
    <n v="26"/>
    <n v="22"/>
    <x v="3"/>
    <n v="2400"/>
    <n v="5"/>
    <n v="5"/>
    <n v="466"/>
    <n v="348"/>
    <n v="413"/>
    <m/>
    <n v="2500"/>
    <s v=""/>
    <s v="Naturally Aspirated"/>
    <s v="Yes"/>
  </r>
  <r>
    <n v="2025"/>
    <s v="FCA US LLC"/>
    <s v="Jeep"/>
    <s v="Grand Cherokee L 4X2"/>
    <n v="3.6"/>
    <n v="6"/>
    <s v="Auto(A8)"/>
    <n v="8"/>
    <s v="2-Wheel Drive, Rear"/>
    <n v="19"/>
    <n v="26"/>
    <n v="21"/>
    <x v="11"/>
    <n v="2500"/>
    <n v="4"/>
    <n v="4"/>
    <n v="471"/>
    <n v="348"/>
    <n v="416"/>
    <m/>
    <n v="3000"/>
    <s v=""/>
    <s v="Naturally Aspirated"/>
    <s v="Yes"/>
  </r>
  <r>
    <n v="2025"/>
    <s v="FCA US LLC"/>
    <s v="Jeep"/>
    <s v="Grand Cherokee L 4X4"/>
    <n v="3.6"/>
    <n v="6"/>
    <s v="Auto(A8)"/>
    <n v="8"/>
    <s v="4-Wheel Drive"/>
    <n v="18"/>
    <n v="25"/>
    <n v="21"/>
    <x v="3"/>
    <n v="2500"/>
    <n v="4"/>
    <n v="4"/>
    <n v="493"/>
    <n v="353"/>
    <n v="430"/>
    <m/>
    <n v="3000"/>
    <s v=""/>
    <s v="Naturally Aspirated"/>
    <s v="Yes"/>
  </r>
  <r>
    <n v="2025"/>
    <s v="FCA US LLC"/>
    <s v="Jeep"/>
    <s v="Grand Wagoneer 4x4"/>
    <n v="3"/>
    <n v="6"/>
    <s v="Auto(A8)"/>
    <n v="8"/>
    <s v="All Wheel Drive"/>
    <n v="14"/>
    <n v="20"/>
    <n v="17"/>
    <x v="3"/>
    <n v="3750"/>
    <n v="3"/>
    <n v="3"/>
    <n v="613"/>
    <n v="444"/>
    <n v="537"/>
    <m/>
    <n v="9250"/>
    <s v=""/>
    <s v="Turbocharged"/>
    <s v="Yes"/>
  </r>
  <r>
    <n v="2025"/>
    <s v="FCA US LLC"/>
    <s v="Jeep"/>
    <s v="Grand Wagoneer L 4x4"/>
    <n v="3"/>
    <n v="6"/>
    <s v="Auto(A8)"/>
    <n v="8"/>
    <s v="All Wheel Drive"/>
    <n v="14"/>
    <n v="20"/>
    <n v="17"/>
    <x v="3"/>
    <n v="3750"/>
    <n v="3"/>
    <n v="3"/>
    <n v="613"/>
    <n v="444"/>
    <n v="537"/>
    <m/>
    <n v="9250"/>
    <s v=""/>
    <s v="Turbocharged"/>
    <s v="Yes"/>
  </r>
  <r>
    <n v="2025"/>
    <s v="FCA US LLC"/>
    <s v="Jeep"/>
    <s v="Wagoneer 4x2"/>
    <n v="3"/>
    <n v="6"/>
    <s v="Auto(A8)"/>
    <n v="8"/>
    <s v="2-Wheel Drive, Rear"/>
    <n v="17"/>
    <n v="24"/>
    <n v="20"/>
    <x v="11"/>
    <n v="2600"/>
    <n v="4"/>
    <n v="4"/>
    <n v="520"/>
    <n v="370"/>
    <n v="453"/>
    <m/>
    <n v="3500"/>
    <s v=""/>
    <s v="Turbocharged"/>
    <s v="Yes"/>
  </r>
  <r>
    <n v="2025"/>
    <s v="FCA US LLC"/>
    <s v="Jeep"/>
    <s v="Wagoneer 4x4"/>
    <n v="3"/>
    <n v="6"/>
    <s v="Auto(A8)"/>
    <n v="8"/>
    <s v="All Wheel Drive"/>
    <n v="16"/>
    <n v="23"/>
    <n v="19"/>
    <x v="3"/>
    <n v="2750"/>
    <n v="4"/>
    <n v="4"/>
    <n v="547"/>
    <n v="380"/>
    <n v="472"/>
    <m/>
    <n v="4250"/>
    <s v=""/>
    <s v="Turbocharged"/>
    <s v="Yes"/>
  </r>
  <r>
    <n v="2025"/>
    <s v="FCA US LLC"/>
    <s v="Jeep"/>
    <s v="Wagoneer L 4x2"/>
    <n v="3"/>
    <n v="6"/>
    <s v="Auto(A8)"/>
    <n v="8"/>
    <s v="2-Wheel Drive, Rear"/>
    <n v="17"/>
    <n v="24"/>
    <n v="20"/>
    <x v="11"/>
    <n v="2600"/>
    <n v="4"/>
    <n v="4"/>
    <n v="520"/>
    <n v="370"/>
    <n v="453"/>
    <m/>
    <n v="3500"/>
    <s v=""/>
    <s v="Turbocharged"/>
    <s v="Yes"/>
  </r>
  <r>
    <n v="2025"/>
    <s v="FCA US LLC"/>
    <s v="Jeep"/>
    <s v="Wagoneer L 4x4"/>
    <n v="3"/>
    <n v="6"/>
    <s v="Auto(A8)"/>
    <n v="8"/>
    <s v="All Wheel Drive"/>
    <n v="16"/>
    <n v="23"/>
    <n v="19"/>
    <x v="3"/>
    <n v="2750"/>
    <n v="4"/>
    <n v="4"/>
    <n v="542"/>
    <n v="395"/>
    <n v="476"/>
    <m/>
    <n v="4250"/>
    <s v=""/>
    <s v="Turbocharged"/>
    <s v="Yes"/>
  </r>
  <r>
    <n v="2025"/>
    <s v="FCA US LLC"/>
    <s v="Jeep"/>
    <s v="Wrangler 2dr 4X4"/>
    <n v="2"/>
    <n v="4"/>
    <s v="Auto(A8)"/>
    <n v="8"/>
    <s v="4-Wheel Drive"/>
    <n v="20"/>
    <n v="23"/>
    <n v="21"/>
    <x v="2"/>
    <n v="2500"/>
    <n v="4"/>
    <n v="4"/>
    <n v="439"/>
    <n v="387"/>
    <n v="416"/>
    <m/>
    <n v="3000"/>
    <s v=""/>
    <s v="Turbocharged"/>
    <s v="Yes"/>
  </r>
  <r>
    <n v="2025"/>
    <s v="FCA US LLC"/>
    <s v="Jeep"/>
    <s v="Wrangler 2dr 4X4"/>
    <n v="3.6"/>
    <n v="6"/>
    <s v="Manual(M6)"/>
    <n v="6"/>
    <s v="4-Wheel Drive"/>
    <n v="17"/>
    <n v="23"/>
    <n v="19"/>
    <x v="2"/>
    <n v="2750"/>
    <n v="4"/>
    <n v="4"/>
    <n v="525"/>
    <n v="386"/>
    <n v="462"/>
    <m/>
    <n v="4250"/>
    <s v=""/>
    <s v="Naturally Aspirated"/>
    <s v="Yes"/>
  </r>
  <r>
    <n v="2025"/>
    <s v="FCA US LLC"/>
    <s v="Jeep"/>
    <s v="Wrangler 4dr 4X4"/>
    <n v="2"/>
    <n v="4"/>
    <s v="Auto(A8)"/>
    <n v="8"/>
    <s v="4-Wheel Drive"/>
    <n v="20"/>
    <n v="22"/>
    <n v="21"/>
    <x v="2"/>
    <n v="2500"/>
    <n v="4"/>
    <n v="4"/>
    <n v="452"/>
    <n v="394"/>
    <n v="426"/>
    <m/>
    <n v="3000"/>
    <s v=""/>
    <s v="Turbocharged"/>
    <s v="Yes"/>
  </r>
  <r>
    <n v="2025"/>
    <s v="FCA US LLC"/>
    <s v="Jeep"/>
    <s v="Wrangler 4dr 4X4"/>
    <n v="3.6"/>
    <n v="6"/>
    <s v="Auto(A8)"/>
    <n v="8"/>
    <s v="4-Wheel Drive"/>
    <n v="18"/>
    <n v="23"/>
    <n v="20"/>
    <x v="2"/>
    <n v="2600"/>
    <n v="4"/>
    <n v="4"/>
    <n v="507"/>
    <n v="382"/>
    <n v="451"/>
    <m/>
    <n v="3500"/>
    <s v=""/>
    <s v="Naturally Aspirated"/>
    <s v="Yes"/>
  </r>
  <r>
    <n v="2025"/>
    <s v="FCA US LLC"/>
    <s v="Jeep"/>
    <s v="Wrangler 4dr 4X4"/>
    <n v="3.6"/>
    <n v="6"/>
    <s v="Manual(M6)"/>
    <n v="6"/>
    <s v="4-Wheel Drive"/>
    <n v="16"/>
    <n v="22"/>
    <n v="19"/>
    <x v="2"/>
    <n v="2750"/>
    <n v="4"/>
    <n v="4"/>
    <n v="542"/>
    <n v="396"/>
    <n v="476"/>
    <m/>
    <n v="4250"/>
    <s v=""/>
    <s v="Naturally Aspirated"/>
    <s v="Yes"/>
  </r>
  <r>
    <n v="2025"/>
    <s v="FCA US LLC"/>
    <s v="Jeep"/>
    <s v="Wrangler 4dr 4X4"/>
    <n v="6.4"/>
    <n v="8"/>
    <s v="Auto(A8)"/>
    <n v="8"/>
    <s v="4-Wheel Drive"/>
    <n v="13"/>
    <n v="16"/>
    <n v="14"/>
    <x v="2"/>
    <n v="4550"/>
    <n v="2"/>
    <n v="2"/>
    <n v="706"/>
    <n v="549"/>
    <n v="635"/>
    <m/>
    <n v="13250"/>
    <s v=""/>
    <s v="Naturally Aspirated"/>
    <s v="No"/>
  </r>
  <r>
    <n v="2025"/>
    <s v="Kia"/>
    <s v="KIA"/>
    <s v="Carnival"/>
    <n v="3.5"/>
    <n v="6"/>
    <s v="Auto(S8)"/>
    <n v="8"/>
    <s v="2-Wheel Drive, Front"/>
    <n v="18"/>
    <n v="26"/>
    <n v="21"/>
    <x v="15"/>
    <n v="2500"/>
    <n v="4"/>
    <n v="4"/>
    <n v="496"/>
    <n v="341"/>
    <n v="426"/>
    <m/>
    <n v="3000"/>
    <s v=""/>
    <s v="Naturally Aspirated"/>
    <s v="No"/>
  </r>
  <r>
    <n v="2025"/>
    <s v="Kia"/>
    <s v="KIA"/>
    <s v="Carnival Hybrid"/>
    <n v="1.6"/>
    <n v="4"/>
    <s v="Auto(AM-S6)"/>
    <n v="6"/>
    <s v="2-Wheel Drive, Front"/>
    <n v="34"/>
    <n v="31"/>
    <n v="33"/>
    <x v="15"/>
    <n v="1600"/>
    <n v="6"/>
    <n v="6"/>
    <n v="263"/>
    <n v="287"/>
    <n v="274"/>
    <n v="1500"/>
    <m/>
    <s v=""/>
    <s v="Turbocharged"/>
    <s v="Yes"/>
  </r>
  <r>
    <n v="2025"/>
    <s v="Kia"/>
    <s v="KIA"/>
    <s v="K4"/>
    <n v="2"/>
    <n v="4"/>
    <s v="Auto(AV-S1)"/>
    <n v="1"/>
    <s v="2-Wheel Drive, Front"/>
    <n v="29"/>
    <n v="39"/>
    <n v="33"/>
    <x v="6"/>
    <n v="1600"/>
    <n v="6"/>
    <n v="6"/>
    <n v="311"/>
    <n v="227"/>
    <n v="273"/>
    <n v="1500"/>
    <m/>
    <s v=""/>
    <s v="Naturally Aspirated"/>
    <s v="No"/>
  </r>
  <r>
    <n v="2025"/>
    <s v="Kia"/>
    <s v="KIA"/>
    <s v="K4"/>
    <n v="2"/>
    <n v="4"/>
    <s v="Auto(AV-S1)"/>
    <n v="1"/>
    <s v="2-Wheel Drive, Front"/>
    <n v="30"/>
    <n v="40"/>
    <n v="34"/>
    <x v="6"/>
    <n v="1550"/>
    <n v="7"/>
    <n v="7"/>
    <n v="300"/>
    <n v="220"/>
    <n v="264"/>
    <n v="1750"/>
    <m/>
    <s v=""/>
    <s v="Naturally Aspirated"/>
    <s v="No"/>
  </r>
  <r>
    <n v="2025"/>
    <s v="Kia"/>
    <s v="KIA"/>
    <s v="K4"/>
    <n v="1.6"/>
    <n v="4"/>
    <s v="Auto(S8)"/>
    <n v="8"/>
    <s v="2-Wheel Drive, Front"/>
    <n v="26"/>
    <n v="36"/>
    <n v="29"/>
    <x v="6"/>
    <n v="1800"/>
    <n v="6"/>
    <n v="6"/>
    <n v="347"/>
    <n v="248"/>
    <n v="303"/>
    <n v="500"/>
    <m/>
    <s v=""/>
    <s v="Turbocharged"/>
    <s v="No"/>
  </r>
  <r>
    <n v="2025"/>
    <s v="Kia"/>
    <s v="KIA"/>
    <s v="K5"/>
    <n v="2.5"/>
    <n v="4"/>
    <s v="Auto(S8)"/>
    <n v="8"/>
    <s v="2-Wheel Drive, Front"/>
    <n v="25"/>
    <n v="36"/>
    <n v="29"/>
    <x v="1"/>
    <n v="1800"/>
    <n v="6"/>
    <n v="6"/>
    <n v="361"/>
    <n v="247"/>
    <n v="310"/>
    <n v="500"/>
    <m/>
    <s v=""/>
    <s v="Naturally Aspirated"/>
    <s v="No"/>
  </r>
  <r>
    <n v="2025"/>
    <s v="Kia"/>
    <s v="KIA"/>
    <s v="K5"/>
    <n v="2.5"/>
    <n v="4"/>
    <s v="Auto(S8)"/>
    <n v="8"/>
    <s v="2-Wheel Drive, Front"/>
    <n v="26"/>
    <n v="37"/>
    <n v="30"/>
    <x v="1"/>
    <n v="1750"/>
    <n v="6"/>
    <n v="6"/>
    <n v="347"/>
    <n v="238"/>
    <n v="298"/>
    <n v="750"/>
    <m/>
    <s v=""/>
    <s v="Naturally Aspirated"/>
    <s v="Yes"/>
  </r>
  <r>
    <n v="2025"/>
    <s v="Kia"/>
    <s v="KIA"/>
    <s v="K5"/>
    <n v="2.5"/>
    <n v="4"/>
    <s v="Auto(AM-S8)"/>
    <n v="8"/>
    <s v="2-Wheel Drive, Front"/>
    <n v="23"/>
    <n v="33"/>
    <n v="27"/>
    <x v="1"/>
    <n v="1950"/>
    <n v="5"/>
    <n v="5"/>
    <n v="380"/>
    <n v="273"/>
    <n v="331"/>
    <m/>
    <n v="250"/>
    <s v=""/>
    <s v="Turbocharged"/>
    <s v="No"/>
  </r>
  <r>
    <n v="2025"/>
    <s v="Kia"/>
    <s v="KIA"/>
    <s v="K5 AWD"/>
    <n v="2.5"/>
    <n v="4"/>
    <s v="Auto(S8)"/>
    <n v="8"/>
    <s v="All Wheel Drive"/>
    <n v="24"/>
    <n v="33"/>
    <n v="27"/>
    <x v="1"/>
    <n v="1950"/>
    <n v="5"/>
    <n v="5"/>
    <n v="377"/>
    <n v="270"/>
    <n v="329"/>
    <m/>
    <n v="250"/>
    <s v=""/>
    <s v="Naturally Aspirated"/>
    <s v="No"/>
  </r>
  <r>
    <n v="2025"/>
    <s v="Kia"/>
    <s v="KIA"/>
    <s v="Niro"/>
    <n v="1.6"/>
    <n v="4"/>
    <s v="Auto(AM-S6)"/>
    <n v="6"/>
    <s v="2-Wheel Drive, Front"/>
    <n v="53"/>
    <n v="45"/>
    <n v="49"/>
    <x v="4"/>
    <n v="1050"/>
    <n v="8"/>
    <n v="8"/>
    <n v="168"/>
    <n v="196"/>
    <n v="181"/>
    <n v="4250"/>
    <m/>
    <s v=""/>
    <s v="Naturally Aspirated"/>
    <s v="Yes"/>
  </r>
  <r>
    <n v="2025"/>
    <s v="Kia"/>
    <s v="KIA"/>
    <s v="Niro FE"/>
    <n v="1.6"/>
    <n v="4"/>
    <s v="Auto(AM-S6)"/>
    <n v="6"/>
    <s v="2-Wheel Drive, Front"/>
    <n v="53"/>
    <n v="54"/>
    <n v="53"/>
    <x v="4"/>
    <n v="1000"/>
    <n v="8"/>
    <n v="8"/>
    <n v="168"/>
    <n v="165"/>
    <n v="167"/>
    <n v="4500"/>
    <m/>
    <s v=""/>
    <s v="Naturally Aspirated"/>
    <s v="Yes"/>
  </r>
  <r>
    <n v="2025"/>
    <s v="Kia"/>
    <s v="KIA"/>
    <s v="Seltos AWD"/>
    <n v="1.6"/>
    <n v="4"/>
    <s v="Auto(S8)"/>
    <n v="8"/>
    <s v="All Wheel Drive"/>
    <n v="24"/>
    <n v="27"/>
    <n v="25"/>
    <x v="2"/>
    <n v="2100"/>
    <n v="5"/>
    <n v="5"/>
    <n v="368"/>
    <n v="327"/>
    <n v="350"/>
    <m/>
    <n v="1000"/>
    <s v=""/>
    <s v="Turbocharged"/>
    <s v="No"/>
  </r>
  <r>
    <n v="2025"/>
    <s v="Kia"/>
    <s v="KIA"/>
    <s v="Seltos AWD"/>
    <n v="2"/>
    <n v="4"/>
    <s v="Auto(AV-S8)"/>
    <n v="8"/>
    <s v="All Wheel Drive"/>
    <n v="27"/>
    <n v="31"/>
    <n v="29"/>
    <x v="2"/>
    <n v="1800"/>
    <n v="6"/>
    <n v="6"/>
    <n v="331"/>
    <n v="282"/>
    <n v="309"/>
    <n v="500"/>
    <m/>
    <s v=""/>
    <s v="Naturally Aspirated"/>
    <s v="Yes"/>
  </r>
  <r>
    <n v="2025"/>
    <s v="Kia"/>
    <s v="KIA"/>
    <s v="Seltos FWD"/>
    <n v="2"/>
    <n v="4"/>
    <s v="Auto(AV-S8)"/>
    <n v="8"/>
    <s v="2-Wheel Drive, Front"/>
    <n v="28"/>
    <n v="34"/>
    <n v="31"/>
    <x v="4"/>
    <n v="1700"/>
    <n v="6"/>
    <n v="6"/>
    <n v="312"/>
    <n v="259"/>
    <n v="288"/>
    <n v="1000"/>
    <m/>
    <s v=""/>
    <s v="Naturally Aspirated"/>
    <s v="Yes"/>
  </r>
  <r>
    <n v="2025"/>
    <s v="Kia"/>
    <s v="KIA"/>
    <s v="Sorento AWD"/>
    <n v="2.5"/>
    <n v="4"/>
    <s v="Auto(S8)"/>
    <n v="8"/>
    <s v="All Wheel Drive"/>
    <n v="23"/>
    <n v="28"/>
    <n v="25"/>
    <x v="2"/>
    <n v="2100"/>
    <n v="5"/>
    <n v="5"/>
    <n v="387"/>
    <n v="321"/>
    <n v="357"/>
    <m/>
    <n v="1000"/>
    <s v=""/>
    <s v="Naturally Aspirated"/>
    <s v="Yes"/>
  </r>
  <r>
    <n v="2025"/>
    <s v="Kia"/>
    <s v="KIA"/>
    <s v="Sorento AWD"/>
    <n v="2.5"/>
    <n v="4"/>
    <s v="Auto(AM-S8)"/>
    <n v="8"/>
    <s v="All Wheel Drive"/>
    <n v="20"/>
    <n v="27"/>
    <n v="23"/>
    <x v="2"/>
    <n v="2300"/>
    <n v="5"/>
    <n v="5"/>
    <n v="438"/>
    <n v="329"/>
    <n v="389"/>
    <m/>
    <n v="2000"/>
    <s v=""/>
    <s v="Turbocharged"/>
    <s v="Yes"/>
  </r>
  <r>
    <n v="2025"/>
    <s v="Kia"/>
    <s v="KIA"/>
    <s v="Sorento FWD"/>
    <n v="2.5"/>
    <n v="4"/>
    <s v="Auto(S8)"/>
    <n v="8"/>
    <s v="2-Wheel Drive, Front"/>
    <n v="23"/>
    <n v="31"/>
    <n v="26"/>
    <x v="4"/>
    <n v="2000"/>
    <n v="5"/>
    <n v="5"/>
    <n v="380"/>
    <n v="289"/>
    <n v="339"/>
    <m/>
    <n v="500"/>
    <s v=""/>
    <s v="Naturally Aspirated"/>
    <s v="Yes"/>
  </r>
  <r>
    <n v="2025"/>
    <s v="Kia"/>
    <s v="KIA"/>
    <s v="Sorento FWD"/>
    <n v="2.5"/>
    <n v="4"/>
    <s v="Auto(AM-S8)"/>
    <n v="8"/>
    <s v="2-Wheel Drive, Front"/>
    <n v="20"/>
    <n v="29"/>
    <n v="23"/>
    <x v="4"/>
    <n v="2300"/>
    <n v="5"/>
    <n v="5"/>
    <n v="441"/>
    <n v="311"/>
    <n v="382"/>
    <m/>
    <n v="2000"/>
    <s v=""/>
    <s v="Turbocharged"/>
    <s v="Yes"/>
  </r>
  <r>
    <n v="2025"/>
    <s v="Kia"/>
    <s v="KIA"/>
    <s v="Sorento Hybrid AWD"/>
    <n v="1.6"/>
    <n v="4"/>
    <s v="Auto(AM-S6)"/>
    <n v="6"/>
    <s v="All Wheel Drive"/>
    <n v="34"/>
    <n v="34"/>
    <n v="34"/>
    <x v="2"/>
    <n v="1550"/>
    <n v="7"/>
    <n v="7"/>
    <n v="262"/>
    <n v="263"/>
    <n v="263"/>
    <n v="1750"/>
    <m/>
    <s v=""/>
    <s v="Turbocharged"/>
    <s v="Yes"/>
  </r>
  <r>
    <n v="2025"/>
    <s v="Kia"/>
    <s v="KIA"/>
    <s v="Sorento Hybrid FWD"/>
    <n v="1.6"/>
    <n v="4"/>
    <s v="Auto(AM-S6)"/>
    <n v="6"/>
    <s v="2-Wheel Drive, Front"/>
    <n v="36"/>
    <n v="36"/>
    <n v="36"/>
    <x v="4"/>
    <n v="1450"/>
    <n v="7"/>
    <n v="7"/>
    <n v="246"/>
    <n v="246"/>
    <n v="246"/>
    <n v="2250"/>
    <m/>
    <s v=""/>
    <s v="Turbocharged"/>
    <s v="Yes"/>
  </r>
  <r>
    <n v="2025"/>
    <s v="Kia"/>
    <s v="KIA"/>
    <s v="Soul"/>
    <n v="2"/>
    <n v="4"/>
    <s v="Auto(AV)"/>
    <n v="1"/>
    <s v="2-Wheel Drive, Front"/>
    <n v="27"/>
    <n v="33"/>
    <n v="30"/>
    <x v="0"/>
    <n v="1750"/>
    <n v="6"/>
    <n v="6"/>
    <n v="328"/>
    <n v="270"/>
    <n v="302"/>
    <n v="750"/>
    <m/>
    <s v=""/>
    <s v="Naturally Aspirated"/>
    <s v="Yes"/>
  </r>
  <r>
    <n v="2025"/>
    <s v="Kia"/>
    <s v="KIA"/>
    <s v="Soul Eco dynamics"/>
    <n v="2"/>
    <n v="4"/>
    <s v="Auto(AV)"/>
    <n v="1"/>
    <s v="2-Wheel Drive, Front"/>
    <n v="29"/>
    <n v="35"/>
    <n v="31"/>
    <x v="0"/>
    <n v="1700"/>
    <n v="6"/>
    <n v="6"/>
    <n v="312"/>
    <n v="256"/>
    <n v="287"/>
    <n v="1000"/>
    <m/>
    <s v=""/>
    <s v="Naturally Aspirated"/>
    <s v="Yes"/>
  </r>
  <r>
    <n v="2025"/>
    <s v="Kia"/>
    <s v="KIA"/>
    <s v="Sportage AWD"/>
    <n v="2.5"/>
    <n v="4"/>
    <s v="Auto(S8)"/>
    <n v="8"/>
    <s v="All Wheel Drive"/>
    <n v="23"/>
    <n v="27"/>
    <n v="25"/>
    <x v="2"/>
    <n v="2100"/>
    <n v="5"/>
    <n v="5"/>
    <n v="381"/>
    <n v="336"/>
    <n v="361"/>
    <m/>
    <n v="1000"/>
    <s v=""/>
    <s v="Naturally Aspirated"/>
    <s v="Yes"/>
  </r>
  <r>
    <n v="2025"/>
    <s v="Kia"/>
    <s v="KIA"/>
    <s v="Sportage FWD"/>
    <n v="2.5"/>
    <n v="4"/>
    <s v="Auto(S8)"/>
    <n v="8"/>
    <s v="2-Wheel Drive, Front"/>
    <n v="25"/>
    <n v="32"/>
    <n v="28"/>
    <x v="4"/>
    <n v="1900"/>
    <n v="6"/>
    <n v="6"/>
    <n v="352"/>
    <n v="274"/>
    <n v="317"/>
    <n v="0"/>
    <m/>
    <s v=""/>
    <s v="Naturally Aspirated"/>
    <s v="Yes"/>
  </r>
  <r>
    <n v="2025"/>
    <s v="Kia"/>
    <s v="KIA"/>
    <s v="Sportage Hybrid AWD"/>
    <n v="1.6"/>
    <n v="4"/>
    <s v="Auto(AM-S6)"/>
    <n v="6"/>
    <s v="All Wheel Drive"/>
    <n v="38"/>
    <n v="38"/>
    <n v="38"/>
    <x v="2"/>
    <n v="1400"/>
    <n v="7"/>
    <n v="7"/>
    <n v="235"/>
    <n v="235"/>
    <n v="235"/>
    <n v="2500"/>
    <m/>
    <s v=""/>
    <s v="Turbocharged"/>
    <s v="Yes"/>
  </r>
  <r>
    <n v="2025"/>
    <s v="Kia"/>
    <s v="KIA"/>
    <s v="Sportage Hybrid FWD"/>
    <n v="1.6"/>
    <n v="4"/>
    <s v="Auto(AM-S6)"/>
    <n v="6"/>
    <s v="2-Wheel Drive, Front"/>
    <n v="42"/>
    <n v="44"/>
    <n v="43"/>
    <x v="2"/>
    <n v="1200"/>
    <n v="7"/>
    <n v="7"/>
    <n v="210"/>
    <n v="200"/>
    <n v="206"/>
    <n v="3500"/>
    <m/>
    <s v=""/>
    <s v="Turbocharged"/>
    <s v="Yes"/>
  </r>
  <r>
    <n v="2025"/>
    <s v="Kia"/>
    <s v="KIA"/>
    <s v="Sportage X-pro"/>
    <n v="2.5"/>
    <n v="4"/>
    <s v="Auto(S8)"/>
    <n v="8"/>
    <s v="All Wheel Drive"/>
    <n v="23"/>
    <n v="30"/>
    <n v="26"/>
    <x v="2"/>
    <n v="2000"/>
    <n v="5"/>
    <n v="5"/>
    <n v="384"/>
    <n v="294"/>
    <n v="344"/>
    <m/>
    <n v="500"/>
    <s v=""/>
    <s v="Naturally Aspirated"/>
    <s v="Yes"/>
  </r>
  <r>
    <n v="2025"/>
    <s v="Kia"/>
    <s v="KIA"/>
    <s v="Telluride AWD"/>
    <n v="3.8"/>
    <n v="6"/>
    <s v="Auto(S8)"/>
    <n v="8"/>
    <s v="All Wheel Drive"/>
    <n v="18"/>
    <n v="23"/>
    <n v="20"/>
    <x v="2"/>
    <n v="2600"/>
    <n v="4"/>
    <n v="4"/>
    <n v="494"/>
    <n v="379"/>
    <n v="442"/>
    <m/>
    <n v="3500"/>
    <s v=""/>
    <s v="Naturally Aspirated"/>
    <s v="Yes"/>
  </r>
  <r>
    <n v="2025"/>
    <s v="Kia"/>
    <s v="KIA"/>
    <s v="Telluride FWD"/>
    <n v="3.8"/>
    <n v="6"/>
    <s v="Auto(S8)"/>
    <n v="8"/>
    <s v="2-Wheel Drive, Front"/>
    <n v="20"/>
    <n v="26"/>
    <n v="22"/>
    <x v="4"/>
    <n v="2400"/>
    <n v="5"/>
    <n v="5"/>
    <n v="447"/>
    <n v="339"/>
    <n v="398"/>
    <m/>
    <n v="2500"/>
    <s v=""/>
    <s v="Naturally Aspirated"/>
    <s v="Yes"/>
  </r>
  <r>
    <n v="2025"/>
    <s v="Jaguar Land Rover L"/>
    <s v="Land Rover"/>
    <s v="Defender 110"/>
    <n v="2"/>
    <n v="4"/>
    <s v="Auto(S8)"/>
    <n v="8"/>
    <s v="4-Wheel Drive"/>
    <n v="18"/>
    <n v="20"/>
    <n v="19"/>
    <x v="3"/>
    <n v="3350"/>
    <n v="4"/>
    <n v="4"/>
    <n v="496"/>
    <n v="447"/>
    <n v="474"/>
    <m/>
    <n v="7250"/>
    <s v=""/>
    <s v="Turbocharged"/>
    <s v="Yes"/>
  </r>
  <r>
    <n v="2025"/>
    <s v="Jaguar Land Rover L"/>
    <s v="Land Rover"/>
    <s v="Defender 110"/>
    <n v="5"/>
    <n v="8"/>
    <s v="Auto(S8)"/>
    <n v="8"/>
    <s v="4-Wheel Drive"/>
    <n v="14"/>
    <n v="18"/>
    <n v="16"/>
    <x v="3"/>
    <n v="4000"/>
    <n v="3"/>
    <n v="3"/>
    <n v="644"/>
    <n v="489"/>
    <n v="574"/>
    <m/>
    <n v="10500"/>
    <s v=""/>
    <s v="Supercharged"/>
    <s v="Yes"/>
  </r>
  <r>
    <n v="2025"/>
    <s v="Jaguar Land Rover L"/>
    <s v="Land Rover"/>
    <s v="Defender 110 MHEV"/>
    <n v="4.4000000000000004"/>
    <n v="8"/>
    <s v="Auto(S8)"/>
    <n v="8"/>
    <s v="4-Wheel Drive"/>
    <n v="15"/>
    <n v="19"/>
    <n v="17"/>
    <x v="3"/>
    <n v="3750"/>
    <n v="3"/>
    <n v="3"/>
    <n v="597"/>
    <n v="458"/>
    <n v="534"/>
    <m/>
    <n v="9250"/>
    <s v=""/>
    <s v="Turbocharged"/>
    <s v="Yes"/>
  </r>
  <r>
    <n v="2025"/>
    <s v="Jaguar Land Rover L"/>
    <s v="Land Rover"/>
    <s v="Defender 130"/>
    <n v="5"/>
    <n v="8"/>
    <s v="Auto(S8)"/>
    <n v="8"/>
    <s v="4-Wheel Drive"/>
    <n v="14"/>
    <n v="19"/>
    <n v="16"/>
    <x v="3"/>
    <n v="4000"/>
    <n v="3"/>
    <n v="3"/>
    <n v="644"/>
    <n v="474"/>
    <n v="567"/>
    <m/>
    <n v="10500"/>
    <s v=""/>
    <s v="Supercharged"/>
    <s v="Yes"/>
  </r>
  <r>
    <n v="2025"/>
    <s v="Jaguar Land Rover L"/>
    <s v="Land Rover"/>
    <s v="Defender 130 Outbound"/>
    <n v="3"/>
    <n v="6"/>
    <s v="Auto(S8)"/>
    <n v="8"/>
    <s v="4-Wheel Drive"/>
    <n v="16"/>
    <n v="19"/>
    <n v="18"/>
    <x v="3"/>
    <n v="3550"/>
    <n v="4"/>
    <n v="4"/>
    <n v="547"/>
    <n v="462"/>
    <n v="509"/>
    <m/>
    <n v="8250"/>
    <s v=""/>
    <s v="Turbocharged+Supercharged"/>
    <s v="Yes"/>
  </r>
  <r>
    <n v="2025"/>
    <s v="Jaguar Land Rover L"/>
    <s v="Land Rover"/>
    <s v="Defender 130 P300 MHEV"/>
    <n v="3"/>
    <n v="6"/>
    <s v="Auto(S8)"/>
    <n v="8"/>
    <s v="4-Wheel Drive"/>
    <n v="17"/>
    <n v="20"/>
    <n v="18"/>
    <x v="3"/>
    <n v="3550"/>
    <n v="4"/>
    <n v="4"/>
    <n v="531"/>
    <n v="443"/>
    <n v="491"/>
    <m/>
    <n v="8250"/>
    <s v=""/>
    <s v="Turbocharged+Supercharged"/>
    <s v="Yes"/>
  </r>
  <r>
    <n v="2025"/>
    <s v="Jaguar Land Rover L"/>
    <s v="Land Rover"/>
    <s v="Defender 130 P400 MHEV"/>
    <n v="3"/>
    <n v="6"/>
    <s v="Auto(S8)"/>
    <n v="8"/>
    <s v="4-Wheel Drive"/>
    <n v="18"/>
    <n v="20"/>
    <n v="19"/>
    <x v="3"/>
    <n v="3350"/>
    <n v="4"/>
    <n v="4"/>
    <n v="506"/>
    <n v="434"/>
    <n v="474"/>
    <m/>
    <n v="7250"/>
    <s v=""/>
    <s v="Turbocharged+Supercharged"/>
    <s v="Yes"/>
  </r>
  <r>
    <n v="2025"/>
    <s v="Jaguar Land Rover L"/>
    <s v="Land Rover"/>
    <s v="Defender 90"/>
    <n v="2"/>
    <n v="4"/>
    <s v="Auto(S8)"/>
    <n v="8"/>
    <s v="4-Wheel Drive"/>
    <n v="18"/>
    <n v="21"/>
    <n v="19"/>
    <x v="3"/>
    <n v="3350"/>
    <n v="4"/>
    <n v="4"/>
    <n v="493"/>
    <n v="431"/>
    <n v="465"/>
    <m/>
    <n v="7250"/>
    <s v=""/>
    <s v="Turbocharged"/>
    <s v="Yes"/>
  </r>
  <r>
    <n v="2025"/>
    <s v="Jaguar Land Rover L"/>
    <s v="Land Rover"/>
    <s v="Defender 90"/>
    <n v="5"/>
    <n v="8"/>
    <s v="Auto(S8)"/>
    <n v="8"/>
    <s v="4-Wheel Drive"/>
    <n v="15"/>
    <n v="19"/>
    <n v="16"/>
    <x v="3"/>
    <n v="4000"/>
    <n v="3"/>
    <n v="3"/>
    <n v="615"/>
    <n v="471"/>
    <n v="550"/>
    <m/>
    <n v="10500"/>
    <s v=""/>
    <s v="Supercharged"/>
    <s v="Yes"/>
  </r>
  <r>
    <n v="2025"/>
    <s v="Jaguar Land Rover L"/>
    <s v="Land Rover"/>
    <s v="Defender 90 MHEV"/>
    <n v="3"/>
    <n v="6"/>
    <s v="Auto(S8)"/>
    <n v="8"/>
    <s v="4-Wheel Drive"/>
    <n v="18"/>
    <n v="21"/>
    <n v="19"/>
    <x v="3"/>
    <n v="3350"/>
    <n v="4"/>
    <n v="4"/>
    <n v="497"/>
    <n v="433"/>
    <n v="468"/>
    <m/>
    <n v="7250"/>
    <s v=""/>
    <s v="Turbocharged+Supercharged"/>
    <s v="Yes"/>
  </r>
  <r>
    <n v="2025"/>
    <s v="Jaguar Land Rover L"/>
    <s v="Land Rover"/>
    <s v="Discovery"/>
    <n v="2"/>
    <n v="4"/>
    <s v="Auto(S8)"/>
    <n v="8"/>
    <s v="4-Wheel Drive"/>
    <n v="19"/>
    <n v="24"/>
    <n v="21"/>
    <x v="3"/>
    <n v="3050"/>
    <n v="4"/>
    <n v="4"/>
    <n v="462"/>
    <n v="372"/>
    <n v="421"/>
    <m/>
    <n v="5750"/>
    <s v=""/>
    <s v="Turbocharged"/>
    <s v="Yes"/>
  </r>
  <r>
    <n v="2025"/>
    <s v="Jaguar Land Rover L"/>
    <s v="Land Rover"/>
    <s v="Discovery Sport"/>
    <n v="2"/>
    <n v="4"/>
    <s v="Auto(S9)"/>
    <n v="9"/>
    <s v="All Wheel Drive"/>
    <n v="19"/>
    <n v="23"/>
    <n v="20"/>
    <x v="2"/>
    <n v="3200"/>
    <n v="4"/>
    <n v="4"/>
    <n v="482"/>
    <n v="381"/>
    <n v="437"/>
    <m/>
    <n v="6500"/>
    <s v=""/>
    <s v="Turbocharged"/>
    <s v="Yes"/>
  </r>
  <r>
    <n v="2025"/>
    <s v="Jaguar Land Rover L"/>
    <s v="Land Rover"/>
    <s v="Range Rover Evoque"/>
    <n v="2"/>
    <n v="4"/>
    <s v="Auto(S9)"/>
    <n v="9"/>
    <s v="All Wheel Drive"/>
    <n v="20"/>
    <n v="27"/>
    <n v="22"/>
    <x v="2"/>
    <n v="2900"/>
    <n v="5"/>
    <n v="5"/>
    <n v="451"/>
    <n v="334"/>
    <n v="398"/>
    <m/>
    <n v="5000"/>
    <s v=""/>
    <s v="Turbocharged"/>
    <s v="Yes"/>
  </r>
  <r>
    <n v="2025"/>
    <s v="Jaguar Land Rover L"/>
    <s v="Land Rover"/>
    <s v="Range Rover LWB MHEV"/>
    <n v="4.4000000000000004"/>
    <n v="8"/>
    <s v="Auto(S8)"/>
    <n v="8"/>
    <s v="4-Wheel Drive"/>
    <n v="16"/>
    <n v="22"/>
    <n v="18"/>
    <x v="3"/>
    <n v="3550"/>
    <n v="4"/>
    <n v="4"/>
    <n v="574"/>
    <n v="411"/>
    <n v="501"/>
    <m/>
    <n v="8250"/>
    <s v=""/>
    <s v="Turbocharged"/>
    <s v="Yes"/>
  </r>
  <r>
    <n v="2025"/>
    <s v="Jaguar Land Rover L"/>
    <s v="Land Rover"/>
    <s v="Range Rover MHEV"/>
    <n v="4.4000000000000004"/>
    <n v="8"/>
    <s v="Auto(S8)"/>
    <n v="8"/>
    <s v="4-Wheel Drive"/>
    <n v="16"/>
    <n v="23"/>
    <n v="19"/>
    <x v="3"/>
    <n v="3350"/>
    <n v="4"/>
    <n v="4"/>
    <n v="549"/>
    <n v="388"/>
    <n v="477"/>
    <m/>
    <n v="7250"/>
    <s v=""/>
    <s v="Turbocharged"/>
    <s v="Yes"/>
  </r>
  <r>
    <n v="2025"/>
    <s v="Jaguar Land Rover L"/>
    <s v="Land Rover"/>
    <s v="Range Rover P400 LWB MHEV"/>
    <n v="3"/>
    <n v="6"/>
    <s v="Auto(S8)"/>
    <n v="8"/>
    <s v="4-Wheel Drive"/>
    <n v="19"/>
    <n v="24"/>
    <n v="21"/>
    <x v="3"/>
    <n v="3050"/>
    <n v="4"/>
    <n v="4"/>
    <n v="471"/>
    <n v="375"/>
    <n v="428"/>
    <m/>
    <n v="5750"/>
    <s v=""/>
    <s v="Turbocharged+Supercharged"/>
    <s v="Yes"/>
  </r>
  <r>
    <n v="2025"/>
    <s v="Jaguar Land Rover L"/>
    <s v="Land Rover"/>
    <s v="Range Rover P400 MHEV"/>
    <n v="3"/>
    <n v="6"/>
    <s v="Auto(S8)"/>
    <n v="8"/>
    <s v="4-Wheel Drive"/>
    <n v="19"/>
    <n v="24"/>
    <n v="21"/>
    <x v="3"/>
    <n v="3050"/>
    <n v="4"/>
    <n v="4"/>
    <n v="471"/>
    <n v="375"/>
    <n v="428"/>
    <m/>
    <n v="5750"/>
    <s v=""/>
    <s v="Turbocharged+Supercharged"/>
    <s v="Yes"/>
  </r>
  <r>
    <n v="2025"/>
    <s v="Jaguar Land Rover L"/>
    <s v="Land Rover"/>
    <s v="Range Rover Sport MHEV"/>
    <n v="4.4000000000000004"/>
    <n v="8"/>
    <s v="Auto(S8)"/>
    <n v="8"/>
    <s v="4-Wheel Drive"/>
    <n v="16"/>
    <n v="23"/>
    <n v="19"/>
    <x v="3"/>
    <n v="3350"/>
    <n v="4"/>
    <n v="4"/>
    <n v="549"/>
    <n v="388"/>
    <n v="477"/>
    <m/>
    <n v="7250"/>
    <s v=""/>
    <s v="Turbocharged"/>
    <s v="Yes"/>
  </r>
  <r>
    <n v="2025"/>
    <s v="Jaguar Land Rover L"/>
    <s v="Land Rover"/>
    <s v="Range Rover Sport P360 MHEV"/>
    <n v="3"/>
    <n v="6"/>
    <s v="Auto(S8)"/>
    <n v="8"/>
    <s v="4-Wheel Drive"/>
    <n v="20"/>
    <n v="25"/>
    <n v="22"/>
    <x v="3"/>
    <n v="2900"/>
    <n v="5"/>
    <n v="5"/>
    <n v="446"/>
    <n v="342"/>
    <n v="399"/>
    <m/>
    <n v="5000"/>
    <s v=""/>
    <s v="Turbocharged+Supercharged"/>
    <s v="Yes"/>
  </r>
  <r>
    <n v="2025"/>
    <s v="Jaguar Land Rover L"/>
    <s v="Land Rover"/>
    <s v="Range Rover Sport P400 MHEV"/>
    <n v="3"/>
    <n v="6"/>
    <s v="Auto(S8)"/>
    <n v="8"/>
    <s v="4-Wheel Drive"/>
    <n v="20"/>
    <n v="25"/>
    <n v="22"/>
    <x v="3"/>
    <n v="2900"/>
    <n v="5"/>
    <n v="5"/>
    <n v="446"/>
    <n v="342"/>
    <n v="399"/>
    <m/>
    <n v="5000"/>
    <s v=""/>
    <s v="Turbocharged+Supercharged"/>
    <s v="Yes"/>
  </r>
  <r>
    <n v="2025"/>
    <s v="Jaguar Land Rover L"/>
    <s v="Land Rover"/>
    <s v="Range Rover Sport SVR MHEV"/>
    <n v="4.4000000000000004"/>
    <n v="8"/>
    <s v="Auto(S8)"/>
    <n v="8"/>
    <s v="4-Wheel Drive"/>
    <n v="16"/>
    <n v="22"/>
    <n v="18"/>
    <x v="3"/>
    <n v="3550"/>
    <n v="4"/>
    <n v="4"/>
    <n v="568"/>
    <n v="410"/>
    <n v="497"/>
    <m/>
    <n v="8250"/>
    <s v=""/>
    <s v="Turbocharged"/>
    <s v="Yes"/>
  </r>
  <r>
    <n v="2025"/>
    <s v="Jaguar Land Rover L"/>
    <s v="Land Rover"/>
    <s v="Range Rover SV LWB MHEV"/>
    <n v="4.4000000000000004"/>
    <n v="8"/>
    <s v="Auto(S8)"/>
    <n v="8"/>
    <s v="4-Wheel Drive"/>
    <n v="16"/>
    <n v="22"/>
    <n v="18"/>
    <x v="3"/>
    <n v="3550"/>
    <n v="4"/>
    <n v="4"/>
    <n v="574"/>
    <n v="411"/>
    <n v="501"/>
    <m/>
    <n v="8250"/>
    <s v=""/>
    <s v="Turbocharged"/>
    <s v="Yes"/>
  </r>
  <r>
    <n v="2025"/>
    <s v="Jaguar Land Rover L"/>
    <s v="Land Rover"/>
    <s v="Range Rover SV MHEV"/>
    <n v="4.4000000000000004"/>
    <n v="8"/>
    <s v="Auto(S8)"/>
    <n v="8"/>
    <s v="4-Wheel Drive"/>
    <n v="16"/>
    <n v="22"/>
    <n v="18"/>
    <x v="3"/>
    <n v="3550"/>
    <n v="4"/>
    <n v="4"/>
    <n v="574"/>
    <n v="411"/>
    <n v="501"/>
    <m/>
    <n v="8250"/>
    <s v=""/>
    <s v="Turbocharged"/>
    <s v="Yes"/>
  </r>
  <r>
    <n v="2025"/>
    <s v="Jaguar Land Rover L"/>
    <s v="Land Rover"/>
    <s v="Range Rover Velar"/>
    <n v="2"/>
    <n v="4"/>
    <s v="Auto(S8)"/>
    <n v="8"/>
    <s v="All Wheel Drive"/>
    <n v="22"/>
    <n v="26"/>
    <n v="23"/>
    <x v="2"/>
    <n v="2750"/>
    <n v="5"/>
    <n v="5"/>
    <n v="415"/>
    <n v="339"/>
    <n v="381"/>
    <m/>
    <n v="4250"/>
    <s v=""/>
    <s v="Turbocharged"/>
    <s v="Yes"/>
  </r>
  <r>
    <n v="2025"/>
    <s v="Jaguar Land Rover L"/>
    <s v="Land Rover"/>
    <s v="Range Rover Velar P340 MHEV"/>
    <n v="3"/>
    <n v="6"/>
    <s v="Auto(S8)"/>
    <n v="8"/>
    <s v="4-Wheel Drive"/>
    <n v="19"/>
    <n v="26"/>
    <n v="22"/>
    <x v="2"/>
    <n v="2900"/>
    <n v="5"/>
    <n v="5"/>
    <n v="460"/>
    <n v="343"/>
    <n v="407"/>
    <m/>
    <n v="5000"/>
    <s v=""/>
    <s v="Turbocharged+Supercharged"/>
    <s v="Yes"/>
  </r>
  <r>
    <n v="2025"/>
    <s v="Jaguar Land Rover L"/>
    <s v="Land Rover"/>
    <s v="Range Rover Velar P400 MHEV"/>
    <n v="3"/>
    <n v="6"/>
    <s v="Auto(S8)"/>
    <n v="8"/>
    <s v="4-Wheel Drive"/>
    <n v="19"/>
    <n v="25"/>
    <n v="21"/>
    <x v="2"/>
    <n v="3050"/>
    <n v="4"/>
    <n v="4"/>
    <n v="473"/>
    <n v="354"/>
    <n v="420"/>
    <m/>
    <n v="5750"/>
    <s v=""/>
    <s v="Turbocharged+Supercharged"/>
    <s v="Yes"/>
  </r>
  <r>
    <n v="2025"/>
    <s v="Toyota"/>
    <s v="LEXUS"/>
    <s v="ES 250 AWD"/>
    <n v="2.5"/>
    <n v="4"/>
    <s v="Auto(S8)"/>
    <n v="8"/>
    <s v="All Wheel Drive"/>
    <n v="24"/>
    <n v="33"/>
    <n v="28"/>
    <x v="6"/>
    <n v="1900"/>
    <n v="6"/>
    <n v="6"/>
    <n v="365"/>
    <n v="265"/>
    <n v="320"/>
    <n v="0"/>
    <m/>
    <s v=""/>
    <s v="Naturally Aspirated"/>
    <s v="No"/>
  </r>
  <r>
    <n v="2025"/>
    <s v="Toyota"/>
    <s v="LEXUS"/>
    <s v="ES 300h"/>
    <n v="2.5"/>
    <n v="4"/>
    <s v="Auto(AV-S6)"/>
    <n v="6"/>
    <s v="2-Wheel Drive, Front"/>
    <n v="43"/>
    <n v="44"/>
    <n v="44"/>
    <x v="6"/>
    <n v="1200"/>
    <n v="7"/>
    <n v="7"/>
    <n v="204"/>
    <n v="200"/>
    <n v="200"/>
    <n v="3500"/>
    <m/>
    <s v=""/>
    <s v="Naturally Aspirated"/>
    <s v="Yes"/>
  </r>
  <r>
    <n v="2025"/>
    <s v="Toyota"/>
    <s v="LEXUS"/>
    <s v="ES 350"/>
    <n v="3.5"/>
    <n v="6"/>
    <s v="Auto(S8)"/>
    <n v="8"/>
    <s v="2-Wheel Drive, Front"/>
    <n v="22"/>
    <n v="32"/>
    <n v="25"/>
    <x v="6"/>
    <n v="2100"/>
    <n v="5"/>
    <n v="5"/>
    <n v="405"/>
    <n v="276"/>
    <n v="347"/>
    <m/>
    <n v="1000"/>
    <s v=""/>
    <s v="Naturally Aspirated"/>
    <s v="No"/>
  </r>
  <r>
    <n v="2025"/>
    <s v="Toyota"/>
    <s v="LEXUS"/>
    <s v="ES 350 F SPORT"/>
    <n v="3.5"/>
    <n v="6"/>
    <s v="Auto(S8)"/>
    <n v="8"/>
    <s v="2-Wheel Drive, Front"/>
    <n v="22"/>
    <n v="31"/>
    <n v="25"/>
    <x v="6"/>
    <n v="2100"/>
    <n v="5"/>
    <n v="5"/>
    <n v="409"/>
    <n v="283"/>
    <n v="352"/>
    <m/>
    <n v="1000"/>
    <s v=""/>
    <s v="Naturally Aspirated"/>
    <s v="No"/>
  </r>
  <r>
    <n v="2025"/>
    <s v="Toyota"/>
    <s v="LEXUS"/>
    <s v="GX 550"/>
    <n v="3.4"/>
    <n v="6"/>
    <s v="Auto(S10)"/>
    <n v="10"/>
    <s v="4-Wheel Drive"/>
    <n v="15"/>
    <n v="21"/>
    <n v="17"/>
    <x v="3"/>
    <n v="3750"/>
    <n v="3"/>
    <n v="3"/>
    <n v="576"/>
    <n v="420"/>
    <n v="505"/>
    <m/>
    <n v="9250"/>
    <s v=""/>
    <s v="Turbocharged"/>
    <s v="No"/>
  </r>
  <r>
    <n v="2025"/>
    <s v="Toyota"/>
    <s v="LEXUS"/>
    <s v="IS 300"/>
    <n v="2"/>
    <n v="4"/>
    <s v="Auto(S8)"/>
    <n v="8"/>
    <s v="2-Wheel Drive, Rear"/>
    <n v="21"/>
    <n v="31"/>
    <n v="25"/>
    <x v="5"/>
    <n v="2550"/>
    <n v="5"/>
    <n v="5"/>
    <n v="414"/>
    <n v="284"/>
    <n v="356"/>
    <m/>
    <n v="3250"/>
    <s v=""/>
    <s v="Turbocharged"/>
    <s v="No"/>
  </r>
  <r>
    <n v="2025"/>
    <s v="Toyota"/>
    <s v="LEXUS"/>
    <s v="IS 300 AWD"/>
    <n v="3.5"/>
    <n v="6"/>
    <s v="Auto(S6)"/>
    <n v="6"/>
    <s v="All Wheel Drive"/>
    <n v="19"/>
    <n v="26"/>
    <n v="22"/>
    <x v="5"/>
    <n v="2900"/>
    <n v="5"/>
    <n v="5"/>
    <n v="461"/>
    <n v="340"/>
    <n v="407"/>
    <m/>
    <n v="5000"/>
    <s v=""/>
    <s v="Naturally Aspirated"/>
    <s v="No"/>
  </r>
  <r>
    <n v="2025"/>
    <s v="Toyota"/>
    <s v="LEXUS"/>
    <s v="IS 350"/>
    <n v="3.5"/>
    <n v="6"/>
    <s v="Auto(S8)"/>
    <n v="8"/>
    <s v="2-Wheel Drive, Rear"/>
    <n v="20"/>
    <n v="28"/>
    <n v="23"/>
    <x v="5"/>
    <n v="2750"/>
    <n v="5"/>
    <n v="5"/>
    <n v="441"/>
    <n v="317"/>
    <n v="385"/>
    <m/>
    <n v="4250"/>
    <s v=""/>
    <s v="Naturally Aspirated"/>
    <s v="No"/>
  </r>
  <r>
    <n v="2025"/>
    <s v="Toyota"/>
    <s v="LEXUS"/>
    <s v="IS 350 AWD"/>
    <n v="3.5"/>
    <n v="6"/>
    <s v="Auto(S6)"/>
    <n v="6"/>
    <s v="All Wheel Drive"/>
    <n v="19"/>
    <n v="26"/>
    <n v="22"/>
    <x v="5"/>
    <n v="2900"/>
    <n v="5"/>
    <n v="5"/>
    <n v="461"/>
    <n v="340"/>
    <n v="407"/>
    <m/>
    <n v="5000"/>
    <s v=""/>
    <s v="Naturally Aspirated"/>
    <s v="No"/>
  </r>
  <r>
    <n v="2025"/>
    <s v="Toyota"/>
    <s v="LEXUS"/>
    <s v="IS 500"/>
    <n v="5"/>
    <n v="8"/>
    <s v="Auto(S8)"/>
    <n v="8"/>
    <s v="2-Wheel Drive, Rear"/>
    <n v="17"/>
    <n v="25"/>
    <n v="20"/>
    <x v="5"/>
    <n v="3200"/>
    <n v="4"/>
    <n v="4"/>
    <n v="534"/>
    <n v="350"/>
    <n v="451"/>
    <m/>
    <n v="6500"/>
    <s v=""/>
    <s v="Naturally Aspirated"/>
    <s v="No"/>
  </r>
  <r>
    <n v="2025"/>
    <s v="Toyota"/>
    <s v="LEXUS"/>
    <s v="LC 500"/>
    <n v="5"/>
    <n v="8"/>
    <s v="Auto(S10)"/>
    <n v="10"/>
    <s v="2-Wheel Drive, Rear"/>
    <n v="16"/>
    <n v="24"/>
    <n v="18"/>
    <x v="9"/>
    <n v="3550"/>
    <n v="4"/>
    <n v="4"/>
    <n v="573"/>
    <n v="368"/>
    <n v="481"/>
    <m/>
    <n v="8250"/>
    <s v=""/>
    <s v="Naturally Aspirated"/>
    <s v="No"/>
  </r>
  <r>
    <n v="2025"/>
    <s v="Toyota"/>
    <s v="LEXUS"/>
    <s v="LC 500 CONVERTIBLE"/>
    <n v="5"/>
    <n v="8"/>
    <s v="Auto(S10)"/>
    <n v="10"/>
    <s v="2-Wheel Drive, Rear"/>
    <n v="15"/>
    <n v="25"/>
    <n v="18"/>
    <x v="7"/>
    <n v="3550"/>
    <n v="4"/>
    <n v="4"/>
    <n v="598"/>
    <n v="356"/>
    <n v="489"/>
    <m/>
    <n v="8250"/>
    <s v=""/>
    <s v="Naturally Aspirated"/>
    <s v="No"/>
  </r>
  <r>
    <n v="2025"/>
    <s v="Toyota"/>
    <s v="LEXUS"/>
    <s v="LC 500h"/>
    <n v="3.5"/>
    <n v="6"/>
    <s v="Auto(AV-S10)"/>
    <n v="10"/>
    <s v="2-Wheel Drive, Rear"/>
    <n v="26"/>
    <n v="33"/>
    <n v="29"/>
    <x v="9"/>
    <n v="2200"/>
    <n v="6"/>
    <n v="6"/>
    <n v="336"/>
    <n v="264"/>
    <n v="304"/>
    <m/>
    <n v="1500"/>
    <s v=""/>
    <s v="Naturally Aspirated"/>
    <s v="Yes"/>
  </r>
  <r>
    <n v="2025"/>
    <s v="Toyota"/>
    <s v="LEXUS"/>
    <s v="LS 500"/>
    <n v="3.4"/>
    <n v="6"/>
    <s v="Auto(S10)"/>
    <n v="10"/>
    <s v="2-Wheel Drive, Rear"/>
    <n v="18"/>
    <n v="29"/>
    <n v="22"/>
    <x v="6"/>
    <n v="2900"/>
    <n v="5"/>
    <n v="5"/>
    <n v="483"/>
    <n v="309"/>
    <n v="404"/>
    <m/>
    <n v="5000"/>
    <s v=""/>
    <s v="Turbocharged"/>
    <s v="No"/>
  </r>
  <r>
    <n v="2025"/>
    <s v="Toyota"/>
    <s v="LEXUS"/>
    <s v="LS 500 AWD"/>
    <n v="3.4"/>
    <n v="6"/>
    <s v="Auto(S10)"/>
    <n v="10"/>
    <s v="All Wheel Drive"/>
    <n v="17"/>
    <n v="27"/>
    <n v="21"/>
    <x v="6"/>
    <n v="3050"/>
    <n v="4"/>
    <n v="4"/>
    <n v="499"/>
    <n v="318"/>
    <n v="418"/>
    <m/>
    <n v="5750"/>
    <s v=""/>
    <s v="Turbocharged"/>
    <s v="No"/>
  </r>
  <r>
    <n v="2025"/>
    <s v="Toyota"/>
    <s v="LEXUS"/>
    <s v="LS 500h AWD"/>
    <n v="3.5"/>
    <n v="6"/>
    <s v="Auto(AV-S10)"/>
    <n v="10"/>
    <s v="All Wheel Drive"/>
    <n v="22"/>
    <n v="29"/>
    <n v="25"/>
    <x v="6"/>
    <n v="2550"/>
    <n v="5"/>
    <n v="5"/>
    <n v="391"/>
    <n v="307"/>
    <n v="353"/>
    <m/>
    <n v="3250"/>
    <s v=""/>
    <s v="Naturally Aspirated"/>
    <s v="Yes"/>
  </r>
  <r>
    <n v="2025"/>
    <s v="Toyota"/>
    <s v="LEXUS"/>
    <s v="LS 500h AWD"/>
    <n v="3.5"/>
    <n v="6"/>
    <s v="Auto(AV-S10)"/>
    <n v="10"/>
    <s v="All Wheel Drive"/>
    <n v="22"/>
    <n v="29"/>
    <n v="25"/>
    <x v="6"/>
    <n v="2550"/>
    <n v="5"/>
    <n v="5"/>
    <n v="400"/>
    <n v="307"/>
    <n v="358"/>
    <m/>
    <n v="3250"/>
    <s v=""/>
    <s v="Naturally Aspirated"/>
    <s v="Yes"/>
  </r>
  <r>
    <n v="2025"/>
    <s v="Toyota"/>
    <s v="LEXUS"/>
    <s v="LX 600"/>
    <n v="3.4"/>
    <n v="6"/>
    <s v="Auto(S10)"/>
    <n v="10"/>
    <s v="All Wheel Drive"/>
    <n v="17"/>
    <n v="22"/>
    <n v="19"/>
    <x v="3"/>
    <n v="3350"/>
    <n v="4"/>
    <n v="4"/>
    <n v="533"/>
    <n v="408"/>
    <n v="477"/>
    <m/>
    <n v="7250"/>
    <s v=""/>
    <s v="Turbocharged"/>
    <s v="Yes"/>
  </r>
  <r>
    <n v="2025"/>
    <s v="Toyota"/>
    <s v="LEXUS"/>
    <s v="LX 700h"/>
    <n v="3.4"/>
    <n v="6"/>
    <s v="Auto(S10)"/>
    <n v="10"/>
    <s v="All Wheel Drive"/>
    <n v="19"/>
    <n v="22"/>
    <n v="20"/>
    <x v="3"/>
    <n v="3200"/>
    <n v="4"/>
    <n v="4"/>
    <n v="469"/>
    <n v="401"/>
    <n v="439"/>
    <m/>
    <n v="6500"/>
    <s v=""/>
    <s v="Turbocharged"/>
    <s v="Yes"/>
  </r>
  <r>
    <n v="2025"/>
    <s v="Toyota"/>
    <s v="LEXUS"/>
    <s v="NX 250"/>
    <n v="2.5"/>
    <n v="4"/>
    <s v="Auto(S8)"/>
    <n v="8"/>
    <s v="2-Wheel Drive, Front"/>
    <n v="26"/>
    <n v="33"/>
    <n v="28"/>
    <x v="4"/>
    <n v="1900"/>
    <n v="6"/>
    <n v="6"/>
    <n v="345"/>
    <n v="269"/>
    <n v="311"/>
    <n v="0"/>
    <m/>
    <s v=""/>
    <s v="Naturally Aspirated"/>
    <s v="Yes"/>
  </r>
  <r>
    <n v="2025"/>
    <s v="Toyota"/>
    <s v="LEXUS"/>
    <s v="NX 250 AWD"/>
    <n v="2.5"/>
    <n v="4"/>
    <s v="Auto(S8)"/>
    <n v="8"/>
    <s v="All Wheel Drive"/>
    <n v="25"/>
    <n v="32"/>
    <n v="28"/>
    <x v="2"/>
    <n v="1900"/>
    <n v="6"/>
    <n v="6"/>
    <n v="352"/>
    <n v="276"/>
    <n v="318"/>
    <n v="0"/>
    <m/>
    <s v=""/>
    <s v="Naturally Aspirated"/>
    <s v="Yes"/>
  </r>
  <r>
    <n v="2025"/>
    <s v="Toyota"/>
    <s v="LEXUS"/>
    <s v="NX 350 AWD"/>
    <n v="2.4"/>
    <n v="4"/>
    <s v="Auto(S8)"/>
    <n v="8"/>
    <s v="All Wheel Drive"/>
    <n v="21"/>
    <n v="28"/>
    <n v="24"/>
    <x v="2"/>
    <n v="2650"/>
    <n v="5"/>
    <n v="5"/>
    <n v="414"/>
    <n v="317"/>
    <n v="370"/>
    <m/>
    <n v="3750"/>
    <s v=""/>
    <s v="Turbocharged"/>
    <s v="Yes"/>
  </r>
  <r>
    <n v="2025"/>
    <s v="Toyota"/>
    <s v="LEXUS"/>
    <s v="NX 350 AWD F SPORT"/>
    <n v="2.4"/>
    <n v="4"/>
    <s v="Auto(S8)"/>
    <n v="8"/>
    <s v="All Wheel Drive"/>
    <n v="21"/>
    <n v="28"/>
    <n v="24"/>
    <x v="2"/>
    <n v="2650"/>
    <n v="5"/>
    <n v="5"/>
    <n v="420"/>
    <n v="309"/>
    <n v="370"/>
    <m/>
    <n v="3750"/>
    <s v=""/>
    <s v="Turbocharged"/>
    <s v="Yes"/>
  </r>
  <r>
    <n v="2025"/>
    <s v="Toyota"/>
    <s v="LEXUS"/>
    <s v="NX 350h AWD"/>
    <n v="2.5"/>
    <n v="4"/>
    <s v="Auto(AV-S6)"/>
    <n v="6"/>
    <s v="All Wheel Drive"/>
    <n v="41"/>
    <n v="37"/>
    <n v="39"/>
    <x v="2"/>
    <n v="1650"/>
    <n v="7"/>
    <n v="7"/>
    <n v="212"/>
    <n v="235"/>
    <n v="225"/>
    <n v="1250"/>
    <m/>
    <s v=""/>
    <s v="Naturally Aspirated"/>
    <s v="Yes"/>
  </r>
  <r>
    <n v="2025"/>
    <s v="Toyota"/>
    <s v="LEXUS"/>
    <s v="RC 300"/>
    <n v="2"/>
    <n v="4"/>
    <s v="Auto(S8)"/>
    <n v="8"/>
    <s v="2-Wheel Drive, Rear"/>
    <n v="21"/>
    <n v="31"/>
    <n v="25"/>
    <x v="9"/>
    <n v="2550"/>
    <n v="5"/>
    <n v="5"/>
    <n v="414"/>
    <n v="284"/>
    <n v="356"/>
    <m/>
    <n v="3250"/>
    <s v=""/>
    <s v="Turbocharged"/>
    <s v="No"/>
  </r>
  <r>
    <n v="2025"/>
    <s v="Toyota"/>
    <s v="LEXUS"/>
    <s v="RC 300 AWD"/>
    <n v="3.5"/>
    <n v="6"/>
    <s v="Auto(S6)"/>
    <n v="6"/>
    <s v="All Wheel Drive"/>
    <n v="19"/>
    <n v="26"/>
    <n v="22"/>
    <x v="9"/>
    <n v="2900"/>
    <n v="5"/>
    <n v="5"/>
    <n v="461"/>
    <n v="340"/>
    <n v="407"/>
    <m/>
    <n v="5000"/>
    <s v=""/>
    <s v="Naturally Aspirated"/>
    <s v="No"/>
  </r>
  <r>
    <n v="2025"/>
    <s v="Toyota"/>
    <s v="LEXUS"/>
    <s v="RC 350"/>
    <n v="3.5"/>
    <n v="6"/>
    <s v="Auto(S8)"/>
    <n v="8"/>
    <s v="2-Wheel Drive, Rear"/>
    <n v="20"/>
    <n v="28"/>
    <n v="23"/>
    <x v="9"/>
    <n v="2750"/>
    <n v="5"/>
    <n v="5"/>
    <n v="441"/>
    <n v="317"/>
    <n v="385"/>
    <m/>
    <n v="4250"/>
    <s v=""/>
    <s v="Naturally Aspirated"/>
    <s v="No"/>
  </r>
  <r>
    <n v="2025"/>
    <s v="Toyota"/>
    <s v="LEXUS"/>
    <s v="RC 350 AWD"/>
    <n v="3.5"/>
    <n v="6"/>
    <s v="Auto(S6)"/>
    <n v="6"/>
    <s v="All Wheel Drive"/>
    <n v="19"/>
    <n v="26"/>
    <n v="22"/>
    <x v="9"/>
    <n v="2900"/>
    <n v="5"/>
    <n v="5"/>
    <n v="461"/>
    <n v="340"/>
    <n v="407"/>
    <m/>
    <n v="5000"/>
    <s v=""/>
    <s v="Naturally Aspirated"/>
    <s v="No"/>
  </r>
  <r>
    <n v="2025"/>
    <s v="Toyota"/>
    <s v="LEXUS"/>
    <s v="RC F"/>
    <n v="5"/>
    <n v="8"/>
    <s v="Auto(S8)"/>
    <n v="8"/>
    <s v="2-Wheel Drive, Rear"/>
    <n v="16"/>
    <n v="24"/>
    <n v="19"/>
    <x v="9"/>
    <n v="3350"/>
    <n v="4"/>
    <n v="4"/>
    <n v="538"/>
    <n v="361"/>
    <n v="459"/>
    <m/>
    <n v="7250"/>
    <s v=""/>
    <s v="Naturally Aspirated"/>
    <s v="No"/>
  </r>
  <r>
    <n v="2025"/>
    <s v="Toyota"/>
    <s v="LEXUS"/>
    <s v="RX 350"/>
    <n v="2.4"/>
    <n v="4"/>
    <s v="Auto(S8)"/>
    <n v="8"/>
    <s v="2-Wheel Drive, Front"/>
    <n v="22"/>
    <n v="29"/>
    <n v="25"/>
    <x v="4"/>
    <n v="2550"/>
    <n v="5"/>
    <n v="5"/>
    <n v="396"/>
    <n v="303"/>
    <n v="354"/>
    <m/>
    <n v="3250"/>
    <s v=""/>
    <s v="Turbocharged"/>
    <s v="Yes"/>
  </r>
  <r>
    <n v="2025"/>
    <s v="Toyota"/>
    <s v="LEXUS"/>
    <s v="RX 350 AWD"/>
    <n v="2.4"/>
    <n v="4"/>
    <s v="Auto(S8)"/>
    <n v="8"/>
    <s v="All Wheel Drive"/>
    <n v="21"/>
    <n v="28"/>
    <n v="24"/>
    <x v="2"/>
    <n v="2650"/>
    <n v="5"/>
    <n v="5"/>
    <n v="417"/>
    <n v="312"/>
    <n v="370"/>
    <m/>
    <n v="3750"/>
    <s v=""/>
    <s v="Turbocharged"/>
    <s v="Yes"/>
  </r>
  <r>
    <n v="2025"/>
    <s v="Toyota"/>
    <s v="LEXUS"/>
    <s v="RX 350h AWD"/>
    <n v="2.5"/>
    <n v="4"/>
    <s v="Auto(AV-S6)"/>
    <n v="6"/>
    <s v="All Wheel Drive"/>
    <n v="37"/>
    <n v="34"/>
    <n v="36"/>
    <x v="2"/>
    <n v="1750"/>
    <n v="7"/>
    <n v="7"/>
    <n v="234"/>
    <n v="256"/>
    <n v="244"/>
    <n v="750"/>
    <m/>
    <s v=""/>
    <s v="Naturally Aspirated"/>
    <s v="Yes"/>
  </r>
  <r>
    <n v="2025"/>
    <s v="Toyota"/>
    <s v="LEXUS"/>
    <s v="RX 500h AWD"/>
    <n v="2.4"/>
    <n v="4"/>
    <s v="Auto(S6)"/>
    <n v="6"/>
    <s v="All Wheel Drive"/>
    <n v="27"/>
    <n v="28"/>
    <n v="27"/>
    <x v="2"/>
    <n v="2350"/>
    <n v="5"/>
    <n v="5"/>
    <n v="326"/>
    <n v="314"/>
    <n v="321"/>
    <m/>
    <n v="2250"/>
    <s v=""/>
    <s v="Turbocharged"/>
    <s v="Yes"/>
  </r>
  <r>
    <n v="2025"/>
    <s v="Toyota"/>
    <s v="LEXUS"/>
    <s v="TX 350"/>
    <n v="2.4"/>
    <n v="4"/>
    <s v="Auto(S8)"/>
    <n v="8"/>
    <s v="2-Wheel Drive, Front"/>
    <n v="21"/>
    <n v="27"/>
    <n v="23"/>
    <x v="11"/>
    <n v="2750"/>
    <n v="5"/>
    <n v="5"/>
    <n v="423"/>
    <n v="321"/>
    <n v="377"/>
    <m/>
    <n v="4250"/>
    <s v=""/>
    <s v="Turbocharged"/>
    <s v="Yes"/>
  </r>
  <r>
    <n v="2025"/>
    <s v="Toyota"/>
    <s v="LEXUS"/>
    <s v="TX 350 AWD"/>
    <n v="2.4"/>
    <n v="4"/>
    <s v="Auto(S8)"/>
    <n v="8"/>
    <s v="All Wheel Drive"/>
    <n v="20"/>
    <n v="26"/>
    <n v="23"/>
    <x v="3"/>
    <n v="2750"/>
    <n v="5"/>
    <n v="5"/>
    <n v="432"/>
    <n v="333"/>
    <n v="387"/>
    <m/>
    <n v="4250"/>
    <s v=""/>
    <s v="Turbocharged"/>
    <s v="Yes"/>
  </r>
  <r>
    <n v="2025"/>
    <s v="Toyota"/>
    <s v="LEXUS"/>
    <s v="TX 500h AWD"/>
    <n v="2.4"/>
    <n v="4"/>
    <s v="Auto(S6)"/>
    <n v="6"/>
    <s v="All Wheel Drive"/>
    <n v="27"/>
    <n v="28"/>
    <n v="27"/>
    <x v="3"/>
    <n v="2350"/>
    <n v="5"/>
    <n v="5"/>
    <n v="326"/>
    <n v="316"/>
    <n v="322"/>
    <m/>
    <n v="2250"/>
    <s v=""/>
    <s v="Turbocharged"/>
    <s v="Yes"/>
  </r>
  <r>
    <n v="2025"/>
    <s v="Toyota"/>
    <s v="LEXUS"/>
    <s v="UX 300h"/>
    <n v="2"/>
    <n v="4"/>
    <s v="Auto(AV-S6)"/>
    <n v="6"/>
    <s v="2-Wheel Drive, Front"/>
    <n v="45"/>
    <n v="41"/>
    <n v="43"/>
    <x v="5"/>
    <n v="1200"/>
    <n v="7"/>
    <n v="7"/>
    <n v="195"/>
    <n v="214"/>
    <n v="204"/>
    <n v="3500"/>
    <m/>
    <s v=""/>
    <s v="Naturally Aspirated"/>
    <s v="Yes"/>
  </r>
  <r>
    <n v="2025"/>
    <s v="Toyota"/>
    <s v="LEXUS"/>
    <s v="UX 300h"/>
    <n v="2"/>
    <n v="4"/>
    <s v="Auto(AV)"/>
    <n v="1"/>
    <s v="2-Wheel Drive, Front"/>
    <n v="45"/>
    <n v="41"/>
    <n v="43"/>
    <x v="5"/>
    <n v="1200"/>
    <n v="7"/>
    <n v="7"/>
    <n v="195"/>
    <n v="214"/>
    <n v="204"/>
    <n v="3500"/>
    <m/>
    <s v=""/>
    <s v="Naturally Aspirated"/>
    <s v="Yes"/>
  </r>
  <r>
    <n v="2025"/>
    <s v="Toyota"/>
    <s v="LEXUS"/>
    <s v="UX 300h AWD"/>
    <n v="2"/>
    <n v="4"/>
    <s v="Auto(AV-S6)"/>
    <n v="6"/>
    <s v="All Wheel Drive"/>
    <n v="44"/>
    <n v="40"/>
    <n v="42"/>
    <x v="5"/>
    <n v="1250"/>
    <n v="7"/>
    <n v="7"/>
    <n v="199"/>
    <n v="220"/>
    <n v="209"/>
    <n v="3250"/>
    <m/>
    <s v=""/>
    <s v="Naturally Aspirated"/>
    <s v="Yes"/>
  </r>
  <r>
    <n v="2025"/>
    <s v="Toyota"/>
    <s v="LEXUS"/>
    <s v="UX 300h AWD"/>
    <n v="2"/>
    <n v="4"/>
    <s v="Auto(AV)"/>
    <n v="1"/>
    <s v="All Wheel Drive"/>
    <n v="44"/>
    <n v="40"/>
    <n v="42"/>
    <x v="5"/>
    <n v="1250"/>
    <n v="7"/>
    <n v="7"/>
    <n v="199"/>
    <n v="220"/>
    <n v="209"/>
    <n v="3250"/>
    <m/>
    <s v=""/>
    <s v="Naturally Aspirated"/>
    <s v="Yes"/>
  </r>
  <r>
    <n v="2025"/>
    <s v="Ford Motor Company"/>
    <s v="Lincoln"/>
    <s v="AVIATOR AWD"/>
    <n v="3"/>
    <n v="6"/>
    <s v="Auto(S10)"/>
    <n v="10"/>
    <s v="Part-time 4-Wheel Drive"/>
    <n v="17"/>
    <n v="25"/>
    <n v="20"/>
    <x v="3"/>
    <n v="2600"/>
    <n v="4"/>
    <n v="4"/>
    <n v="521"/>
    <n v="358"/>
    <n v="447"/>
    <m/>
    <n v="3500"/>
    <s v=""/>
    <s v="Turbocharged"/>
    <s v="Yes"/>
  </r>
  <r>
    <n v="2025"/>
    <s v="Ford Motor Company"/>
    <s v="Lincoln"/>
    <s v="AVIATOR RWD"/>
    <n v="3"/>
    <n v="6"/>
    <s v="Auto(S10)"/>
    <n v="10"/>
    <s v="2-Wheel Drive, Rear"/>
    <n v="18"/>
    <n v="25"/>
    <n v="21"/>
    <x v="11"/>
    <n v="2500"/>
    <n v="4"/>
    <n v="4"/>
    <n v="488"/>
    <n v="348"/>
    <n v="425"/>
    <m/>
    <n v="3000"/>
    <s v=""/>
    <s v="Turbocharged"/>
    <s v="Yes"/>
  </r>
  <r>
    <n v="2025"/>
    <s v="Ford Motor Company"/>
    <s v="Lincoln"/>
    <s v="CORSAIR AWD"/>
    <n v="2"/>
    <n v="4"/>
    <s v="Auto(S8)"/>
    <n v="8"/>
    <s v="All Wheel Drive"/>
    <n v="21"/>
    <n v="28"/>
    <n v="24"/>
    <x v="2"/>
    <n v="2200"/>
    <n v="5"/>
    <n v="5"/>
    <n v="424"/>
    <n v="313"/>
    <n v="374"/>
    <m/>
    <n v="1500"/>
    <s v=""/>
    <s v="Turbocharged"/>
    <s v="Yes"/>
  </r>
  <r>
    <n v="2025"/>
    <s v="Ford Motor Company"/>
    <s v="Lincoln"/>
    <s v="CORSAIR FWD"/>
    <n v="2"/>
    <n v="4"/>
    <s v="Auto(S8)"/>
    <n v="8"/>
    <s v="2-Wheel Drive, Front"/>
    <n v="22"/>
    <n v="30"/>
    <n v="25"/>
    <x v="4"/>
    <n v="2100"/>
    <n v="5"/>
    <n v="5"/>
    <n v="406"/>
    <n v="298"/>
    <n v="357"/>
    <m/>
    <n v="1000"/>
    <s v=""/>
    <s v="Turbocharged"/>
    <s v="Yes"/>
  </r>
  <r>
    <n v="2025"/>
    <s v="Ford Motor Company"/>
    <s v="Lincoln"/>
    <s v="NAUTILUS AWD"/>
    <n v="2"/>
    <n v="4"/>
    <s v="Auto(A8)"/>
    <n v="8"/>
    <s v="All Wheel Drive"/>
    <n v="21"/>
    <n v="29"/>
    <n v="24"/>
    <x v="2"/>
    <n v="2200"/>
    <n v="5"/>
    <n v="5"/>
    <n v="423"/>
    <n v="296"/>
    <n v="366"/>
    <m/>
    <n v="1500"/>
    <s v=""/>
    <s v="Turbocharged"/>
    <s v="Yes"/>
  </r>
  <r>
    <n v="2025"/>
    <s v="Ford Motor Company"/>
    <s v="Lincoln"/>
    <s v="NAUTILUS HEV AWD"/>
    <n v="2"/>
    <n v="4"/>
    <s v="Auto(AV)"/>
    <n v="1"/>
    <s v="Part-time 4-Wheel Drive"/>
    <n v="30"/>
    <n v="31"/>
    <n v="30"/>
    <x v="2"/>
    <n v="1750"/>
    <n v="6"/>
    <n v="6"/>
    <n v="295"/>
    <n v="283"/>
    <n v="290"/>
    <n v="750"/>
    <m/>
    <s v=""/>
    <s v="Turbocharged"/>
    <s v="Yes"/>
  </r>
  <r>
    <n v="2025"/>
    <s v="Ford Motor Company"/>
    <s v="Lincoln"/>
    <s v="NAVIGATOR 4WD"/>
    <n v="3.5"/>
    <n v="6"/>
    <s v="Auto(S10)"/>
    <n v="10"/>
    <s v="Part-time 4-Wheel Drive"/>
    <n v="15"/>
    <n v="22"/>
    <n v="17"/>
    <x v="3"/>
    <n v="3100"/>
    <n v="3"/>
    <n v="3"/>
    <n v="592"/>
    <n v="410"/>
    <n v="510"/>
    <m/>
    <n v="6000"/>
    <s v=""/>
    <s v="Turbocharged"/>
    <s v="Yes"/>
  </r>
  <r>
    <n v="2025"/>
    <s v="Lotus"/>
    <s v="Lotus Cars Ltd"/>
    <s v="Emira"/>
    <n v="3.5"/>
    <n v="6"/>
    <s v="Manual(M6)"/>
    <n v="6"/>
    <s v="2-Wheel Drive, Rear"/>
    <n v="16"/>
    <n v="24"/>
    <n v="19"/>
    <x v="8"/>
    <n v="2500"/>
    <n v="4"/>
    <n v="4"/>
    <n v="539"/>
    <n v="363"/>
    <n v="460"/>
    <m/>
    <n v="4250"/>
    <s v=""/>
    <s v="Supercharged"/>
    <s v="No"/>
  </r>
  <r>
    <n v="2025"/>
    <s v="Lotus"/>
    <s v="Lotus Cars Ltd"/>
    <s v="Emira"/>
    <n v="3.5"/>
    <n v="6"/>
    <s v="Auto(S6)"/>
    <n v="6"/>
    <s v="2-Wheel Drive, Rear"/>
    <n v="18"/>
    <n v="26"/>
    <n v="21"/>
    <x v="8"/>
    <n v="2500"/>
    <n v="4"/>
    <n v="4"/>
    <n v="477"/>
    <n v="335"/>
    <n v="413"/>
    <m/>
    <n v="3000"/>
    <s v=""/>
    <s v="Supercharged"/>
    <s v="No"/>
  </r>
  <r>
    <n v="2025"/>
    <s v="Maserati"/>
    <s v="MASERATI"/>
    <s v="Grancabrio"/>
    <n v="3"/>
    <n v="6"/>
    <s v="Auto(A8)"/>
    <n v="8"/>
    <s v="All Wheel Drive"/>
    <n v="17"/>
    <n v="26"/>
    <n v="20"/>
    <x v="9"/>
    <n v="3200"/>
    <n v="4"/>
    <n v="4"/>
    <n v="512"/>
    <n v="330"/>
    <n v="430"/>
    <m/>
    <n v="6500"/>
    <s v=""/>
    <s v="Turbocharged"/>
    <s v="Yes"/>
  </r>
  <r>
    <n v="2025"/>
    <s v="Maserati"/>
    <s v="MASERATI"/>
    <s v="Grancabrio Trofeo"/>
    <n v="3"/>
    <n v="6"/>
    <s v="Auto(A8)"/>
    <n v="8"/>
    <s v="All Wheel Drive"/>
    <n v="17"/>
    <n v="26"/>
    <n v="20"/>
    <x v="9"/>
    <n v="3200"/>
    <n v="4"/>
    <n v="4"/>
    <n v="512"/>
    <n v="330"/>
    <n v="430"/>
    <m/>
    <n v="6500"/>
    <s v=""/>
    <s v="Turbocharged"/>
    <s v="Yes"/>
  </r>
  <r>
    <n v="2025"/>
    <s v="Maserati"/>
    <s v="MASERATI"/>
    <s v="Granturismo"/>
    <n v="3"/>
    <n v="6"/>
    <s v="Auto(A8)"/>
    <n v="8"/>
    <s v="All Wheel Drive"/>
    <n v="18"/>
    <n v="27"/>
    <n v="21"/>
    <x v="9"/>
    <n v="3050"/>
    <n v="4"/>
    <n v="4"/>
    <n v="489"/>
    <n v="318"/>
    <n v="412"/>
    <m/>
    <n v="5750"/>
    <s v=""/>
    <s v="Turbocharged"/>
    <s v="Yes"/>
  </r>
  <r>
    <n v="2025"/>
    <s v="Maserati"/>
    <s v="MASERATI"/>
    <s v="Granturismo Trofeo"/>
    <n v="3"/>
    <n v="6"/>
    <s v="Auto(A8)"/>
    <n v="8"/>
    <s v="All Wheel Drive"/>
    <n v="18"/>
    <n v="27"/>
    <n v="21"/>
    <x v="9"/>
    <n v="3050"/>
    <n v="4"/>
    <n v="4"/>
    <n v="489"/>
    <n v="318"/>
    <n v="412"/>
    <m/>
    <n v="5750"/>
    <s v=""/>
    <s v="Turbocharged"/>
    <s v="Yes"/>
  </r>
  <r>
    <n v="2025"/>
    <s v="Maserati"/>
    <s v="MASERATI"/>
    <s v="Grecale"/>
    <n v="2"/>
    <n v="4"/>
    <s v="Auto(A8)"/>
    <n v="8"/>
    <s v="All Wheel Drive"/>
    <n v="22"/>
    <n v="28"/>
    <n v="24"/>
    <x v="2"/>
    <n v="2650"/>
    <n v="5"/>
    <n v="5"/>
    <n v="406"/>
    <n v="314"/>
    <n v="365"/>
    <m/>
    <n v="3750"/>
    <s v=""/>
    <s v="Turbocharged"/>
    <s v="Yes"/>
  </r>
  <r>
    <n v="2025"/>
    <s v="Maserati"/>
    <s v="MASERATI"/>
    <s v="Grecale Modena"/>
    <n v="2"/>
    <n v="4"/>
    <s v="Auto(A8)"/>
    <n v="8"/>
    <s v="All Wheel Drive"/>
    <n v="22"/>
    <n v="28"/>
    <n v="24"/>
    <x v="2"/>
    <n v="2650"/>
    <n v="5"/>
    <n v="5"/>
    <n v="406"/>
    <n v="314"/>
    <n v="365"/>
    <m/>
    <n v="3750"/>
    <s v=""/>
    <s v="Turbocharged"/>
    <s v="Yes"/>
  </r>
  <r>
    <n v="2025"/>
    <s v="Maserati"/>
    <s v="MASERATI"/>
    <s v="Grecale Trofeo"/>
    <n v="3"/>
    <n v="6"/>
    <s v="Auto(A8)"/>
    <n v="8"/>
    <s v="All Wheel Drive"/>
    <n v="18"/>
    <n v="25"/>
    <n v="20"/>
    <x v="2"/>
    <n v="3200"/>
    <n v="4"/>
    <n v="4"/>
    <n v="495"/>
    <n v="354"/>
    <n v="432"/>
    <m/>
    <n v="6500"/>
    <s v=""/>
    <s v="Turbocharged"/>
    <s v="Yes"/>
  </r>
  <r>
    <n v="2025"/>
    <s v="Maserati"/>
    <s v="MASERATI"/>
    <s v="GT2 Stradale"/>
    <n v="3"/>
    <n v="6"/>
    <s v="Auto(S8)"/>
    <n v="8"/>
    <s v="2-Wheel Drive, Rear"/>
    <n v="15"/>
    <n v="25"/>
    <n v="18"/>
    <x v="8"/>
    <n v="3550"/>
    <n v="4"/>
    <n v="4"/>
    <n v="576"/>
    <n v="351"/>
    <n v="474"/>
    <m/>
    <n v="8250"/>
    <s v=""/>
    <s v="Turbocharged"/>
    <s v="No"/>
  </r>
  <r>
    <n v="2025"/>
    <s v="Maserati"/>
    <s v="MASERATI"/>
    <s v="MC20"/>
    <n v="3"/>
    <n v="6"/>
    <s v="Auto(S8)"/>
    <n v="8"/>
    <s v="2-Wheel Drive, Rear"/>
    <n v="15"/>
    <n v="25"/>
    <n v="18"/>
    <x v="8"/>
    <n v="3550"/>
    <n v="4"/>
    <n v="4"/>
    <n v="576"/>
    <n v="351"/>
    <n v="474"/>
    <m/>
    <n v="8250"/>
    <s v=""/>
    <s v="Turbocharged"/>
    <s v="No"/>
  </r>
  <r>
    <n v="2025"/>
    <s v="Maserati"/>
    <s v="MASERATI"/>
    <s v="MC20 Spyder"/>
    <n v="3"/>
    <n v="6"/>
    <s v="Auto(S8)"/>
    <n v="8"/>
    <s v="2-Wheel Drive, Rear"/>
    <n v="15"/>
    <n v="25"/>
    <n v="18"/>
    <x v="8"/>
    <n v="3550"/>
    <n v="4"/>
    <n v="4"/>
    <n v="583"/>
    <n v="358"/>
    <n v="482"/>
    <m/>
    <n v="8250"/>
    <s v=""/>
    <s v="Turbocharged"/>
    <s v="No"/>
  </r>
  <r>
    <n v="2025"/>
    <s v="MAZDA"/>
    <s v="MAZDA"/>
    <s v="CX-30 4WD"/>
    <n v="2.5"/>
    <n v="4"/>
    <s v="Auto(S6)"/>
    <n v="6"/>
    <s v="4-Wheel Drive"/>
    <n v="26"/>
    <n v="33"/>
    <n v="29"/>
    <x v="2"/>
    <n v="1800"/>
    <n v="6"/>
    <n v="6"/>
    <n v="341"/>
    <n v="269"/>
    <n v="309"/>
    <n v="500"/>
    <m/>
    <s v=""/>
    <s v="Naturally Aspirated"/>
    <s v="No"/>
  </r>
  <r>
    <n v="2025"/>
    <s v="MAZDA"/>
    <s v="MAZDA"/>
    <s v="CX-30 4WD"/>
    <n v="2.5"/>
    <n v="4"/>
    <s v="Auto(S6)"/>
    <n v="6"/>
    <s v="4-Wheel Drive"/>
    <n v="22"/>
    <n v="30"/>
    <n v="25"/>
    <x v="2"/>
    <n v="2100"/>
    <n v="5"/>
    <n v="5"/>
    <n v="398"/>
    <n v="299"/>
    <n v="353"/>
    <m/>
    <n v="1000"/>
    <s v=""/>
    <s v="Turbocharged"/>
    <s v="No"/>
  </r>
  <r>
    <n v="2025"/>
    <s v="MAZDA"/>
    <s v="MAZDA"/>
    <s v="CX-5 4WD"/>
    <n v="2.5"/>
    <n v="4"/>
    <s v="Auto(S6)"/>
    <n v="6"/>
    <s v="4-Wheel Drive"/>
    <n v="23"/>
    <n v="29"/>
    <n v="25"/>
    <x v="2"/>
    <n v="2100"/>
    <n v="5"/>
    <n v="5"/>
    <n v="382"/>
    <n v="308"/>
    <n v="348"/>
    <m/>
    <n v="1000"/>
    <s v=""/>
    <s v="Naturally Aspirated"/>
    <s v="No"/>
  </r>
  <r>
    <n v="2025"/>
    <s v="MAZDA"/>
    <s v="MAZDA"/>
    <s v="CX-5 4WD"/>
    <n v="2.5"/>
    <n v="4"/>
    <s v="Auto(S6)"/>
    <n v="6"/>
    <s v="4-Wheel Drive"/>
    <n v="26"/>
    <n v="30"/>
    <n v="28"/>
    <x v="2"/>
    <n v="1900"/>
    <n v="6"/>
    <n v="6"/>
    <n v="345"/>
    <n v="292"/>
    <n v="321"/>
    <n v="0"/>
    <m/>
    <s v=""/>
    <s v="Naturally Aspirated"/>
    <s v="Yes"/>
  </r>
  <r>
    <n v="2025"/>
    <s v="MAZDA"/>
    <s v="MAZDA"/>
    <s v="CX-5 4WD"/>
    <n v="2.5"/>
    <n v="4"/>
    <s v="Auto(S6)"/>
    <n v="6"/>
    <s v="4-Wheel Drive"/>
    <n v="22"/>
    <n v="27"/>
    <n v="24"/>
    <x v="2"/>
    <n v="2200"/>
    <n v="5"/>
    <n v="5"/>
    <n v="406"/>
    <n v="326"/>
    <n v="370"/>
    <m/>
    <n v="1500"/>
    <s v=""/>
    <s v="Turbocharged"/>
    <s v="No"/>
  </r>
  <r>
    <n v="2025"/>
    <s v="MAZDA"/>
    <s v="MAZDA"/>
    <s v="MAZDA CX-50 4WD"/>
    <n v="2.5"/>
    <n v="4"/>
    <s v="Auto(S6)"/>
    <n v="6"/>
    <s v="4-Wheel Drive"/>
    <n v="25"/>
    <n v="31"/>
    <n v="28"/>
    <x v="2"/>
    <n v="1900"/>
    <n v="6"/>
    <n v="6"/>
    <n v="351"/>
    <n v="286"/>
    <n v="322"/>
    <n v="0"/>
    <m/>
    <s v=""/>
    <s v="Naturally Aspirated"/>
    <s v="No"/>
  </r>
  <r>
    <n v="2025"/>
    <s v="MAZDA"/>
    <s v="MAZDA"/>
    <s v="MAZDA CX-50 4WD"/>
    <n v="2.5"/>
    <n v="4"/>
    <s v="Auto(S6)"/>
    <n v="6"/>
    <s v="4-Wheel Drive"/>
    <n v="23"/>
    <n v="29"/>
    <n v="25"/>
    <x v="2"/>
    <n v="2100"/>
    <n v="5"/>
    <n v="5"/>
    <n v="393"/>
    <n v="308"/>
    <n v="355"/>
    <m/>
    <n v="1000"/>
    <s v=""/>
    <s v="Turbocharged"/>
    <s v="Yes"/>
  </r>
  <r>
    <n v="2025"/>
    <s v="MAZDA"/>
    <s v="MAZDA"/>
    <s v="MAZDA CX-50 4WD"/>
    <n v="2.5"/>
    <n v="4"/>
    <s v="Auto(AV)"/>
    <n v="1"/>
    <s v="4-Wheel Drive"/>
    <n v="39"/>
    <n v="37"/>
    <n v="38"/>
    <x v="2"/>
    <n v="1400"/>
    <n v="7"/>
    <n v="7"/>
    <n v="226"/>
    <n v="241"/>
    <n v="233"/>
    <n v="2500"/>
    <m/>
    <s v=""/>
    <s v="Naturally Aspirated"/>
    <s v="Yes"/>
  </r>
  <r>
    <n v="2025"/>
    <s v="MAZDA"/>
    <s v="MAZDA"/>
    <s v="MAZDA CX-50 4WD"/>
    <n v="2.5"/>
    <n v="4"/>
    <s v="Auto(AV)"/>
    <n v="1"/>
    <s v="4-Wheel Drive"/>
    <n v="39"/>
    <n v="37"/>
    <n v="38"/>
    <x v="2"/>
    <n v="1400"/>
    <n v="7"/>
    <n v="7"/>
    <n v="226"/>
    <n v="241"/>
    <n v="233"/>
    <n v="2500"/>
    <m/>
    <s v=""/>
    <s v="Naturally Aspirated"/>
    <s v="Yes"/>
  </r>
  <r>
    <n v="2025"/>
    <s v="MAZDA"/>
    <s v="MAZDA"/>
    <s v="MAZDA CX-70 4WD"/>
    <n v="3.3"/>
    <n v="6"/>
    <s v="Auto(S8)"/>
    <n v="8"/>
    <s v="4-Wheel Drive"/>
    <n v="24"/>
    <n v="28"/>
    <n v="25"/>
    <x v="3"/>
    <n v="2100"/>
    <n v="5"/>
    <n v="5"/>
    <n v="372"/>
    <n v="321"/>
    <n v="349"/>
    <m/>
    <n v="1000"/>
    <s v=""/>
    <s v="Turbocharged"/>
    <s v="No"/>
  </r>
  <r>
    <n v="2025"/>
    <s v="MAZDA"/>
    <s v="MAZDA"/>
    <s v="MAZDA CX-70 4WD"/>
    <n v="3.3"/>
    <n v="6"/>
    <s v="Auto(S8)"/>
    <n v="8"/>
    <s v="4-Wheel Drive"/>
    <n v="23"/>
    <n v="28"/>
    <n v="25"/>
    <x v="3"/>
    <n v="2550"/>
    <n v="5"/>
    <n v="5"/>
    <n v="389"/>
    <n v="320"/>
    <n v="358"/>
    <m/>
    <n v="3250"/>
    <s v=""/>
    <s v="Turbocharged"/>
    <s v="No"/>
  </r>
  <r>
    <n v="2025"/>
    <s v="MAZDA"/>
    <s v="MAZDA"/>
    <s v="MAZDA CX-90 4WD"/>
    <n v="3.3"/>
    <n v="6"/>
    <s v="Auto(S8)"/>
    <n v="8"/>
    <s v="4-Wheel Drive"/>
    <n v="24"/>
    <n v="28"/>
    <n v="25"/>
    <x v="3"/>
    <n v="2100"/>
    <n v="5"/>
    <n v="5"/>
    <n v="373"/>
    <n v="314"/>
    <n v="354"/>
    <m/>
    <n v="1000"/>
    <s v=""/>
    <s v="Turbocharged"/>
    <s v="Yes"/>
  </r>
  <r>
    <n v="2025"/>
    <s v="MAZDA"/>
    <s v="MAZDA"/>
    <s v="MAZDA CX-90 4WD"/>
    <n v="3.3"/>
    <n v="6"/>
    <s v="Auto(S8)"/>
    <n v="8"/>
    <s v="4-Wheel Drive"/>
    <n v="23"/>
    <n v="28"/>
    <n v="25"/>
    <x v="3"/>
    <n v="2550"/>
    <n v="5"/>
    <n v="5"/>
    <n v="389"/>
    <n v="320"/>
    <n v="358"/>
    <m/>
    <n v="3250"/>
    <s v=""/>
    <s v="Turbocharged"/>
    <s v="Yes"/>
  </r>
  <r>
    <n v="2025"/>
    <s v="MAZDA"/>
    <s v="MAZDA"/>
    <s v="MAZDA3 4-Door 2WD"/>
    <n v="2.5"/>
    <n v="4"/>
    <s v="Auto(S6)"/>
    <n v="6"/>
    <s v="2-Wheel Drive, Front"/>
    <n v="27"/>
    <n v="37"/>
    <n v="31"/>
    <x v="5"/>
    <n v="1700"/>
    <n v="6"/>
    <n v="6"/>
    <n v="324"/>
    <n v="243"/>
    <n v="287"/>
    <n v="1000"/>
    <m/>
    <s v=""/>
    <s v="Naturally Aspirated"/>
    <s v="No"/>
  </r>
  <r>
    <n v="2025"/>
    <s v="MAZDA"/>
    <s v="MAZDA"/>
    <s v="MAZDA3 4-Door 4WD"/>
    <n v="2.5"/>
    <n v="4"/>
    <s v="Auto(S6)"/>
    <n v="6"/>
    <s v="4-Wheel Drive"/>
    <n v="26"/>
    <n v="35"/>
    <n v="30"/>
    <x v="5"/>
    <n v="1750"/>
    <n v="6"/>
    <n v="6"/>
    <n v="338"/>
    <n v="255"/>
    <n v="301"/>
    <n v="750"/>
    <m/>
    <s v=""/>
    <s v="Naturally Aspirated"/>
    <s v="No"/>
  </r>
  <r>
    <n v="2025"/>
    <s v="MAZDA"/>
    <s v="MAZDA"/>
    <s v="MAZDA3 4-Door 4WD"/>
    <n v="2.5"/>
    <n v="4"/>
    <s v="Auto(S6)"/>
    <n v="6"/>
    <s v="4-Wheel Drive"/>
    <n v="23"/>
    <n v="32"/>
    <n v="27"/>
    <x v="5"/>
    <n v="1950"/>
    <n v="5"/>
    <n v="5"/>
    <n v="382"/>
    <n v="274"/>
    <n v="334"/>
    <m/>
    <n v="250"/>
    <s v=""/>
    <s v="Turbocharged"/>
    <s v="No"/>
  </r>
  <r>
    <n v="2025"/>
    <s v="MAZDA"/>
    <s v="MAZDA"/>
    <s v="MAZDA3 5-Door 2WD"/>
    <n v="2.5"/>
    <n v="4"/>
    <s v="Manual(M6)"/>
    <n v="6"/>
    <s v="2-Wheel Drive, Front"/>
    <n v="26"/>
    <n v="36"/>
    <n v="30"/>
    <x v="6"/>
    <n v="1750"/>
    <n v="6"/>
    <n v="6"/>
    <n v="339"/>
    <n v="244"/>
    <n v="296"/>
    <n v="750"/>
    <m/>
    <s v=""/>
    <s v="Naturally Aspirated"/>
    <s v="No"/>
  </r>
  <r>
    <n v="2025"/>
    <s v="MAZDA"/>
    <s v="MAZDA"/>
    <s v="MAZDA3 5-Door 2WD"/>
    <n v="2.5"/>
    <n v="4"/>
    <s v="Auto(S6)"/>
    <n v="6"/>
    <s v="2-Wheel Drive, Front"/>
    <n v="27"/>
    <n v="35"/>
    <n v="30"/>
    <x v="6"/>
    <n v="1750"/>
    <n v="6"/>
    <n v="6"/>
    <n v="327"/>
    <n v="253"/>
    <n v="294"/>
    <n v="750"/>
    <m/>
    <s v=""/>
    <s v="Naturally Aspirated"/>
    <s v="No"/>
  </r>
  <r>
    <n v="2025"/>
    <s v="MAZDA"/>
    <s v="MAZDA"/>
    <s v="MAZDA3 5-Door 4WD"/>
    <n v="2.5"/>
    <n v="4"/>
    <s v="Auto(S6)"/>
    <n v="6"/>
    <s v="4-Wheel Drive"/>
    <n v="26"/>
    <n v="33"/>
    <n v="29"/>
    <x v="6"/>
    <n v="1800"/>
    <n v="6"/>
    <n v="6"/>
    <n v="343"/>
    <n v="272"/>
    <n v="311"/>
    <n v="500"/>
    <m/>
    <s v=""/>
    <s v="Naturally Aspirated"/>
    <s v="No"/>
  </r>
  <r>
    <n v="2025"/>
    <s v="MAZDA"/>
    <s v="MAZDA"/>
    <s v="MAZDA3 5-Door 4WD"/>
    <n v="2.5"/>
    <n v="4"/>
    <s v="Auto(S6)"/>
    <n v="6"/>
    <s v="4-Wheel Drive"/>
    <n v="23"/>
    <n v="31"/>
    <n v="26"/>
    <x v="6"/>
    <n v="2000"/>
    <n v="5"/>
    <n v="5"/>
    <n v="380"/>
    <n v="285"/>
    <n v="337"/>
    <m/>
    <n v="500"/>
    <s v=""/>
    <s v="Turbocharged"/>
    <s v="No"/>
  </r>
  <r>
    <n v="2025"/>
    <s v="MAZDA"/>
    <s v="MAZDA"/>
    <s v="MX-5"/>
    <n v="2"/>
    <n v="4"/>
    <s v="Manual(M6)"/>
    <n v="6"/>
    <s v="2-Wheel Drive, Rear"/>
    <n v="26"/>
    <n v="34"/>
    <n v="29"/>
    <x v="8"/>
    <n v="2200"/>
    <n v="6"/>
    <n v="6"/>
    <n v="338"/>
    <n v="264"/>
    <n v="305"/>
    <m/>
    <n v="1500"/>
    <s v=""/>
    <s v="Naturally Aspirated"/>
    <s v="No"/>
  </r>
  <r>
    <n v="2025"/>
    <s v="MAZDA"/>
    <s v="MAZDA"/>
    <s v="MX-5"/>
    <n v="2"/>
    <n v="4"/>
    <s v="Auto(S6)"/>
    <n v="6"/>
    <s v="2-Wheel Drive, Rear"/>
    <n v="26"/>
    <n v="35"/>
    <n v="29"/>
    <x v="8"/>
    <n v="2200"/>
    <n v="6"/>
    <n v="6"/>
    <n v="339"/>
    <n v="254"/>
    <n v="301"/>
    <m/>
    <n v="1500"/>
    <s v=""/>
    <s v="Naturally Aspirated"/>
    <s v="No"/>
  </r>
  <r>
    <n v="2025"/>
    <s v="Mercedes-Benz"/>
    <s v="Mercedes-Benz"/>
    <s v="AMG C 43 4MATIC"/>
    <n v="2"/>
    <n v="4"/>
    <s v="Auto(A9)"/>
    <n v="9"/>
    <s v="All Wheel Drive"/>
    <n v="19"/>
    <n v="27"/>
    <n v="22"/>
    <x v="5"/>
    <n v="2900"/>
    <n v="5"/>
    <n v="5"/>
    <n v="468"/>
    <n v="329"/>
    <n v="405"/>
    <m/>
    <n v="5000"/>
    <s v=""/>
    <s v="Turbocharged"/>
    <s v="Yes"/>
  </r>
  <r>
    <n v="2025"/>
    <s v="Mercedes-Benz"/>
    <s v="Mercedes-Benz"/>
    <s v="AMG CLA 35 4MATIC"/>
    <n v="2"/>
    <n v="4"/>
    <s v="Auto(AM8)"/>
    <n v="8"/>
    <s v="All Wheel Drive"/>
    <n v="22"/>
    <n v="29"/>
    <n v="25"/>
    <x v="5"/>
    <n v="2550"/>
    <n v="5"/>
    <n v="5"/>
    <n v="409"/>
    <n v="304"/>
    <n v="362"/>
    <m/>
    <n v="3250"/>
    <s v=""/>
    <s v="Turbocharged"/>
    <s v="Yes"/>
  </r>
  <r>
    <n v="2025"/>
    <s v="Mercedes-Benz"/>
    <s v="Mercedes-Benz"/>
    <s v="AMG CLA 45 S 4MATIC"/>
    <n v="2"/>
    <n v="4"/>
    <s v="Auto(AM8)"/>
    <n v="8"/>
    <s v="All Wheel Drive"/>
    <n v="20"/>
    <n v="28"/>
    <n v="23"/>
    <x v="5"/>
    <n v="2750"/>
    <n v="5"/>
    <n v="5"/>
    <n v="438"/>
    <n v="308"/>
    <n v="379"/>
    <m/>
    <n v="4250"/>
    <s v=""/>
    <s v="Turbocharged"/>
    <s v="Yes"/>
  </r>
  <r>
    <n v="2025"/>
    <s v="Mercedes-Benz"/>
    <s v="Mercedes-Benz"/>
    <s v="AMG CLE 53 4MATIC+ (convertible)"/>
    <n v="3"/>
    <n v="6"/>
    <s v="Auto(A9)"/>
    <n v="9"/>
    <s v="All Wheel Drive"/>
    <n v="19"/>
    <n v="26"/>
    <n v="22"/>
    <x v="9"/>
    <n v="2900"/>
    <n v="5"/>
    <n v="5"/>
    <n v="459"/>
    <n v="346"/>
    <n v="408"/>
    <m/>
    <n v="5000"/>
    <s v=""/>
    <s v="Turbocharged+Supercharged"/>
    <s v="Yes"/>
  </r>
  <r>
    <n v="2025"/>
    <s v="Mercedes-Benz"/>
    <s v="Mercedes-Benz"/>
    <s v="AMG CLE 53 4MATIC+ (coupe)"/>
    <n v="3"/>
    <n v="6"/>
    <s v="Auto(A9)"/>
    <n v="9"/>
    <s v="All Wheel Drive"/>
    <n v="20"/>
    <n v="27"/>
    <n v="23"/>
    <x v="9"/>
    <n v="2750"/>
    <n v="5"/>
    <n v="5"/>
    <n v="444"/>
    <n v="327"/>
    <n v="391"/>
    <m/>
    <n v="4250"/>
    <s v=""/>
    <s v="Turbocharged+Supercharged"/>
    <s v="Yes"/>
  </r>
  <r>
    <n v="2025"/>
    <s v="Mercedes-Benz"/>
    <s v="Mercedes-Benz"/>
    <s v="AMG G 63"/>
    <n v="4"/>
    <n v="8"/>
    <s v="Auto(A9)"/>
    <n v="9"/>
    <s v="4-Wheel Drive"/>
    <n v="14"/>
    <n v="16"/>
    <n v="15"/>
    <x v="3"/>
    <n v="4250"/>
    <n v="2"/>
    <n v="2"/>
    <n v="654"/>
    <n v="553"/>
    <n v="608"/>
    <m/>
    <n v="11750"/>
    <s v=""/>
    <s v="Turbocharged"/>
    <s v="Yes"/>
  </r>
  <r>
    <n v="2025"/>
    <s v="Mercedes-Benz"/>
    <s v="Mercedes-Benz"/>
    <s v="AMG GLA 35 4MATIC"/>
    <n v="2"/>
    <n v="4"/>
    <s v="Auto(AM8)"/>
    <n v="8"/>
    <s v="All Wheel Drive"/>
    <n v="22"/>
    <n v="28"/>
    <n v="24"/>
    <x v="0"/>
    <n v="2650"/>
    <n v="5"/>
    <n v="5"/>
    <n v="411"/>
    <n v="320"/>
    <n v="370"/>
    <m/>
    <n v="3750"/>
    <s v=""/>
    <s v="Turbocharged"/>
    <s v="Yes"/>
  </r>
  <r>
    <n v="2025"/>
    <s v="Mercedes-Benz"/>
    <s v="Mercedes-Benz"/>
    <s v="AMG GLB 35 4MATIC"/>
    <n v="2"/>
    <n v="4"/>
    <s v="Auto(AM8)"/>
    <n v="8"/>
    <s v="All Wheel Drive"/>
    <n v="21"/>
    <n v="26"/>
    <n v="23"/>
    <x v="10"/>
    <n v="2750"/>
    <n v="5"/>
    <n v="5"/>
    <n v="433"/>
    <n v="336"/>
    <n v="390"/>
    <m/>
    <n v="4250"/>
    <s v=""/>
    <s v="Turbocharged"/>
    <s v="Yes"/>
  </r>
  <r>
    <n v="2025"/>
    <s v="Mercedes-Benz"/>
    <s v="Mercedes-Benz"/>
    <s v="AMG GLC 43 4MATIC"/>
    <n v="2"/>
    <n v="4"/>
    <s v="Auto(A9)"/>
    <n v="9"/>
    <s v="All Wheel Drive"/>
    <n v="19"/>
    <n v="25"/>
    <n v="21"/>
    <x v="0"/>
    <n v="3050"/>
    <n v="4"/>
    <n v="4"/>
    <n v="476"/>
    <n v="357"/>
    <n v="423"/>
    <m/>
    <n v="5750"/>
    <s v=""/>
    <s v="Turbocharged"/>
    <s v="Yes"/>
  </r>
  <r>
    <n v="2025"/>
    <s v="Mercedes-Benz"/>
    <s v="Mercedes-Benz"/>
    <s v="AMG GLC 43 4MATIC (coupe)"/>
    <n v="2"/>
    <n v="4"/>
    <s v="Auto(A9)"/>
    <n v="9"/>
    <s v="All Wheel Drive"/>
    <n v="18"/>
    <n v="24"/>
    <n v="21"/>
    <x v="0"/>
    <n v="3050"/>
    <n v="4"/>
    <n v="4"/>
    <n v="483"/>
    <n v="371"/>
    <n v="433"/>
    <m/>
    <n v="5750"/>
    <s v=""/>
    <s v="Turbocharged"/>
    <s v="Yes"/>
  </r>
  <r>
    <n v="2025"/>
    <s v="Mercedes-Benz"/>
    <s v="Mercedes-Benz"/>
    <s v="AMG GLE 53 4MATIC+"/>
    <n v="3"/>
    <n v="6"/>
    <s v="Auto(A9)"/>
    <n v="9"/>
    <s v="All Wheel Drive"/>
    <n v="18"/>
    <n v="23"/>
    <n v="20"/>
    <x v="3"/>
    <n v="3200"/>
    <n v="4"/>
    <n v="4"/>
    <n v="484"/>
    <n v="384"/>
    <n v="439"/>
    <m/>
    <n v="6500"/>
    <s v=""/>
    <s v="Turbocharged+Supercharged"/>
    <s v="Yes"/>
  </r>
  <r>
    <n v="2025"/>
    <s v="Mercedes-Benz"/>
    <s v="Mercedes-Benz"/>
    <s v="AMG GLE 53 4MATIC+ (coupe)"/>
    <n v="3"/>
    <n v="6"/>
    <s v="Auto(A9)"/>
    <n v="9"/>
    <s v="All Wheel Drive"/>
    <n v="18"/>
    <n v="22"/>
    <n v="20"/>
    <x v="3"/>
    <n v="3200"/>
    <n v="4"/>
    <n v="4"/>
    <n v="497"/>
    <n v="401"/>
    <n v="454"/>
    <m/>
    <n v="6500"/>
    <s v=""/>
    <s v="Turbocharged+Supercharged"/>
    <s v="Yes"/>
  </r>
  <r>
    <n v="2025"/>
    <s v="Mercedes-Benz"/>
    <s v="Mercedes-Benz"/>
    <s v="AMG GLE 63 S 4MATIC+"/>
    <n v="4"/>
    <n v="8"/>
    <s v="Auto(A9)"/>
    <n v="9"/>
    <s v="All Wheel Drive"/>
    <n v="14"/>
    <n v="19"/>
    <n v="16"/>
    <x v="3"/>
    <n v="4000"/>
    <n v="3"/>
    <n v="3"/>
    <n v="631"/>
    <n v="459"/>
    <n v="554"/>
    <m/>
    <n v="10500"/>
    <s v=""/>
    <s v="Turbocharged"/>
    <s v="Yes"/>
  </r>
  <r>
    <n v="2025"/>
    <s v="Mercedes-Benz"/>
    <s v="Mercedes-Benz"/>
    <s v="AMG GLE 63 S 4MATIC+ (coupe)"/>
    <n v="4"/>
    <n v="8"/>
    <s v="Auto(A9)"/>
    <n v="9"/>
    <s v="All Wheel Drive"/>
    <n v="14"/>
    <n v="19"/>
    <n v="16"/>
    <x v="3"/>
    <n v="4000"/>
    <n v="3"/>
    <n v="3"/>
    <n v="631"/>
    <n v="459"/>
    <n v="554"/>
    <m/>
    <n v="10500"/>
    <s v=""/>
    <s v="Turbocharged"/>
    <s v="Yes"/>
  </r>
  <r>
    <n v="2025"/>
    <s v="Mercedes-Benz"/>
    <s v="Mercedes-Benz"/>
    <s v="AMG GLS 63 4MATIC+"/>
    <n v="4"/>
    <n v="8"/>
    <s v="Auto(A9)"/>
    <n v="9"/>
    <s v="All Wheel Drive"/>
    <n v="14"/>
    <n v="18"/>
    <n v="15"/>
    <x v="3"/>
    <n v="4250"/>
    <n v="2"/>
    <n v="2"/>
    <n v="647"/>
    <n v="493"/>
    <n v="578"/>
    <m/>
    <n v="11750"/>
    <s v=""/>
    <s v="Turbocharged"/>
    <s v="Yes"/>
  </r>
  <r>
    <n v="2025"/>
    <s v="Mercedes-Benz"/>
    <s v="Mercedes-Benz"/>
    <s v="AMG GT 43 (coupe)"/>
    <n v="2"/>
    <n v="4"/>
    <s v="Auto(A9)"/>
    <n v="9"/>
    <s v="2-Wheel Drive, Rear"/>
    <n v="19"/>
    <n v="27"/>
    <n v="22"/>
    <x v="9"/>
    <n v="2900"/>
    <n v="5"/>
    <n v="5"/>
    <n v="464"/>
    <n v="333"/>
    <n v="405"/>
    <m/>
    <n v="5000"/>
    <s v=""/>
    <s v="Turbocharged"/>
    <s v="Yes"/>
  </r>
  <r>
    <n v="2025"/>
    <s v="Mercedes-Benz"/>
    <s v="Mercedes-Benz"/>
    <s v="AMG GT 43 4MATIC+"/>
    <n v="3"/>
    <n v="6"/>
    <s v="Auto(A9)"/>
    <n v="9"/>
    <s v="All Wheel Drive"/>
    <n v="19"/>
    <n v="24"/>
    <n v="21"/>
    <x v="0"/>
    <n v="3050"/>
    <n v="4"/>
    <n v="4"/>
    <n v="464"/>
    <n v="374"/>
    <n v="424"/>
    <m/>
    <n v="5750"/>
    <s v=""/>
    <s v="Other"/>
    <s v="Yes"/>
  </r>
  <r>
    <n v="2025"/>
    <s v="Mercedes-Benz"/>
    <s v="Mercedes-Benz"/>
    <s v="AMG GT 53 4MATIC+"/>
    <n v="3"/>
    <n v="6"/>
    <s v="Auto(A9)"/>
    <n v="9"/>
    <s v="All Wheel Drive"/>
    <n v="19"/>
    <n v="24"/>
    <n v="21"/>
    <x v="0"/>
    <n v="3050"/>
    <n v="4"/>
    <n v="4"/>
    <n v="464"/>
    <n v="374"/>
    <n v="424"/>
    <m/>
    <n v="5750"/>
    <s v=""/>
    <s v="Other"/>
    <s v="Yes"/>
  </r>
  <r>
    <n v="2025"/>
    <s v="Mercedes-Benz"/>
    <s v="Mercedes-Benz"/>
    <s v="AMG GT 55 4MATIC+ (coupe)"/>
    <n v="4"/>
    <n v="8"/>
    <s v="Auto(A9)"/>
    <n v="9"/>
    <s v="All Wheel Drive"/>
    <n v="12"/>
    <n v="19"/>
    <n v="14"/>
    <x v="8"/>
    <n v="4550"/>
    <n v="2"/>
    <n v="2"/>
    <n v="743"/>
    <n v="476"/>
    <n v="623"/>
    <m/>
    <n v="13250"/>
    <s v="G"/>
    <s v="Turbocharged"/>
    <s v="Yes"/>
  </r>
  <r>
    <n v="2025"/>
    <s v="Mercedes-Benz"/>
    <s v="Mercedes-Benz"/>
    <s v="AMG GT 63 4MATIC+"/>
    <n v="4"/>
    <n v="8"/>
    <s v="Auto(A9)"/>
    <n v="9"/>
    <s v="All Wheel Drive"/>
    <n v="15"/>
    <n v="21"/>
    <n v="17"/>
    <x v="5"/>
    <n v="3750"/>
    <n v="3"/>
    <n v="3"/>
    <n v="579"/>
    <n v="430"/>
    <n v="512"/>
    <m/>
    <n v="9250"/>
    <s v=""/>
    <s v="Turbocharged"/>
    <s v="Yes"/>
  </r>
  <r>
    <n v="2025"/>
    <s v="Mercedes-Benz"/>
    <s v="Mercedes-Benz"/>
    <s v="AMG GT 63 4MATIC+ (coupe)"/>
    <n v="4"/>
    <n v="8"/>
    <s v="Auto(A9)"/>
    <n v="9"/>
    <s v="All Wheel Drive"/>
    <n v="12"/>
    <n v="19"/>
    <n v="14"/>
    <x v="8"/>
    <n v="4550"/>
    <n v="2"/>
    <n v="2"/>
    <n v="743"/>
    <n v="476"/>
    <n v="623"/>
    <m/>
    <n v="13250"/>
    <s v="G"/>
    <s v="Turbocharged"/>
    <s v="Yes"/>
  </r>
  <r>
    <n v="2025"/>
    <s v="Mercedes-Benz"/>
    <s v="Mercedes-Benz"/>
    <s v="AMG GT 63 PRO 4MATIC+ (coupe)"/>
    <n v="4"/>
    <n v="8"/>
    <s v="Auto(A9)"/>
    <n v="9"/>
    <s v="All Wheel Drive"/>
    <n v="12"/>
    <n v="19"/>
    <n v="14"/>
    <x v="8"/>
    <n v="4550"/>
    <n v="2"/>
    <n v="2"/>
    <n v="743"/>
    <n v="476"/>
    <n v="623"/>
    <m/>
    <n v="13250"/>
    <s v="G"/>
    <s v="Turbocharged"/>
    <s v="Yes"/>
  </r>
  <r>
    <n v="2025"/>
    <s v="Mercedes-Benz"/>
    <s v="Mercedes-Benz"/>
    <s v="AMG SL 43"/>
    <n v="2"/>
    <n v="4"/>
    <s v="Auto(A9)"/>
    <n v="9"/>
    <s v="2-Wheel Drive, Rear"/>
    <n v="19"/>
    <n v="27"/>
    <n v="22"/>
    <x v="7"/>
    <n v="2900"/>
    <n v="5"/>
    <n v="5"/>
    <n v="459"/>
    <n v="329"/>
    <n v="400"/>
    <m/>
    <n v="5000"/>
    <s v=""/>
    <s v="Turbocharged"/>
    <s v="Yes"/>
  </r>
  <r>
    <n v="2025"/>
    <s v="Mercedes-Benz"/>
    <s v="Mercedes-Benz"/>
    <s v="AMG SL 55 4MATIC+"/>
    <n v="4"/>
    <n v="8"/>
    <s v="Auto(A9)"/>
    <n v="9"/>
    <s v="All Wheel Drive"/>
    <n v="13"/>
    <n v="21"/>
    <n v="16"/>
    <x v="7"/>
    <n v="4000"/>
    <n v="3"/>
    <n v="3"/>
    <n v="667"/>
    <n v="424"/>
    <n v="558"/>
    <m/>
    <n v="10500"/>
    <s v="G"/>
    <s v="Turbocharged"/>
    <s v="Yes"/>
  </r>
  <r>
    <n v="2025"/>
    <s v="Mercedes-Benz"/>
    <s v="Mercedes-Benz"/>
    <s v="AMG SL 63 4MATIC+"/>
    <n v="4"/>
    <n v="8"/>
    <s v="Auto(A9)"/>
    <n v="9"/>
    <s v="All Wheel Drive"/>
    <n v="13"/>
    <n v="21"/>
    <n v="16"/>
    <x v="7"/>
    <n v="4000"/>
    <n v="3"/>
    <n v="3"/>
    <n v="667"/>
    <n v="424"/>
    <n v="558"/>
    <m/>
    <n v="10500"/>
    <s v="G"/>
    <s v="Turbocharged"/>
    <s v="Yes"/>
  </r>
  <r>
    <n v="2025"/>
    <s v="Mercedes-Benz"/>
    <s v="Mercedes-Benz"/>
    <s v="C 300"/>
    <n v="2"/>
    <n v="4"/>
    <s v="Auto(A9)"/>
    <n v="9"/>
    <s v="2-Wheel Drive, Rear"/>
    <n v="25"/>
    <n v="35"/>
    <n v="29"/>
    <x v="5"/>
    <n v="2200"/>
    <n v="6"/>
    <n v="6"/>
    <n v="352"/>
    <n v="252"/>
    <n v="307"/>
    <m/>
    <n v="1500"/>
    <s v=""/>
    <s v="Turbocharged"/>
    <s v="Yes"/>
  </r>
  <r>
    <n v="2025"/>
    <s v="Mercedes-Benz"/>
    <s v="Mercedes-Benz"/>
    <s v="C 300 4MATIC"/>
    <n v="2"/>
    <n v="4"/>
    <s v="Auto(A9)"/>
    <n v="9"/>
    <s v="All Wheel Drive"/>
    <n v="24"/>
    <n v="33"/>
    <n v="27"/>
    <x v="5"/>
    <n v="2350"/>
    <n v="5"/>
    <n v="5"/>
    <n v="379"/>
    <n v="268"/>
    <n v="329"/>
    <m/>
    <n v="2250"/>
    <s v=""/>
    <s v="Turbocharged"/>
    <s v="Yes"/>
  </r>
  <r>
    <n v="2025"/>
    <s v="Mercedes-Benz"/>
    <s v="Mercedes-Benz"/>
    <s v="CLA 250"/>
    <n v="2"/>
    <n v="4"/>
    <s v="Auto(AM8)"/>
    <n v="8"/>
    <s v="2-Wheel Drive, Front"/>
    <n v="26"/>
    <n v="36"/>
    <n v="30"/>
    <x v="5"/>
    <n v="2100"/>
    <n v="6"/>
    <n v="6"/>
    <n v="339"/>
    <n v="247"/>
    <n v="298"/>
    <m/>
    <n v="1000"/>
    <s v=""/>
    <s v="Turbocharged"/>
    <s v="Yes"/>
  </r>
  <r>
    <n v="2025"/>
    <s v="Mercedes-Benz"/>
    <s v="Mercedes-Benz"/>
    <s v="CLA 250 4MATIC"/>
    <n v="2"/>
    <n v="4"/>
    <s v="Auto(AM8)"/>
    <n v="8"/>
    <s v="All Wheel Drive"/>
    <n v="25"/>
    <n v="34"/>
    <n v="29"/>
    <x v="5"/>
    <n v="2200"/>
    <n v="6"/>
    <n v="6"/>
    <n v="353"/>
    <n v="260"/>
    <n v="311"/>
    <m/>
    <n v="1500"/>
    <s v=""/>
    <s v="Turbocharged"/>
    <s v="Yes"/>
  </r>
  <r>
    <n v="2025"/>
    <s v="Mercedes-Benz"/>
    <s v="Mercedes-Benz"/>
    <s v="CLE 300 4MATIC (convertible)"/>
    <n v="2"/>
    <n v="4"/>
    <s v="Auto(A9)"/>
    <n v="9"/>
    <s v="All Wheel Drive"/>
    <n v="23"/>
    <n v="32"/>
    <n v="26"/>
    <x v="9"/>
    <n v="2450"/>
    <n v="5"/>
    <n v="5"/>
    <n v="389"/>
    <n v="279"/>
    <n v="340"/>
    <m/>
    <n v="2750"/>
    <s v=""/>
    <s v="Turbocharged"/>
    <s v="Yes"/>
  </r>
  <r>
    <n v="2025"/>
    <s v="Mercedes-Benz"/>
    <s v="Mercedes-Benz"/>
    <s v="CLE 300 4MATIC (Coupe)"/>
    <n v="2"/>
    <n v="4"/>
    <s v="Auto(A9)"/>
    <n v="9"/>
    <s v="All Wheel Drive"/>
    <n v="24"/>
    <n v="33"/>
    <n v="27"/>
    <x v="9"/>
    <n v="2350"/>
    <n v="5"/>
    <n v="5"/>
    <n v="368"/>
    <n v="268"/>
    <n v="323"/>
    <m/>
    <n v="2250"/>
    <s v=""/>
    <s v="Turbocharged"/>
    <s v="Yes"/>
  </r>
  <r>
    <n v="2025"/>
    <s v="Mercedes-Benz"/>
    <s v="Mercedes-Benz"/>
    <s v="CLE 450 4MATIC (Convertible)"/>
    <n v="3"/>
    <n v="6"/>
    <s v="Auto(A9)"/>
    <n v="9"/>
    <s v="All Wheel Drive"/>
    <n v="23"/>
    <n v="32"/>
    <n v="26"/>
    <x v="9"/>
    <n v="2450"/>
    <n v="5"/>
    <n v="5"/>
    <n v="386"/>
    <n v="279"/>
    <n v="338"/>
    <m/>
    <n v="2750"/>
    <s v=""/>
    <s v="Turbocharged+Supercharged"/>
    <s v="Yes"/>
  </r>
  <r>
    <n v="2025"/>
    <s v="Mercedes-Benz"/>
    <s v="Mercedes-Benz"/>
    <s v="CLE 450 4MATIC (Coupe)"/>
    <n v="3"/>
    <n v="6"/>
    <s v="Auto(A9)"/>
    <n v="9"/>
    <s v="All Wheel Drive"/>
    <n v="23"/>
    <n v="33"/>
    <n v="26"/>
    <x v="9"/>
    <n v="2450"/>
    <n v="5"/>
    <n v="5"/>
    <n v="394"/>
    <n v="271"/>
    <n v="339"/>
    <m/>
    <n v="2750"/>
    <s v=""/>
    <s v="Turbocharged+Supercharged"/>
    <s v="Yes"/>
  </r>
  <r>
    <n v="2025"/>
    <s v="Mercedes-Benz"/>
    <s v="Mercedes-Benz"/>
    <s v="E 350"/>
    <n v="2"/>
    <n v="4"/>
    <s v="Auto(A9)"/>
    <n v="9"/>
    <s v="2-Wheel Drive, Rear"/>
    <n v="25"/>
    <n v="33"/>
    <n v="28"/>
    <x v="6"/>
    <n v="2300"/>
    <n v="6"/>
    <n v="6"/>
    <n v="359"/>
    <n v="264"/>
    <n v="316"/>
    <m/>
    <n v="2000"/>
    <s v=""/>
    <s v="Turbocharged"/>
    <s v="Yes"/>
  </r>
  <r>
    <n v="2025"/>
    <s v="Mercedes-Benz"/>
    <s v="Mercedes-Benz"/>
    <s v="E 350 4MATIC"/>
    <n v="2"/>
    <n v="4"/>
    <s v="Auto(A9)"/>
    <n v="9"/>
    <s v="All Wheel Drive"/>
    <n v="24"/>
    <n v="33"/>
    <n v="27"/>
    <x v="6"/>
    <n v="2350"/>
    <n v="5"/>
    <n v="5"/>
    <n v="375"/>
    <n v="269"/>
    <n v="327"/>
    <m/>
    <n v="2250"/>
    <s v=""/>
    <s v="Turbocharged"/>
    <s v="Yes"/>
  </r>
  <r>
    <n v="2025"/>
    <s v="Mercedes-Benz"/>
    <s v="Mercedes-Benz"/>
    <s v="E 450 4MATIC"/>
    <n v="3"/>
    <n v="6"/>
    <s v="Auto(A9)"/>
    <n v="9"/>
    <s v="All Wheel Drive"/>
    <n v="22"/>
    <n v="31"/>
    <n v="25"/>
    <x v="6"/>
    <n v="2550"/>
    <n v="5"/>
    <n v="5"/>
    <n v="409"/>
    <n v="290"/>
    <n v="355"/>
    <m/>
    <n v="3250"/>
    <s v=""/>
    <s v="Turbocharged+Supercharged"/>
    <s v="Yes"/>
  </r>
  <r>
    <n v="2025"/>
    <s v="Mercedes-Benz"/>
    <s v="Mercedes-Benz"/>
    <s v="E 450 4MATIC All-Terrain Wagon"/>
    <n v="3"/>
    <n v="6"/>
    <s v="Auto(A9)"/>
    <n v="9"/>
    <s v="All Wheel Drive"/>
    <n v="22"/>
    <n v="31"/>
    <n v="25"/>
    <x v="10"/>
    <n v="2550"/>
    <n v="5"/>
    <n v="5"/>
    <n v="402"/>
    <n v="289"/>
    <n v="351"/>
    <m/>
    <n v="3250"/>
    <s v=""/>
    <s v="Turbocharged+Supercharged"/>
    <s v="Yes"/>
  </r>
  <r>
    <n v="2025"/>
    <s v="Mercedes-Benz"/>
    <s v="Mercedes-Benz"/>
    <s v="G 550"/>
    <n v="3"/>
    <n v="6"/>
    <s v="Auto(A9)"/>
    <n v="9"/>
    <s v="4-Wheel Drive"/>
    <n v="17"/>
    <n v="19"/>
    <n v="18"/>
    <x v="3"/>
    <n v="3550"/>
    <n v="4"/>
    <n v="4"/>
    <n v="510"/>
    <n v="465"/>
    <n v="490"/>
    <m/>
    <n v="8250"/>
    <s v=""/>
    <s v="Turbocharged+Supercharged"/>
    <s v="Yes"/>
  </r>
  <r>
    <n v="2025"/>
    <s v="Mercedes-Benz"/>
    <s v="Mercedes-Benz"/>
    <s v="GLA 250"/>
    <n v="2"/>
    <n v="4"/>
    <s v="Auto(AM8)"/>
    <n v="8"/>
    <s v="2-Wheel Drive, Front"/>
    <n v="26"/>
    <n v="34"/>
    <n v="29"/>
    <x v="19"/>
    <n v="2200"/>
    <n v="6"/>
    <n v="6"/>
    <n v="344"/>
    <n v="260"/>
    <n v="306"/>
    <m/>
    <n v="1500"/>
    <s v=""/>
    <s v="Turbocharged"/>
    <s v="Yes"/>
  </r>
  <r>
    <n v="2025"/>
    <s v="Mercedes-Benz"/>
    <s v="Mercedes-Benz"/>
    <s v="GLA 250 4MATIC"/>
    <n v="2"/>
    <n v="4"/>
    <s v="Auto(AM8)"/>
    <n v="8"/>
    <s v="All Wheel Drive"/>
    <n v="25"/>
    <n v="33"/>
    <n v="28"/>
    <x v="2"/>
    <n v="2300"/>
    <n v="6"/>
    <n v="6"/>
    <n v="353"/>
    <n v="269"/>
    <n v="315"/>
    <m/>
    <n v="2000"/>
    <s v=""/>
    <s v="Turbocharged"/>
    <s v="Yes"/>
  </r>
  <r>
    <n v="2025"/>
    <s v="Mercedes-Benz"/>
    <s v="Mercedes-Benz"/>
    <s v="GLB 250"/>
    <n v="2"/>
    <n v="4"/>
    <s v="Auto(AM8)"/>
    <n v="8"/>
    <s v="2-Wheel Drive, Front"/>
    <n v="25"/>
    <n v="33"/>
    <n v="28"/>
    <x v="19"/>
    <n v="2300"/>
    <n v="6"/>
    <n v="6"/>
    <n v="348"/>
    <n v="265"/>
    <n v="311"/>
    <m/>
    <n v="2000"/>
    <s v=""/>
    <s v="Turbocharged"/>
    <s v="Yes"/>
  </r>
  <r>
    <n v="2025"/>
    <s v="Mercedes-Benz"/>
    <s v="Mercedes-Benz"/>
    <s v="GLB 250 4MATIC"/>
    <n v="2"/>
    <n v="4"/>
    <s v="Auto(AM8)"/>
    <n v="8"/>
    <s v="All Wheel Drive"/>
    <n v="24"/>
    <n v="33"/>
    <n v="27"/>
    <x v="2"/>
    <n v="2350"/>
    <n v="5"/>
    <n v="5"/>
    <n v="368"/>
    <n v="270"/>
    <n v="324"/>
    <m/>
    <n v="2250"/>
    <s v=""/>
    <s v="Turbocharged"/>
    <s v="Yes"/>
  </r>
  <r>
    <n v="2025"/>
    <s v="Mercedes-Benz"/>
    <s v="Mercedes-Benz"/>
    <s v="GLC 300"/>
    <n v="2"/>
    <n v="4"/>
    <s v="Auto(A9)"/>
    <n v="9"/>
    <s v="2-Wheel Drive, Rear"/>
    <n v="24"/>
    <n v="32"/>
    <n v="27"/>
    <x v="4"/>
    <n v="2350"/>
    <n v="5"/>
    <n v="5"/>
    <n v="365"/>
    <n v="273"/>
    <n v="323"/>
    <m/>
    <n v="2250"/>
    <s v=""/>
    <s v="Turbocharged"/>
    <s v="Yes"/>
  </r>
  <r>
    <n v="2025"/>
    <s v="Mercedes-Benz"/>
    <s v="Mercedes-Benz"/>
    <s v="GLC 300 4MATIC"/>
    <n v="2"/>
    <n v="4"/>
    <s v="Auto(A9)"/>
    <n v="9"/>
    <s v="All Wheel Drive"/>
    <n v="23"/>
    <n v="31"/>
    <n v="26"/>
    <x v="2"/>
    <n v="2450"/>
    <n v="5"/>
    <n v="5"/>
    <n v="380"/>
    <n v="287"/>
    <n v="338"/>
    <m/>
    <n v="2750"/>
    <s v=""/>
    <s v="Turbocharged"/>
    <s v="Yes"/>
  </r>
  <r>
    <n v="2025"/>
    <s v="Mercedes-Benz"/>
    <s v="Mercedes-Benz"/>
    <s v="GLC 300 4MATIC (Coupe)"/>
    <n v="2"/>
    <n v="4"/>
    <s v="Auto(A9)"/>
    <n v="9"/>
    <s v="All Wheel Drive"/>
    <n v="23"/>
    <n v="31"/>
    <n v="26"/>
    <x v="2"/>
    <n v="2450"/>
    <n v="5"/>
    <n v="5"/>
    <n v="379"/>
    <n v="287"/>
    <n v="337"/>
    <m/>
    <n v="2750"/>
    <s v=""/>
    <s v="Turbocharged"/>
    <s v="Yes"/>
  </r>
  <r>
    <n v="2025"/>
    <s v="Mercedes-Benz"/>
    <s v="Mercedes-Benz"/>
    <s v="GLE 350"/>
    <n v="2"/>
    <n v="4"/>
    <s v="Auto(A9)"/>
    <n v="9"/>
    <s v="2-Wheel Drive, Rear"/>
    <n v="21"/>
    <n v="28"/>
    <n v="23"/>
    <x v="2"/>
    <n v="2750"/>
    <n v="5"/>
    <n v="5"/>
    <n v="434"/>
    <n v="318"/>
    <n v="382"/>
    <m/>
    <n v="4250"/>
    <s v=""/>
    <s v="Turbocharged"/>
    <s v="Yes"/>
  </r>
  <r>
    <n v="2025"/>
    <s v="Mercedes-Benz"/>
    <s v="Mercedes-Benz"/>
    <s v="GLE 350 4MATIC"/>
    <n v="2"/>
    <n v="4"/>
    <s v="Auto(A9)"/>
    <n v="9"/>
    <s v="All Wheel Drive"/>
    <n v="19"/>
    <n v="26"/>
    <n v="22"/>
    <x v="2"/>
    <n v="2900"/>
    <n v="5"/>
    <n v="5"/>
    <n v="461"/>
    <n v="347"/>
    <n v="410"/>
    <m/>
    <n v="5000"/>
    <s v=""/>
    <s v="Turbocharged"/>
    <s v="Yes"/>
  </r>
  <r>
    <n v="2025"/>
    <s v="Mercedes-Benz"/>
    <s v="Mercedes-Benz"/>
    <s v="GLE 450 4MATIC"/>
    <n v="3"/>
    <n v="6"/>
    <s v="Auto(A9)"/>
    <n v="9"/>
    <s v="All Wheel Drive"/>
    <n v="19"/>
    <n v="25"/>
    <n v="21"/>
    <x v="3"/>
    <n v="3050"/>
    <n v="4"/>
    <n v="4"/>
    <n v="474"/>
    <n v="363"/>
    <n v="424"/>
    <m/>
    <n v="5750"/>
    <s v=""/>
    <s v="Turbocharged+Supercharged"/>
    <s v="Yes"/>
  </r>
  <r>
    <n v="2025"/>
    <s v="Mercedes-Benz"/>
    <s v="Mercedes-Benz"/>
    <s v="GLE 450 4MATIC (coupe)"/>
    <n v="3"/>
    <n v="6"/>
    <s v="Auto(A9)"/>
    <n v="9"/>
    <s v="All Wheel Drive"/>
    <n v="19"/>
    <n v="25"/>
    <n v="21"/>
    <x v="3"/>
    <n v="3050"/>
    <n v="4"/>
    <n v="4"/>
    <n v="474"/>
    <n v="363"/>
    <n v="424"/>
    <m/>
    <n v="5750"/>
    <s v=""/>
    <s v="Turbocharged+Supercharged"/>
    <s v="Yes"/>
  </r>
  <r>
    <n v="2025"/>
    <s v="Mercedes-Benz"/>
    <s v="Mercedes-Benz"/>
    <s v="GLE 580 4MATIC"/>
    <n v="4"/>
    <n v="8"/>
    <s v="Auto(A9)"/>
    <n v="9"/>
    <s v="All Wheel Drive"/>
    <n v="15"/>
    <n v="20"/>
    <n v="17"/>
    <x v="3"/>
    <n v="3750"/>
    <n v="3"/>
    <n v="3"/>
    <n v="602"/>
    <n v="435"/>
    <n v="527"/>
    <m/>
    <n v="9250"/>
    <s v=""/>
    <s v="Turbocharged"/>
    <s v="Yes"/>
  </r>
  <r>
    <n v="2025"/>
    <s v="Mercedes-Benz"/>
    <s v="Mercedes-Benz"/>
    <s v="GLS 450 4MATIC"/>
    <n v="3"/>
    <n v="6"/>
    <s v="Auto(A9)"/>
    <n v="9"/>
    <s v="All Wheel Drive"/>
    <n v="19"/>
    <n v="24"/>
    <n v="21"/>
    <x v="3"/>
    <n v="3050"/>
    <n v="4"/>
    <n v="4"/>
    <n v="481"/>
    <n v="364"/>
    <n v="428"/>
    <m/>
    <n v="5750"/>
    <s v=""/>
    <s v="Turbocharged+Supercharged"/>
    <s v="Yes"/>
  </r>
  <r>
    <n v="2025"/>
    <s v="Mercedes-Benz"/>
    <s v="Mercedes-Benz"/>
    <s v="GLS 580 4MATIC"/>
    <n v="4"/>
    <n v="8"/>
    <s v="Auto(A9)"/>
    <n v="9"/>
    <s v="All Wheel Drive"/>
    <n v="14"/>
    <n v="19"/>
    <n v="16"/>
    <x v="3"/>
    <n v="4000"/>
    <n v="3"/>
    <n v="3"/>
    <n v="625"/>
    <n v="454"/>
    <n v="548"/>
    <m/>
    <n v="10500"/>
    <s v=""/>
    <s v="Turbocharged"/>
    <s v="Yes"/>
  </r>
  <r>
    <n v="2025"/>
    <s v="Mercedes-Benz"/>
    <s v="Mercedes-Benz"/>
    <s v="GLS 600 4MATIC Maybach"/>
    <n v="4"/>
    <n v="8"/>
    <s v="Auto(A9)"/>
    <n v="9"/>
    <s v="All Wheel Drive"/>
    <n v="13"/>
    <n v="18"/>
    <n v="15"/>
    <x v="3"/>
    <n v="4250"/>
    <n v="2"/>
    <n v="2"/>
    <n v="672"/>
    <n v="485"/>
    <n v="588"/>
    <m/>
    <n v="11750"/>
    <s v=""/>
    <s v="Turbocharged"/>
    <s v="Yes"/>
  </r>
  <r>
    <n v="2025"/>
    <s v="Mercedes-Benz"/>
    <s v="Mercedes-Benz"/>
    <s v="S 500 4MATIC"/>
    <n v="3"/>
    <n v="6"/>
    <s v="Auto(A9)"/>
    <n v="9"/>
    <s v="All Wheel Drive"/>
    <n v="21"/>
    <n v="31"/>
    <n v="24"/>
    <x v="1"/>
    <n v="2650"/>
    <n v="5"/>
    <n v="5"/>
    <n v="425"/>
    <n v="290"/>
    <n v="364"/>
    <m/>
    <n v="3750"/>
    <s v=""/>
    <s v="Turbocharged+Supercharged"/>
    <s v="Yes"/>
  </r>
  <r>
    <n v="2025"/>
    <s v="Mercedes-Benz"/>
    <s v="Mercedes-Benz"/>
    <s v="S 580 4MATIC"/>
    <n v="4"/>
    <n v="8"/>
    <s v="Auto(A9)"/>
    <n v="9"/>
    <s v="All Wheel Drive"/>
    <n v="17"/>
    <n v="25"/>
    <n v="20"/>
    <x v="1"/>
    <n v="3200"/>
    <n v="4"/>
    <n v="4"/>
    <n v="528"/>
    <n v="350"/>
    <n v="448"/>
    <m/>
    <n v="6500"/>
    <s v=""/>
    <s v="Turbocharged"/>
    <s v="Yes"/>
  </r>
  <r>
    <n v="2025"/>
    <s v="Mercedes-Benz"/>
    <s v="Mercedes-Benz"/>
    <s v="S 580 4MATIC Maybach"/>
    <n v="4"/>
    <n v="8"/>
    <s v="Auto(A9)"/>
    <n v="9"/>
    <s v="All Wheel Drive"/>
    <n v="16"/>
    <n v="27"/>
    <n v="20"/>
    <x v="1"/>
    <n v="3200"/>
    <n v="4"/>
    <n v="4"/>
    <n v="549"/>
    <n v="330"/>
    <n v="451"/>
    <m/>
    <n v="6500"/>
    <s v=""/>
    <s v="Turbocharged"/>
    <s v="Yes"/>
  </r>
  <r>
    <n v="2025"/>
    <s v="Mercedes-Benz"/>
    <s v="Mercedes-Benz"/>
    <s v="S 680 4MATIC Maybach"/>
    <n v="6"/>
    <n v="12"/>
    <s v="Auto(A9)"/>
    <n v="9"/>
    <s v="All Wheel Drive"/>
    <n v="12"/>
    <n v="20"/>
    <n v="15"/>
    <x v="1"/>
    <n v="4250"/>
    <n v="2"/>
    <n v="2"/>
    <n v="741"/>
    <n v="435"/>
    <n v="603"/>
    <m/>
    <n v="11750"/>
    <s v="G"/>
    <s v="Turbocharged"/>
    <s v="Yes"/>
  </r>
  <r>
    <n v="2025"/>
    <s v="BMW"/>
    <s v="Mini"/>
    <s v="Cooper Convertible"/>
    <n v="2"/>
    <n v="4"/>
    <s v="Auto(AM-S7)"/>
    <n v="7"/>
    <s v="2-Wheel Drive, Front"/>
    <n v="27"/>
    <n v="37"/>
    <n v="30"/>
    <x v="7"/>
    <n v="2100"/>
    <n v="6"/>
    <n v="6"/>
    <n v="327"/>
    <n v="238"/>
    <n v="287"/>
    <m/>
    <n v="1000"/>
    <s v=""/>
    <s v="Turbocharged"/>
    <s v="Yes"/>
  </r>
  <r>
    <n v="2025"/>
    <s v="BMW"/>
    <s v="Mini"/>
    <s v="Cooper Hardtop 2 Door"/>
    <n v="2"/>
    <n v="4"/>
    <s v="Auto(AM-S7)"/>
    <n v="7"/>
    <s v="2-Wheel Drive, Front"/>
    <n v="28"/>
    <n v="39"/>
    <n v="32"/>
    <x v="9"/>
    <n v="2000"/>
    <n v="6"/>
    <n v="6"/>
    <n v="316"/>
    <n v="224"/>
    <n v="274"/>
    <m/>
    <n v="500"/>
    <s v=""/>
    <s v="Turbocharged"/>
    <s v="Yes"/>
  </r>
  <r>
    <n v="2025"/>
    <s v="BMW"/>
    <s v="Mini"/>
    <s v="Cooper Hardtop 4 Door"/>
    <n v="2"/>
    <n v="4"/>
    <s v="Auto(AM-S7)"/>
    <n v="7"/>
    <s v="2-Wheel Drive, Front"/>
    <n v="28"/>
    <n v="39"/>
    <n v="32"/>
    <x v="5"/>
    <n v="2000"/>
    <n v="6"/>
    <n v="6"/>
    <n v="318"/>
    <n v="225"/>
    <n v="276"/>
    <m/>
    <n v="500"/>
    <s v=""/>
    <s v="Turbocharged"/>
    <s v="Yes"/>
  </r>
  <r>
    <n v="2025"/>
    <s v="BMW"/>
    <s v="Mini"/>
    <s v="Cooper S Convertible"/>
    <n v="2"/>
    <n v="4"/>
    <s v="Auto(AM-S7)"/>
    <n v="7"/>
    <s v="2-Wheel Drive, Front"/>
    <n v="26"/>
    <n v="36"/>
    <n v="30"/>
    <x v="7"/>
    <n v="2100"/>
    <n v="6"/>
    <n v="6"/>
    <n v="330"/>
    <n v="245"/>
    <n v="292"/>
    <m/>
    <n v="1000"/>
    <s v=""/>
    <s v="Turbocharged"/>
    <s v="Yes"/>
  </r>
  <r>
    <n v="2025"/>
    <s v="BMW"/>
    <s v="Mini"/>
    <s v="COOPER S HARDTOP 2 DOOR"/>
    <n v="2"/>
    <n v="4"/>
    <s v="Auto(AM-S7)"/>
    <n v="7"/>
    <s v="2-Wheel Drive, Front"/>
    <n v="28"/>
    <n v="39"/>
    <n v="32"/>
    <x v="9"/>
    <n v="2000"/>
    <n v="6"/>
    <n v="6"/>
    <n v="316"/>
    <n v="226"/>
    <n v="275"/>
    <m/>
    <n v="500"/>
    <s v=""/>
    <s v="Turbocharged"/>
    <s v="Yes"/>
  </r>
  <r>
    <n v="2025"/>
    <s v="BMW"/>
    <s v="Mini"/>
    <s v="Cooper S Hardtop 4 Door"/>
    <n v="2"/>
    <n v="4"/>
    <s v="Auto(AM-S7)"/>
    <n v="7"/>
    <s v="2-Wheel Drive, Front"/>
    <n v="28"/>
    <n v="39"/>
    <n v="32"/>
    <x v="5"/>
    <n v="2000"/>
    <n v="6"/>
    <n v="6"/>
    <n v="311"/>
    <n v="226"/>
    <n v="273"/>
    <m/>
    <n v="500"/>
    <s v=""/>
    <s v="Turbocharged"/>
    <s v="Yes"/>
  </r>
  <r>
    <n v="2025"/>
    <s v="BMW"/>
    <s v="Mini"/>
    <s v="Countryman S ALL4"/>
    <n v="2"/>
    <n v="4"/>
    <s v="Auto(AM-S7)"/>
    <n v="7"/>
    <s v="All Wheel Drive"/>
    <n v="24"/>
    <n v="32"/>
    <n v="27"/>
    <x v="2"/>
    <n v="2350"/>
    <n v="5"/>
    <n v="5"/>
    <n v="365"/>
    <n v="271"/>
    <n v="323"/>
    <m/>
    <n v="2250"/>
    <s v=""/>
    <s v="Turbocharged"/>
    <s v="Yes"/>
  </r>
  <r>
    <n v="2025"/>
    <s v="BMW"/>
    <s v="Mini"/>
    <s v="JCW Convertible"/>
    <n v="2"/>
    <n v="4"/>
    <s v="Auto(AM-S7)"/>
    <n v="7"/>
    <s v="2-Wheel Drive, Front"/>
    <n v="26"/>
    <n v="35"/>
    <n v="30"/>
    <x v="7"/>
    <n v="2100"/>
    <n v="6"/>
    <n v="6"/>
    <n v="335"/>
    <n v="247"/>
    <n v="296"/>
    <m/>
    <n v="1000"/>
    <s v=""/>
    <s v="Turbocharged"/>
    <s v="Yes"/>
  </r>
  <r>
    <n v="2025"/>
    <s v="BMW"/>
    <s v="Mini"/>
    <s v="JCW Countryman ALL4"/>
    <n v="2"/>
    <n v="4"/>
    <s v="Auto(AM-S7)"/>
    <n v="7"/>
    <s v="All Wheel Drive"/>
    <n v="23"/>
    <n v="30"/>
    <n v="26"/>
    <x v="2"/>
    <n v="2450"/>
    <n v="5"/>
    <n v="5"/>
    <n v="381"/>
    <n v="293"/>
    <n v="341"/>
    <m/>
    <n v="2750"/>
    <s v=""/>
    <s v="Turbocharged"/>
    <s v="Yes"/>
  </r>
  <r>
    <n v="2025"/>
    <s v="BMW"/>
    <s v="Mini"/>
    <s v="JCW Hardtop 2 Door"/>
    <n v="2"/>
    <n v="4"/>
    <s v="Auto(AM-S7)"/>
    <n v="7"/>
    <s v="2-Wheel Drive, Front"/>
    <n v="27"/>
    <n v="37"/>
    <n v="30"/>
    <x v="9"/>
    <n v="2100"/>
    <n v="6"/>
    <n v="6"/>
    <n v="328"/>
    <n v="238"/>
    <n v="288"/>
    <m/>
    <n v="1000"/>
    <s v=""/>
    <s v="Turbocharged"/>
    <s v="Yes"/>
  </r>
  <r>
    <n v="2025"/>
    <s v="Nissan"/>
    <s v="MITSUBISHI MOTORS"/>
    <s v="Outlander 2WD"/>
    <n v="2.5"/>
    <n v="4"/>
    <s v="Auto(AV-S8)"/>
    <n v="8"/>
    <s v="2-Wheel Drive, Front"/>
    <n v="24"/>
    <n v="31"/>
    <n v="27"/>
    <x v="4"/>
    <n v="1950"/>
    <n v="5"/>
    <n v="5"/>
    <n v="370"/>
    <n v="287"/>
    <n v="333"/>
    <m/>
    <n v="250"/>
    <s v=""/>
    <s v="Naturally Aspirated"/>
    <s v="No"/>
  </r>
  <r>
    <n v="2025"/>
    <s v="Nissan"/>
    <s v="MITSUBISHI MOTORS"/>
    <s v="Outlander 4WD"/>
    <n v="2.5"/>
    <n v="4"/>
    <s v="Auto(AV-S8)"/>
    <n v="8"/>
    <s v="4-Wheel Drive"/>
    <n v="24"/>
    <n v="30"/>
    <n v="26"/>
    <x v="2"/>
    <n v="2000"/>
    <n v="5"/>
    <n v="5"/>
    <n v="366"/>
    <n v="292"/>
    <n v="342"/>
    <m/>
    <n v="500"/>
    <s v=""/>
    <s v="Naturally Aspirated"/>
    <s v="No"/>
  </r>
  <r>
    <n v="2025"/>
    <s v="Mitsubishi Motors Co"/>
    <s v="Mitsubishi Motors Corporation"/>
    <s v="ECLIPSE CROSS 2WD"/>
    <n v="1.5"/>
    <n v="4"/>
    <s v="Auto(AV-S8)"/>
    <n v="8"/>
    <s v="2-Wheel Drive, Front"/>
    <n v="25"/>
    <n v="28"/>
    <n v="26"/>
    <x v="4"/>
    <n v="2000"/>
    <n v="5"/>
    <n v="5"/>
    <n v="354"/>
    <n v="311"/>
    <n v="339"/>
    <m/>
    <n v="500"/>
    <s v=""/>
    <s v="Turbocharged"/>
    <s v="No"/>
  </r>
  <r>
    <n v="2025"/>
    <s v="Mitsubishi Motors Co"/>
    <s v="Mitsubishi Motors Corporation"/>
    <s v="ECLIPSE CROSS 4WD"/>
    <n v="1.5"/>
    <n v="4"/>
    <s v="Auto(AV-S8)"/>
    <n v="8"/>
    <s v="4-Wheel Drive"/>
    <n v="25"/>
    <n v="26"/>
    <n v="25"/>
    <x v="2"/>
    <n v="2100"/>
    <n v="5"/>
    <n v="5"/>
    <n v="354"/>
    <n v="338"/>
    <n v="353"/>
    <m/>
    <n v="1000"/>
    <s v=""/>
    <s v="Turbocharged"/>
    <s v="No"/>
  </r>
  <r>
    <n v="2025"/>
    <s v="Mitsubishi Motors Co"/>
    <s v="Mitsubishi Motors Corporation"/>
    <s v="ECLIPSE CROSS ES 4WD"/>
    <n v="1.5"/>
    <n v="4"/>
    <s v="Auto(AV-S8)"/>
    <n v="8"/>
    <s v="4-Wheel Drive"/>
    <n v="25"/>
    <n v="28"/>
    <n v="26"/>
    <x v="2"/>
    <n v="2000"/>
    <n v="5"/>
    <n v="5"/>
    <n v="354"/>
    <n v="312"/>
    <n v="339"/>
    <m/>
    <n v="500"/>
    <s v=""/>
    <s v="Turbocharged"/>
    <s v="No"/>
  </r>
  <r>
    <n v="2025"/>
    <s v="Mitsubishi Motors Co"/>
    <s v="Mitsubishi Motors Corporation"/>
    <s v="Outlander Sport 4WD"/>
    <n v="2"/>
    <n v="4"/>
    <s v="Auto(AV-S6)"/>
    <n v="6"/>
    <s v="4-Wheel Drive"/>
    <n v="23"/>
    <n v="29"/>
    <n v="26"/>
    <x v="2"/>
    <n v="2000"/>
    <n v="5"/>
    <n v="5"/>
    <n v="377"/>
    <n v="302"/>
    <n v="343"/>
    <m/>
    <n v="500"/>
    <s v=""/>
    <s v="Naturally Aspirated"/>
    <s v="No"/>
  </r>
  <r>
    <n v="2025"/>
    <s v="Mitsubishi Motors Co"/>
    <s v="Mitsubishi Motors Corporation"/>
    <s v="Outlander Sport 4WD"/>
    <n v="2.4"/>
    <n v="4"/>
    <s v="Auto(AV-S6)"/>
    <n v="6"/>
    <s v="4-Wheel Drive"/>
    <n v="23"/>
    <n v="28"/>
    <n v="25"/>
    <x v="2"/>
    <n v="2100"/>
    <n v="5"/>
    <n v="5"/>
    <n v="383"/>
    <n v="309"/>
    <n v="350"/>
    <m/>
    <n v="1000"/>
    <s v=""/>
    <s v="Naturally Aspirated"/>
    <s v="No"/>
  </r>
  <r>
    <n v="2025"/>
    <s v="Nissan"/>
    <s v="NISSAN"/>
    <s v="ALTIMA"/>
    <n v="2.5"/>
    <n v="4"/>
    <s v="Auto(AV)"/>
    <n v="1"/>
    <s v="2-Wheel Drive, Front"/>
    <n v="27"/>
    <n v="39"/>
    <n v="32"/>
    <x v="6"/>
    <n v="1650"/>
    <n v="6"/>
    <n v="6"/>
    <n v="322"/>
    <n v="230"/>
    <n v="281"/>
    <n v="1250"/>
    <m/>
    <s v=""/>
    <s v="Naturally Aspirated"/>
    <s v="No"/>
  </r>
  <r>
    <n v="2025"/>
    <s v="Nissan"/>
    <s v="NISSAN"/>
    <s v="ALTIMA AWD"/>
    <n v="2.5"/>
    <n v="4"/>
    <s v="Auto(AV)"/>
    <n v="1"/>
    <s v="All Wheel Drive"/>
    <n v="25"/>
    <n v="34"/>
    <n v="28"/>
    <x v="6"/>
    <n v="1900"/>
    <n v="6"/>
    <n v="6"/>
    <n v="355"/>
    <n v="261"/>
    <n v="317"/>
    <n v="0"/>
    <m/>
    <s v=""/>
    <s v="Naturally Aspirated"/>
    <s v="No"/>
  </r>
  <r>
    <n v="2025"/>
    <s v="Nissan"/>
    <s v="NISSAN"/>
    <s v="ALTIMA SL/SR"/>
    <n v="2.5"/>
    <n v="4"/>
    <s v="Auto(AV)"/>
    <n v="1"/>
    <s v="2-Wheel Drive, Front"/>
    <n v="27"/>
    <n v="37"/>
    <n v="31"/>
    <x v="6"/>
    <n v="1700"/>
    <n v="6"/>
    <n v="6"/>
    <n v="328"/>
    <n v="238"/>
    <n v="287"/>
    <n v="1000"/>
    <m/>
    <s v=""/>
    <s v="Naturally Aspirated"/>
    <s v="No"/>
  </r>
  <r>
    <n v="2025"/>
    <s v="Nissan"/>
    <s v="NISSAN"/>
    <s v="ARMADA 2WD"/>
    <n v="3.5"/>
    <n v="6"/>
    <s v="Auto(S9)"/>
    <n v="9"/>
    <s v="2-Wheel Drive, Rear"/>
    <n v="16"/>
    <n v="20"/>
    <n v="18"/>
    <x v="11"/>
    <n v="3550"/>
    <n v="4"/>
    <n v="4"/>
    <n v="540"/>
    <n v="444"/>
    <n v="497"/>
    <m/>
    <n v="8250"/>
    <s v=""/>
    <s v="Turbocharged"/>
    <s v="Yes"/>
  </r>
  <r>
    <n v="2025"/>
    <s v="Nissan"/>
    <s v="NISSAN"/>
    <s v="ARMADA 4WD"/>
    <n v="3.5"/>
    <n v="6"/>
    <s v="Auto(S9)"/>
    <n v="9"/>
    <s v="4-Wheel Drive"/>
    <n v="16"/>
    <n v="19"/>
    <n v="17"/>
    <x v="3"/>
    <n v="3750"/>
    <n v="3"/>
    <n v="3"/>
    <n v="557"/>
    <n v="469"/>
    <n v="524"/>
    <m/>
    <n v="9250"/>
    <s v=""/>
    <s v="Turbocharged"/>
    <s v="Yes"/>
  </r>
  <r>
    <n v="2025"/>
    <s v="Nissan"/>
    <s v="NISSAN"/>
    <s v="ARMADA 4WD PRO-4X"/>
    <n v="3.5"/>
    <n v="6"/>
    <s v="Auto(S9)"/>
    <n v="9"/>
    <s v="4-Wheel Drive"/>
    <n v="15"/>
    <n v="18"/>
    <n v="16"/>
    <x v="3"/>
    <n v="4000"/>
    <n v="3"/>
    <n v="3"/>
    <n v="594"/>
    <n v="488"/>
    <n v="556"/>
    <m/>
    <n v="10500"/>
    <s v=""/>
    <s v="Turbocharged"/>
    <s v="Yes"/>
  </r>
  <r>
    <n v="2025"/>
    <s v="Nissan"/>
    <s v="NISSAN"/>
    <s v="FRONTIER 2WD"/>
    <n v="3.8"/>
    <n v="6"/>
    <s v="Auto(S9)"/>
    <n v="9"/>
    <s v="2-Wheel Drive, Rear"/>
    <n v="19"/>
    <n v="24"/>
    <n v="21"/>
    <x v="12"/>
    <n v="2500"/>
    <n v="4"/>
    <n v="4"/>
    <n v="481"/>
    <n v="372"/>
    <n v="432"/>
    <m/>
    <n v="3000"/>
    <s v=""/>
    <s v="Naturally Aspirated"/>
    <s v="Yes"/>
  </r>
  <r>
    <n v="2025"/>
    <s v="Nissan"/>
    <s v="NISSAN"/>
    <s v="FRONTIER 4WD"/>
    <n v="3.8"/>
    <n v="6"/>
    <s v="Auto(S9)"/>
    <n v="9"/>
    <s v="Part-time 4-Wheel Drive"/>
    <n v="17"/>
    <n v="21"/>
    <n v="19"/>
    <x v="13"/>
    <n v="2750"/>
    <n v="4"/>
    <n v="4"/>
    <n v="525"/>
    <n v="425"/>
    <n v="470"/>
    <m/>
    <n v="4250"/>
    <s v=""/>
    <s v="Naturally Aspirated"/>
    <s v="Yes"/>
  </r>
  <r>
    <n v="2025"/>
    <s v="Nissan"/>
    <s v="NISSAN"/>
    <s v="FRONTIER 4WD PRO-4X"/>
    <n v="3.8"/>
    <n v="6"/>
    <s v="Auto(S9)"/>
    <n v="9"/>
    <s v="Part-time 4-Wheel Drive"/>
    <n v="16"/>
    <n v="20"/>
    <n v="18"/>
    <x v="13"/>
    <n v="2900"/>
    <n v="4"/>
    <n v="4"/>
    <n v="556"/>
    <n v="446"/>
    <n v="495"/>
    <m/>
    <n v="5000"/>
    <s v=""/>
    <s v="Naturally Aspirated"/>
    <s v="Yes"/>
  </r>
  <r>
    <n v="2025"/>
    <s v="Nissan"/>
    <s v="NISSAN"/>
    <s v="KICKS"/>
    <n v="2"/>
    <n v="4"/>
    <s v="Auto(AV)"/>
    <n v="1"/>
    <s v="2-Wheel Drive, Front"/>
    <n v="28"/>
    <n v="35"/>
    <n v="31"/>
    <x v="4"/>
    <n v="1700"/>
    <n v="6"/>
    <n v="6"/>
    <n v="318"/>
    <n v="253"/>
    <n v="287"/>
    <n v="1000"/>
    <m/>
    <s v=""/>
    <s v="Naturally Aspirated"/>
    <s v="Yes"/>
  </r>
  <r>
    <n v="2025"/>
    <s v="Nissan"/>
    <s v="NISSAN"/>
    <s v="KICKS AWD"/>
    <n v="2"/>
    <n v="4"/>
    <s v="Auto(AV)"/>
    <n v="1"/>
    <s v="All Wheel Drive"/>
    <n v="27"/>
    <n v="34"/>
    <n v="30"/>
    <x v="2"/>
    <n v="1750"/>
    <n v="6"/>
    <n v="6"/>
    <n v="330"/>
    <n v="261"/>
    <n v="299"/>
    <n v="750"/>
    <m/>
    <s v=""/>
    <s v="Naturally Aspirated"/>
    <s v="No"/>
  </r>
  <r>
    <n v="2025"/>
    <s v="Nissan"/>
    <s v="NISSAN"/>
    <s v="KICKS PLAY"/>
    <n v="1.6"/>
    <n v="4"/>
    <s v="Auto(AV)"/>
    <n v="1"/>
    <s v="2-Wheel Drive, Front"/>
    <n v="31"/>
    <n v="36"/>
    <n v="33"/>
    <x v="6"/>
    <n v="1600"/>
    <n v="6"/>
    <n v="6"/>
    <n v="287"/>
    <n v="246"/>
    <n v="268"/>
    <n v="1500"/>
    <m/>
    <s v=""/>
    <s v="Naturally Aspirated"/>
    <s v="No"/>
  </r>
  <r>
    <n v="2025"/>
    <s v="Nissan"/>
    <s v="NISSAN"/>
    <s v="MURANO AWD"/>
    <n v="2"/>
    <n v="4"/>
    <s v="Auto(S9)"/>
    <n v="9"/>
    <s v="All Wheel Drive"/>
    <n v="21"/>
    <n v="27"/>
    <n v="23"/>
    <x v="2"/>
    <n v="2300"/>
    <n v="5"/>
    <n v="5"/>
    <n v="424"/>
    <n v="326"/>
    <n v="387"/>
    <m/>
    <n v="2000"/>
    <s v=""/>
    <s v="Turbocharged"/>
    <s v="Yes"/>
  </r>
  <r>
    <n v="2025"/>
    <s v="Nissan"/>
    <s v="NISSAN"/>
    <s v="MURANO FWD"/>
    <n v="2"/>
    <n v="4"/>
    <s v="Auto(S9)"/>
    <n v="9"/>
    <s v="2-Wheel Drive, Front"/>
    <n v="21"/>
    <n v="27"/>
    <n v="23"/>
    <x v="4"/>
    <n v="2300"/>
    <n v="5"/>
    <n v="5"/>
    <n v="424"/>
    <n v="330"/>
    <n v="387"/>
    <m/>
    <n v="2000"/>
    <s v=""/>
    <s v="Turbocharged"/>
    <s v="Yes"/>
  </r>
  <r>
    <n v="2025"/>
    <s v="Nissan"/>
    <s v="NISSAN"/>
    <s v="PATHFINDER 2WD"/>
    <n v="3.5"/>
    <n v="6"/>
    <s v="Auto(S9)"/>
    <n v="9"/>
    <s v="2-Wheel Drive, Front"/>
    <n v="20"/>
    <n v="27"/>
    <n v="23"/>
    <x v="4"/>
    <n v="2300"/>
    <n v="5"/>
    <n v="5"/>
    <n v="436"/>
    <n v="334"/>
    <n v="390"/>
    <m/>
    <n v="2000"/>
    <s v=""/>
    <s v="Naturally Aspirated"/>
    <s v="Yes"/>
  </r>
  <r>
    <n v="2025"/>
    <s v="Nissan"/>
    <s v="NISSAN"/>
    <s v="PATHFINDER 4WD"/>
    <n v="3.5"/>
    <n v="6"/>
    <s v="Auto(S9)"/>
    <n v="9"/>
    <s v="4-Wheel Drive"/>
    <n v="21"/>
    <n v="27"/>
    <n v="23"/>
    <x v="2"/>
    <n v="2300"/>
    <n v="5"/>
    <n v="5"/>
    <n v="424"/>
    <n v="325"/>
    <n v="379"/>
    <m/>
    <n v="2000"/>
    <s v=""/>
    <s v="Naturally Aspirated"/>
    <s v="Yes"/>
  </r>
  <r>
    <n v="2025"/>
    <s v="Nissan"/>
    <s v="NISSAN"/>
    <s v="PATHFINDER 4WD PLATINUM"/>
    <n v="3.5"/>
    <n v="6"/>
    <s v="Auto(S9)"/>
    <n v="9"/>
    <s v="4-Wheel Drive"/>
    <n v="20"/>
    <n v="25"/>
    <n v="22"/>
    <x v="3"/>
    <n v="2400"/>
    <n v="5"/>
    <n v="5"/>
    <n v="441"/>
    <n v="350"/>
    <n v="400"/>
    <m/>
    <n v="2500"/>
    <s v=""/>
    <s v="Naturally Aspirated"/>
    <s v="Yes"/>
  </r>
  <r>
    <n v="2025"/>
    <s v="Nissan"/>
    <s v="NISSAN"/>
    <s v="PATHFINDER 4WD ROCK CREEK"/>
    <n v="3.5"/>
    <n v="6"/>
    <s v="Auto(S9)"/>
    <n v="9"/>
    <s v="4-Wheel Drive"/>
    <n v="20"/>
    <n v="23"/>
    <n v="21"/>
    <x v="2"/>
    <n v="3050"/>
    <n v="4"/>
    <n v="4"/>
    <n v="452"/>
    <n v="377"/>
    <n v="418"/>
    <m/>
    <n v="5750"/>
    <s v=""/>
    <s v="Naturally Aspirated"/>
    <s v="Yes"/>
  </r>
  <r>
    <n v="2025"/>
    <s v="Nissan"/>
    <s v="NISSAN"/>
    <s v="ROGUE AWD"/>
    <n v="1.5"/>
    <n v="3"/>
    <s v="Auto(AV-S8)"/>
    <n v="8"/>
    <s v="All Wheel Drive"/>
    <n v="28"/>
    <n v="35"/>
    <n v="31"/>
    <x v="2"/>
    <n v="1700"/>
    <n v="6"/>
    <n v="6"/>
    <n v="317"/>
    <n v="254"/>
    <n v="287"/>
    <n v="1000"/>
    <m/>
    <s v=""/>
    <s v="Turbocharged"/>
    <s v="Yes"/>
  </r>
  <r>
    <n v="2025"/>
    <s v="Nissan"/>
    <s v="NISSAN"/>
    <s v="ROGUE AWD ROCK CREEK"/>
    <n v="1.5"/>
    <n v="3"/>
    <s v="Auto(AV-S8)"/>
    <n v="8"/>
    <s v="All Wheel Drive"/>
    <n v="27"/>
    <n v="32"/>
    <n v="29"/>
    <x v="2"/>
    <n v="1800"/>
    <n v="6"/>
    <n v="6"/>
    <n v="330"/>
    <n v="278"/>
    <n v="307"/>
    <n v="500"/>
    <m/>
    <s v=""/>
    <s v="Turbocharged"/>
    <s v="Yes"/>
  </r>
  <r>
    <n v="2025"/>
    <s v="Nissan"/>
    <s v="NISSAN"/>
    <s v="ROGUE AWD SL/PLATINUM"/>
    <n v="1.5"/>
    <n v="3"/>
    <s v="Auto(AV-S8)"/>
    <n v="8"/>
    <s v="All Wheel Drive"/>
    <n v="28"/>
    <n v="34"/>
    <n v="31"/>
    <x v="2"/>
    <n v="1700"/>
    <n v="6"/>
    <n v="6"/>
    <n v="318"/>
    <n v="262"/>
    <n v="287"/>
    <n v="1000"/>
    <m/>
    <s v=""/>
    <s v="Turbocharged"/>
    <s v="Yes"/>
  </r>
  <r>
    <n v="2025"/>
    <s v="Nissan"/>
    <s v="NISSAN"/>
    <s v="ROGUE FWD"/>
    <n v="1.5"/>
    <n v="3"/>
    <s v="Auto(AV-S8)"/>
    <n v="8"/>
    <s v="2-Wheel Drive, Front"/>
    <n v="30"/>
    <n v="37"/>
    <n v="33"/>
    <x v="4"/>
    <n v="1600"/>
    <n v="6"/>
    <n v="6"/>
    <n v="296"/>
    <n v="240"/>
    <n v="269"/>
    <n v="1500"/>
    <m/>
    <s v=""/>
    <s v="Turbocharged"/>
    <s v="Yes"/>
  </r>
  <r>
    <n v="2025"/>
    <s v="Nissan"/>
    <s v="NISSAN"/>
    <s v="ROGUE FWD SL/PLATINUM"/>
    <n v="1.5"/>
    <n v="3"/>
    <s v="Auto(AV-S8)"/>
    <n v="8"/>
    <s v="2-Wheel Drive, Front"/>
    <n v="29"/>
    <n v="36"/>
    <n v="32"/>
    <x v="4"/>
    <n v="1650"/>
    <n v="6"/>
    <n v="6"/>
    <n v="307"/>
    <n v="247"/>
    <n v="278"/>
    <n v="1250"/>
    <m/>
    <s v=""/>
    <s v="Turbocharged"/>
    <s v="Yes"/>
  </r>
  <r>
    <n v="2025"/>
    <s v="Nissan"/>
    <s v="NISSAN"/>
    <s v="SENTRA"/>
    <n v="2"/>
    <n v="4"/>
    <s v="Auto(AV)"/>
    <n v="1"/>
    <s v="2-Wheel Drive, Front"/>
    <n v="30"/>
    <n v="40"/>
    <n v="34"/>
    <x v="6"/>
    <n v="1550"/>
    <n v="7"/>
    <n v="7"/>
    <n v="297"/>
    <n v="220"/>
    <n v="262"/>
    <n v="1750"/>
    <m/>
    <s v=""/>
    <s v="Naturally Aspirated"/>
    <s v="Yes"/>
  </r>
  <r>
    <n v="2025"/>
    <s v="Nissan"/>
    <s v="NISSAN"/>
    <s v="SENTRA SR"/>
    <n v="2"/>
    <n v="4"/>
    <s v="Auto(AV)"/>
    <n v="1"/>
    <s v="2-Wheel Drive, Front"/>
    <n v="30"/>
    <n v="38"/>
    <n v="33"/>
    <x v="6"/>
    <n v="1600"/>
    <n v="6"/>
    <n v="6"/>
    <n v="297"/>
    <n v="234"/>
    <n v="270"/>
    <n v="1500"/>
    <m/>
    <s v=""/>
    <s v="Naturally Aspirated"/>
    <s v="Yes"/>
  </r>
  <r>
    <n v="2025"/>
    <s v="Nissan"/>
    <s v="NISSAN"/>
    <s v="VERSA"/>
    <n v="1.6"/>
    <n v="4"/>
    <s v="Auto(AV)"/>
    <n v="1"/>
    <s v="2-Wheel Drive, Front"/>
    <n v="32"/>
    <n v="40"/>
    <n v="35"/>
    <x v="5"/>
    <n v="1500"/>
    <n v="7"/>
    <n v="7"/>
    <n v="280"/>
    <n v="221"/>
    <n v="253"/>
    <n v="2000"/>
    <m/>
    <s v=""/>
    <s v="Naturally Aspirated"/>
    <s v="No"/>
  </r>
  <r>
    <n v="2025"/>
    <s v="Nissan"/>
    <s v="NISSAN"/>
    <s v="VERSA"/>
    <n v="1.6"/>
    <n v="4"/>
    <s v="Manual(M5)"/>
    <n v="5"/>
    <s v="2-Wheel Drive, Front"/>
    <n v="27"/>
    <n v="35"/>
    <n v="30"/>
    <x v="5"/>
    <n v="1750"/>
    <n v="6"/>
    <n v="6"/>
    <n v="328"/>
    <n v="254"/>
    <n v="296"/>
    <n v="750"/>
    <m/>
    <s v=""/>
    <s v="Naturally Aspirated"/>
    <s v="No"/>
  </r>
  <r>
    <n v="2025"/>
    <s v="Nissan"/>
    <s v="NISSAN"/>
    <s v="Z"/>
    <n v="3"/>
    <n v="6"/>
    <s v="Manual(M6)"/>
    <n v="6"/>
    <s v="2-Wheel Drive, Rear"/>
    <n v="18"/>
    <n v="24"/>
    <n v="20"/>
    <x v="8"/>
    <n v="3200"/>
    <n v="4"/>
    <n v="4"/>
    <n v="489"/>
    <n v="368"/>
    <n v="435"/>
    <m/>
    <n v="6500"/>
    <s v=""/>
    <s v="Turbocharged"/>
    <s v="No"/>
  </r>
  <r>
    <n v="2025"/>
    <s v="Nissan"/>
    <s v="NISSAN"/>
    <s v="Z"/>
    <n v="3"/>
    <n v="6"/>
    <s v="Auto(S9)"/>
    <n v="9"/>
    <s v="2-Wheel Drive, Rear"/>
    <n v="19"/>
    <n v="28"/>
    <n v="22"/>
    <x v="8"/>
    <n v="2900"/>
    <n v="5"/>
    <n v="5"/>
    <n v="469"/>
    <n v="318"/>
    <n v="405"/>
    <m/>
    <n v="5000"/>
    <s v=""/>
    <s v="Turbocharged"/>
    <s v="No"/>
  </r>
  <r>
    <n v="2025"/>
    <s v="Nissan"/>
    <s v="NISSAN"/>
    <s v="Z NISMO"/>
    <n v="3"/>
    <n v="6"/>
    <s v="Auto(S9)"/>
    <n v="9"/>
    <s v="2-Wheel Drive, Rear"/>
    <n v="17"/>
    <n v="24"/>
    <n v="19"/>
    <x v="8"/>
    <n v="3350"/>
    <n v="4"/>
    <n v="4"/>
    <n v="524"/>
    <n v="371"/>
    <n v="469"/>
    <m/>
    <n v="7250"/>
    <s v=""/>
    <s v="Turbocharged"/>
    <s v="No"/>
  </r>
  <r>
    <n v="2025"/>
    <s v="Porsche"/>
    <s v="Porsche"/>
    <s v="718 Boxster"/>
    <n v="2"/>
    <n v="4"/>
    <s v="Manual(M6)"/>
    <n v="6"/>
    <s v="2-Wheel Drive, Rear"/>
    <n v="20"/>
    <n v="25"/>
    <n v="22"/>
    <x v="8"/>
    <n v="2900"/>
    <n v="5"/>
    <n v="5"/>
    <n v="452"/>
    <n v="358"/>
    <n v="409"/>
    <m/>
    <n v="5000"/>
    <s v=""/>
    <s v="Turbocharged"/>
    <s v="Yes"/>
  </r>
  <r>
    <n v="2025"/>
    <s v="Porsche"/>
    <s v="Porsche"/>
    <s v="718 Boxster"/>
    <n v="2"/>
    <n v="4"/>
    <s v="Auto(AM-S7)"/>
    <n v="7"/>
    <s v="2-Wheel Drive, Rear"/>
    <n v="21"/>
    <n v="27"/>
    <n v="24"/>
    <x v="8"/>
    <n v="2650"/>
    <n v="5"/>
    <n v="5"/>
    <n v="414"/>
    <n v="328"/>
    <n v="375"/>
    <m/>
    <n v="3750"/>
    <s v=""/>
    <s v="Turbocharged"/>
    <s v="Yes"/>
  </r>
  <r>
    <n v="2025"/>
    <s v="Porsche"/>
    <s v="Porsche"/>
    <s v="718 Boxster GTS 4.0"/>
    <n v="4"/>
    <n v="6"/>
    <s v="Manual(M6)"/>
    <n v="6"/>
    <s v="2-Wheel Drive, Rear"/>
    <n v="17"/>
    <n v="24"/>
    <n v="19"/>
    <x v="8"/>
    <n v="3350"/>
    <n v="4"/>
    <n v="4"/>
    <n v="523"/>
    <n v="377"/>
    <n v="458"/>
    <m/>
    <n v="7250"/>
    <s v=""/>
    <s v="Naturally Aspirated"/>
    <s v="No"/>
  </r>
  <r>
    <n v="2025"/>
    <s v="Porsche"/>
    <s v="Porsche"/>
    <s v="718 Boxster GTS 4.0"/>
    <n v="4"/>
    <n v="6"/>
    <s v="Auto(AM-S7)"/>
    <n v="7"/>
    <s v="2-Wheel Drive, Rear"/>
    <n v="19"/>
    <n v="24"/>
    <n v="21"/>
    <x v="8"/>
    <n v="3050"/>
    <n v="4"/>
    <n v="4"/>
    <n v="460"/>
    <n v="367"/>
    <n v="418"/>
    <m/>
    <n v="5750"/>
    <s v=""/>
    <s v="Naturally Aspirated"/>
    <s v="No"/>
  </r>
  <r>
    <n v="2025"/>
    <s v="Porsche"/>
    <s v="Porsche"/>
    <s v="718 Boxster S"/>
    <n v="2.5"/>
    <n v="4"/>
    <s v="Manual(M6)"/>
    <n v="6"/>
    <s v="2-Wheel Drive, Rear"/>
    <n v="19"/>
    <n v="24"/>
    <n v="21"/>
    <x v="8"/>
    <n v="3050"/>
    <n v="4"/>
    <n v="4"/>
    <n v="472"/>
    <n v="363"/>
    <n v="423"/>
    <m/>
    <n v="5750"/>
    <s v=""/>
    <s v="Turbocharged"/>
    <s v="Yes"/>
  </r>
  <r>
    <n v="2025"/>
    <s v="Porsche"/>
    <s v="Porsche"/>
    <s v="718 Boxster S"/>
    <n v="2.5"/>
    <n v="4"/>
    <s v="Auto(AM-S7)"/>
    <n v="7"/>
    <s v="2-Wheel Drive, Rear"/>
    <n v="19"/>
    <n v="25"/>
    <n v="22"/>
    <x v="8"/>
    <n v="2900"/>
    <n v="5"/>
    <n v="5"/>
    <n v="461"/>
    <n v="348"/>
    <n v="410"/>
    <m/>
    <n v="5000"/>
    <s v=""/>
    <s v="Turbocharged"/>
    <s v="Yes"/>
  </r>
  <r>
    <n v="2025"/>
    <s v="Porsche"/>
    <s v="Porsche"/>
    <s v="718 Cayman"/>
    <n v="2"/>
    <n v="4"/>
    <s v="Manual(M6)"/>
    <n v="6"/>
    <s v="2-Wheel Drive, Rear"/>
    <n v="20"/>
    <n v="25"/>
    <n v="22"/>
    <x v="8"/>
    <n v="2900"/>
    <n v="5"/>
    <n v="5"/>
    <n v="452"/>
    <n v="358"/>
    <n v="409"/>
    <m/>
    <n v="5000"/>
    <s v=""/>
    <s v="Turbocharged"/>
    <s v="Yes"/>
  </r>
  <r>
    <n v="2025"/>
    <s v="Porsche"/>
    <s v="Porsche"/>
    <s v="718 Cayman"/>
    <n v="2"/>
    <n v="4"/>
    <s v="Auto(AM-S7)"/>
    <n v="7"/>
    <s v="2-Wheel Drive, Rear"/>
    <n v="21"/>
    <n v="27"/>
    <n v="24"/>
    <x v="8"/>
    <n v="2650"/>
    <n v="5"/>
    <n v="5"/>
    <n v="414"/>
    <n v="328"/>
    <n v="375"/>
    <m/>
    <n v="3750"/>
    <s v=""/>
    <s v="Turbocharged"/>
    <s v="Yes"/>
  </r>
  <r>
    <n v="2025"/>
    <s v="Porsche"/>
    <s v="Porsche"/>
    <s v="718 Cayman GTS 4.0"/>
    <n v="4"/>
    <n v="6"/>
    <s v="Manual(M6)"/>
    <n v="6"/>
    <s v="2-Wheel Drive, Rear"/>
    <n v="17"/>
    <n v="24"/>
    <n v="19"/>
    <x v="8"/>
    <n v="3350"/>
    <n v="4"/>
    <n v="4"/>
    <n v="523"/>
    <n v="377"/>
    <n v="458"/>
    <m/>
    <n v="7250"/>
    <s v=""/>
    <s v="Naturally Aspirated"/>
    <s v="No"/>
  </r>
  <r>
    <n v="2025"/>
    <s v="Porsche"/>
    <s v="Porsche"/>
    <s v="718 Cayman GTS 4.0"/>
    <n v="4"/>
    <n v="6"/>
    <s v="Auto(AM-S7)"/>
    <n v="7"/>
    <s v="2-Wheel Drive, Rear"/>
    <n v="19"/>
    <n v="24"/>
    <n v="21"/>
    <x v="8"/>
    <n v="3050"/>
    <n v="4"/>
    <n v="4"/>
    <n v="460"/>
    <n v="367"/>
    <n v="418"/>
    <m/>
    <n v="5750"/>
    <s v=""/>
    <s v="Naturally Aspirated"/>
    <s v="No"/>
  </r>
  <r>
    <n v="2025"/>
    <s v="Porsche"/>
    <s v="Porsche"/>
    <s v="718 Cayman S"/>
    <n v="2.5"/>
    <n v="4"/>
    <s v="Manual(M6)"/>
    <n v="6"/>
    <s v="2-Wheel Drive, Rear"/>
    <n v="19"/>
    <n v="24"/>
    <n v="21"/>
    <x v="8"/>
    <n v="3050"/>
    <n v="4"/>
    <n v="4"/>
    <n v="472"/>
    <n v="363"/>
    <n v="423"/>
    <m/>
    <n v="5750"/>
    <s v=""/>
    <s v="Turbocharged"/>
    <s v="Yes"/>
  </r>
  <r>
    <n v="2025"/>
    <s v="Porsche"/>
    <s v="Porsche"/>
    <s v="718 Cayman S"/>
    <n v="2.5"/>
    <n v="4"/>
    <s v="Auto(AM-S7)"/>
    <n v="7"/>
    <s v="2-Wheel Drive, Rear"/>
    <n v="19"/>
    <n v="25"/>
    <n v="22"/>
    <x v="8"/>
    <n v="2900"/>
    <n v="5"/>
    <n v="5"/>
    <n v="461"/>
    <n v="348"/>
    <n v="410"/>
    <m/>
    <n v="5000"/>
    <s v=""/>
    <s v="Turbocharged"/>
    <s v="Yes"/>
  </r>
  <r>
    <n v="2025"/>
    <s v="Porsche"/>
    <s v="Porsche"/>
    <s v="718 GT4 RS"/>
    <n v="4"/>
    <n v="6"/>
    <s v="Auto(AM-S7)"/>
    <n v="7"/>
    <s v="2-Wheel Drive, Rear"/>
    <n v="15"/>
    <n v="19"/>
    <n v="16"/>
    <x v="8"/>
    <n v="4000"/>
    <n v="3"/>
    <n v="3"/>
    <n v="605"/>
    <n v="469"/>
    <n v="544"/>
    <m/>
    <n v="10500"/>
    <s v="G"/>
    <s v="Naturally Aspirated"/>
    <s v="Yes"/>
  </r>
  <r>
    <n v="2025"/>
    <s v="Porsche"/>
    <s v="Porsche"/>
    <s v="718 Spyder RS"/>
    <n v="4"/>
    <n v="6"/>
    <s v="Auto(AM-S7)"/>
    <n v="7"/>
    <s v="2-Wheel Drive, Rear"/>
    <n v="14"/>
    <n v="19"/>
    <n v="16"/>
    <x v="8"/>
    <n v="4000"/>
    <n v="3"/>
    <n v="3"/>
    <n v="621"/>
    <n v="466"/>
    <n v="551"/>
    <m/>
    <n v="10500"/>
    <s v="G"/>
    <s v="Naturally Aspirated"/>
    <s v="Yes"/>
  </r>
  <r>
    <n v="2025"/>
    <s v="Porsche"/>
    <s v="Porsche"/>
    <s v="911 Carrera"/>
    <n v="3"/>
    <n v="6"/>
    <s v="Auto(AM-S8)"/>
    <n v="8"/>
    <s v="2-Wheel Drive, Rear"/>
    <n v="18"/>
    <n v="25"/>
    <n v="21"/>
    <x v="7"/>
    <n v="3050"/>
    <n v="4"/>
    <n v="4"/>
    <n v="486"/>
    <n v="348"/>
    <n v="424"/>
    <m/>
    <n v="5750"/>
    <s v=""/>
    <s v="Turbocharged"/>
    <s v="Yes"/>
  </r>
  <r>
    <n v="2025"/>
    <s v="Porsche"/>
    <s v="Porsche"/>
    <s v="911 Carrera 4 GTS"/>
    <n v="3.6"/>
    <n v="6"/>
    <s v="Auto(AM-S8)"/>
    <n v="8"/>
    <s v="All Wheel Drive"/>
    <n v="17"/>
    <n v="23"/>
    <n v="19"/>
    <x v="7"/>
    <n v="3350"/>
    <n v="4"/>
    <n v="4"/>
    <n v="521"/>
    <n v="388"/>
    <n v="461"/>
    <m/>
    <n v="7250"/>
    <s v=""/>
    <s v="Turbocharged"/>
    <s v="Yes"/>
  </r>
  <r>
    <n v="2025"/>
    <s v="Porsche"/>
    <s v="Porsche"/>
    <s v="911 Carrera 4 GTS Cabriolet"/>
    <n v="3.6"/>
    <n v="6"/>
    <s v="Auto(AM-S8)"/>
    <n v="8"/>
    <s v="All Wheel Drive"/>
    <n v="17"/>
    <n v="23"/>
    <n v="19"/>
    <x v="7"/>
    <n v="3350"/>
    <n v="4"/>
    <n v="4"/>
    <n v="512"/>
    <n v="383"/>
    <n v="468"/>
    <m/>
    <n v="7250"/>
    <s v=""/>
    <s v="Turbocharged"/>
    <s v="Yes"/>
  </r>
  <r>
    <n v="2025"/>
    <s v="Porsche"/>
    <s v="Porsche"/>
    <s v="911 Carrera Cabriolet"/>
    <n v="3"/>
    <n v="6"/>
    <s v="Auto(AM-S8)"/>
    <n v="8"/>
    <s v="2-Wheel Drive, Rear"/>
    <n v="18"/>
    <n v="25"/>
    <n v="21"/>
    <x v="7"/>
    <n v="3050"/>
    <n v="4"/>
    <n v="4"/>
    <n v="489"/>
    <n v="354"/>
    <n v="429"/>
    <m/>
    <n v="5750"/>
    <s v=""/>
    <s v="Turbocharged"/>
    <s v="Yes"/>
  </r>
  <r>
    <n v="2025"/>
    <s v="Porsche"/>
    <s v="Porsche"/>
    <s v="911 Carrera GTS"/>
    <n v="3.6"/>
    <n v="6"/>
    <s v="Auto(AM-S8)"/>
    <n v="8"/>
    <s v="2-Wheel Drive, Rear"/>
    <n v="17"/>
    <n v="24"/>
    <n v="20"/>
    <x v="7"/>
    <n v="3200"/>
    <n v="4"/>
    <n v="4"/>
    <n v="499"/>
    <n v="368"/>
    <n v="440"/>
    <m/>
    <n v="6500"/>
    <s v=""/>
    <s v="Turbocharged"/>
    <s v="Yes"/>
  </r>
  <r>
    <n v="2025"/>
    <s v="Porsche"/>
    <s v="Porsche"/>
    <s v="911 Carrera GTS Cabriolet"/>
    <n v="3.6"/>
    <n v="6"/>
    <s v="Auto(AM-S8)"/>
    <n v="8"/>
    <s v="2-Wheel Drive, Rear"/>
    <n v="17"/>
    <n v="23"/>
    <n v="19"/>
    <x v="7"/>
    <n v="3350"/>
    <n v="4"/>
    <n v="4"/>
    <n v="520"/>
    <n v="383"/>
    <n v="459"/>
    <m/>
    <n v="7250"/>
    <s v=""/>
    <s v="Turbocharged"/>
    <s v="Yes"/>
  </r>
  <r>
    <n v="2025"/>
    <s v="Porsche"/>
    <s v="Porsche"/>
    <s v="911 Carrera GTS Cabriolet"/>
    <n v="3.6"/>
    <n v="6"/>
    <s v="Auto(AM-S8)"/>
    <n v="8"/>
    <s v="2-Wheel Drive, Rear"/>
    <n v="17"/>
    <n v="23"/>
    <n v="19"/>
    <x v="7"/>
    <n v="3350"/>
    <n v="4"/>
    <n v="4"/>
    <n v="520"/>
    <n v="383"/>
    <n v="459"/>
    <m/>
    <n v="7250"/>
    <s v=""/>
    <s v="Turbocharged"/>
    <s v="Yes"/>
  </r>
  <r>
    <n v="2025"/>
    <s v="Porsche"/>
    <s v="Porsche"/>
    <s v="911 Carrera S"/>
    <n v="3"/>
    <n v="6"/>
    <s v="Auto(AM-S8)"/>
    <n v="8"/>
    <s v="2-Wheel Drive, Rear"/>
    <n v="17"/>
    <n v="24"/>
    <n v="20"/>
    <x v="7"/>
    <n v="3200"/>
    <n v="4"/>
    <n v="4"/>
    <n v="490"/>
    <n v="361"/>
    <n v="432"/>
    <m/>
    <n v="6500"/>
    <s v=""/>
    <s v="Turbocharged"/>
    <s v="Yes"/>
  </r>
  <r>
    <n v="2025"/>
    <s v="Porsche"/>
    <s v="Porsche"/>
    <s v="911 Carrera S Cabriolet"/>
    <n v="3"/>
    <n v="6"/>
    <s v="Auto(AM-S8)"/>
    <n v="8"/>
    <s v="2-Wheel Drive, Rear"/>
    <n v="17"/>
    <n v="24"/>
    <n v="20"/>
    <x v="7"/>
    <n v="3200"/>
    <n v="4"/>
    <n v="4"/>
    <n v="500"/>
    <n v="357"/>
    <n v="436"/>
    <m/>
    <n v="6500"/>
    <s v=""/>
    <s v="Turbocharged"/>
    <s v="Yes"/>
  </r>
  <r>
    <n v="2025"/>
    <s v="Porsche"/>
    <s v="Porsche"/>
    <s v="911 Carrera T"/>
    <n v="3"/>
    <n v="6"/>
    <s v="Manual(M6)"/>
    <n v="6"/>
    <s v="2-Wheel Drive, Rear"/>
    <n v="17"/>
    <n v="25"/>
    <n v="20"/>
    <x v="7"/>
    <n v="3200"/>
    <n v="4"/>
    <n v="4"/>
    <n v="523"/>
    <n v="356"/>
    <n v="448"/>
    <m/>
    <n v="6500"/>
    <s v=""/>
    <s v="Turbocharged"/>
    <s v="Yes"/>
  </r>
  <r>
    <n v="2025"/>
    <s v="Porsche"/>
    <s v="Porsche"/>
    <s v="911 Carrera T Cabriolet"/>
    <n v="3"/>
    <n v="6"/>
    <s v="Manual(M6)"/>
    <n v="6"/>
    <s v="2-Wheel Drive, Rear"/>
    <n v="17"/>
    <n v="25"/>
    <n v="19"/>
    <x v="7"/>
    <n v="3350"/>
    <n v="4"/>
    <n v="4"/>
    <n v="526"/>
    <n v="356"/>
    <n v="469"/>
    <m/>
    <n v="7250"/>
    <s v=""/>
    <s v="Turbocharged"/>
    <s v="Yes"/>
  </r>
  <r>
    <n v="2025"/>
    <s v="Porsche"/>
    <s v="Porsche"/>
    <s v="911 Targa 4 GTS"/>
    <n v="3.6"/>
    <n v="6"/>
    <s v="Auto(AM-S8)"/>
    <n v="8"/>
    <s v="All Wheel Drive"/>
    <n v="17"/>
    <n v="23"/>
    <n v="19"/>
    <x v="7"/>
    <n v="3350"/>
    <n v="4"/>
    <n v="4"/>
    <n v="516"/>
    <n v="381"/>
    <n v="468"/>
    <m/>
    <n v="7250"/>
    <s v=""/>
    <s v="Turbocharged"/>
    <s v="Yes"/>
  </r>
  <r>
    <n v="2025"/>
    <s v="Porsche"/>
    <s v="Porsche"/>
    <s v="911 Turbo"/>
    <n v="3.7"/>
    <n v="6"/>
    <s v="Auto(AM-S8)"/>
    <n v="8"/>
    <s v="All Wheel Drive"/>
    <n v="14"/>
    <n v="21"/>
    <n v="17"/>
    <x v="7"/>
    <n v="3750"/>
    <n v="3"/>
    <n v="3"/>
    <n v="620"/>
    <n v="430"/>
    <n v="534"/>
    <m/>
    <n v="9250"/>
    <s v="G"/>
    <s v="Turbocharged"/>
    <s v="Yes"/>
  </r>
  <r>
    <n v="2025"/>
    <s v="Porsche"/>
    <s v="Porsche"/>
    <s v="911 Turbo Cabriolet"/>
    <n v="3.7"/>
    <n v="6"/>
    <s v="Auto(AM-S8)"/>
    <n v="8"/>
    <s v="All Wheel Drive"/>
    <n v="14"/>
    <n v="20"/>
    <n v="16"/>
    <x v="7"/>
    <n v="4000"/>
    <n v="3"/>
    <n v="3"/>
    <n v="637"/>
    <n v="435"/>
    <n v="546"/>
    <m/>
    <n v="10500"/>
    <s v="G"/>
    <s v="Turbocharged"/>
    <s v="Yes"/>
  </r>
  <r>
    <n v="2025"/>
    <s v="Porsche"/>
    <s v="Porsche"/>
    <s v="911 Turbo S"/>
    <n v="3.7"/>
    <n v="6"/>
    <s v="Auto(AM-S8)"/>
    <n v="8"/>
    <s v="All Wheel Drive"/>
    <n v="14"/>
    <n v="20"/>
    <n v="16"/>
    <x v="7"/>
    <n v="4000"/>
    <n v="3"/>
    <n v="3"/>
    <n v="627"/>
    <n v="445"/>
    <n v="556"/>
    <m/>
    <n v="10500"/>
    <s v="G"/>
    <s v="Turbocharged"/>
    <s v="Yes"/>
  </r>
  <r>
    <n v="2025"/>
    <s v="Porsche"/>
    <s v="Porsche"/>
    <s v="911 Turbo S Cabriolet"/>
    <n v="3.7"/>
    <n v="6"/>
    <s v="Auto(AM-S8)"/>
    <n v="8"/>
    <s v="All Wheel Drive"/>
    <n v="14"/>
    <n v="20"/>
    <n v="16"/>
    <x v="7"/>
    <n v="4000"/>
    <n v="3"/>
    <n v="3"/>
    <n v="633"/>
    <n v="447"/>
    <n v="549"/>
    <m/>
    <n v="10500"/>
    <s v="G"/>
    <s v="Turbocharged"/>
    <s v="Yes"/>
  </r>
  <r>
    <n v="2025"/>
    <s v="Porsche"/>
    <s v="Porsche"/>
    <s v="Cayenne"/>
    <n v="3"/>
    <n v="6"/>
    <s v="Auto(S8)"/>
    <n v="8"/>
    <s v="All Wheel Drive"/>
    <n v="17"/>
    <n v="23"/>
    <n v="19"/>
    <x v="3"/>
    <n v="3350"/>
    <n v="4"/>
    <n v="4"/>
    <n v="524"/>
    <n v="388"/>
    <n v="469"/>
    <m/>
    <n v="7250"/>
    <s v=""/>
    <s v="Turbocharged"/>
    <s v="Yes"/>
  </r>
  <r>
    <n v="2025"/>
    <s v="Porsche"/>
    <s v="Porsche"/>
    <s v="Cayenne Coupe"/>
    <n v="3"/>
    <n v="6"/>
    <s v="Auto(S8)"/>
    <n v="8"/>
    <s v="All Wheel Drive"/>
    <n v="17"/>
    <n v="23"/>
    <n v="19"/>
    <x v="3"/>
    <n v="3350"/>
    <n v="4"/>
    <n v="4"/>
    <n v="524"/>
    <n v="386"/>
    <n v="469"/>
    <m/>
    <n v="7250"/>
    <s v=""/>
    <s v="Turbocharged"/>
    <s v="Yes"/>
  </r>
  <r>
    <n v="2025"/>
    <s v="Porsche"/>
    <s v="Porsche"/>
    <s v="Cayenne GTS"/>
    <n v="4"/>
    <n v="8"/>
    <s v="Auto(S8)"/>
    <n v="8"/>
    <s v="All Wheel Drive"/>
    <n v="15"/>
    <n v="22"/>
    <n v="18"/>
    <x v="3"/>
    <n v="3550"/>
    <n v="4"/>
    <n v="4"/>
    <n v="570"/>
    <n v="410"/>
    <n v="498"/>
    <m/>
    <n v="8250"/>
    <s v=""/>
    <s v="Turbocharged"/>
    <s v="Yes"/>
  </r>
  <r>
    <n v="2025"/>
    <s v="Porsche"/>
    <s v="Porsche"/>
    <s v="Cayenne GTS Coupe"/>
    <n v="4"/>
    <n v="8"/>
    <s v="Auto(S8)"/>
    <n v="8"/>
    <s v="All Wheel Drive"/>
    <n v="16"/>
    <n v="22"/>
    <n v="18"/>
    <x v="3"/>
    <n v="3550"/>
    <n v="4"/>
    <n v="4"/>
    <n v="557"/>
    <n v="405"/>
    <n v="489"/>
    <m/>
    <n v="8250"/>
    <s v=""/>
    <s v="Turbocharged"/>
    <s v="Yes"/>
  </r>
  <r>
    <n v="2025"/>
    <s v="Porsche"/>
    <s v="Porsche"/>
    <s v="Cayenne S"/>
    <n v="4"/>
    <n v="8"/>
    <s v="Auto(S8)"/>
    <n v="8"/>
    <s v="All Wheel Drive"/>
    <n v="16"/>
    <n v="21"/>
    <n v="18"/>
    <x v="3"/>
    <n v="3550"/>
    <n v="4"/>
    <n v="4"/>
    <n v="549"/>
    <n v="423"/>
    <n v="492"/>
    <m/>
    <n v="8250"/>
    <s v=""/>
    <s v="Turbocharged"/>
    <s v="Yes"/>
  </r>
  <r>
    <n v="2025"/>
    <s v="Porsche"/>
    <s v="Porsche"/>
    <s v="Cayenne S Coupe"/>
    <n v="4"/>
    <n v="8"/>
    <s v="Auto(S8)"/>
    <n v="8"/>
    <s v="All Wheel Drive"/>
    <n v="16"/>
    <n v="21"/>
    <n v="18"/>
    <x v="3"/>
    <n v="3550"/>
    <n v="4"/>
    <n v="4"/>
    <n v="549"/>
    <n v="423"/>
    <n v="492"/>
    <m/>
    <n v="8250"/>
    <s v=""/>
    <s v="Turbocharged"/>
    <s v="Yes"/>
  </r>
  <r>
    <n v="2025"/>
    <s v="Porsche"/>
    <s v="Porsche"/>
    <s v="Cayenne Turbo GT"/>
    <n v="4"/>
    <n v="8"/>
    <s v="Auto(S8)"/>
    <n v="8"/>
    <s v="All Wheel Drive"/>
    <n v="15"/>
    <n v="20"/>
    <n v="17"/>
    <x v="3"/>
    <n v="3750"/>
    <n v="3"/>
    <n v="3"/>
    <n v="583"/>
    <n v="444"/>
    <n v="521"/>
    <m/>
    <n v="9250"/>
    <s v=""/>
    <s v="Turbocharged"/>
    <s v="Yes"/>
  </r>
  <r>
    <n v="2025"/>
    <s v="Porsche"/>
    <s v="Porsche"/>
    <s v="Macan"/>
    <n v="2"/>
    <n v="4"/>
    <s v="Auto(AM-S7)"/>
    <n v="7"/>
    <s v="All Wheel Drive"/>
    <n v="19"/>
    <n v="25"/>
    <n v="21"/>
    <x v="2"/>
    <n v="3050"/>
    <n v="4"/>
    <n v="4"/>
    <n v="468"/>
    <n v="352"/>
    <n v="424"/>
    <m/>
    <n v="5750"/>
    <s v=""/>
    <s v="Turbocharged"/>
    <s v="Yes"/>
  </r>
  <r>
    <n v="2025"/>
    <s v="Porsche"/>
    <s v="Porsche"/>
    <s v="Macan GTS"/>
    <n v="2.9"/>
    <n v="6"/>
    <s v="Auto(AM-S7)"/>
    <n v="7"/>
    <s v="All Wheel Drive"/>
    <n v="17"/>
    <n v="22"/>
    <n v="19"/>
    <x v="2"/>
    <n v="3350"/>
    <n v="4"/>
    <n v="4"/>
    <n v="506"/>
    <n v="403"/>
    <n v="466"/>
    <m/>
    <n v="7250"/>
    <s v=""/>
    <s v="Turbocharged"/>
    <s v="Yes"/>
  </r>
  <r>
    <n v="2025"/>
    <s v="Porsche"/>
    <s v="Porsche"/>
    <s v="Macan S"/>
    <n v="2.9"/>
    <n v="6"/>
    <s v="Auto(AM-S7)"/>
    <n v="7"/>
    <s v="All Wheel Drive"/>
    <n v="17"/>
    <n v="23"/>
    <n v="19"/>
    <x v="2"/>
    <n v="3350"/>
    <n v="4"/>
    <n v="4"/>
    <n v="520"/>
    <n v="381"/>
    <n v="466"/>
    <m/>
    <n v="7250"/>
    <s v=""/>
    <s v="Turbocharged"/>
    <s v="Yes"/>
  </r>
  <r>
    <n v="2025"/>
    <s v="Porsche"/>
    <s v="Porsche"/>
    <s v="Macan T"/>
    <n v="2"/>
    <n v="4"/>
    <s v="Auto(AM-S7)"/>
    <n v="7"/>
    <s v="All Wheel Drive"/>
    <n v="19"/>
    <n v="25"/>
    <n v="21"/>
    <x v="2"/>
    <n v="3050"/>
    <n v="4"/>
    <n v="4"/>
    <n v="463"/>
    <n v="361"/>
    <n v="417"/>
    <m/>
    <n v="5750"/>
    <s v=""/>
    <s v="Turbocharged"/>
    <s v="Yes"/>
  </r>
  <r>
    <n v="2025"/>
    <s v="Porsche"/>
    <s v="Porsche"/>
    <s v="Panamera"/>
    <n v="2.9"/>
    <n v="6"/>
    <s v="Auto(AM-S8)"/>
    <n v="8"/>
    <s v="2-Wheel Drive, Rear"/>
    <n v="18"/>
    <n v="25"/>
    <n v="21"/>
    <x v="1"/>
    <n v="3050"/>
    <n v="4"/>
    <n v="4"/>
    <n v="493"/>
    <n v="355"/>
    <n v="431"/>
    <m/>
    <n v="5750"/>
    <s v=""/>
    <s v="Turbocharged"/>
    <s v="Yes"/>
  </r>
  <r>
    <n v="2025"/>
    <s v="Porsche"/>
    <s v="Porsche"/>
    <s v="Panamera 4"/>
    <n v="2.9"/>
    <n v="6"/>
    <s v="Auto(AM-S8)"/>
    <n v="8"/>
    <s v="All Wheel Drive"/>
    <n v="18"/>
    <n v="25"/>
    <n v="21"/>
    <x v="1"/>
    <n v="3050"/>
    <n v="4"/>
    <n v="4"/>
    <n v="496"/>
    <n v="356"/>
    <n v="425"/>
    <m/>
    <n v="5750"/>
    <s v=""/>
    <s v="Turbocharged"/>
    <s v="Yes"/>
  </r>
  <r>
    <n v="2025"/>
    <s v="Porsche"/>
    <s v="Porsche"/>
    <s v="Panamera GTS"/>
    <n v="4"/>
    <n v="8"/>
    <s v="Auto(AM-S8)"/>
    <n v="8"/>
    <s v="All Wheel Drive"/>
    <n v="16"/>
    <n v="24"/>
    <n v="18"/>
    <x v="1"/>
    <n v="3550"/>
    <n v="4"/>
    <n v="4"/>
    <n v="557"/>
    <n v="372"/>
    <n v="495"/>
    <m/>
    <n v="8250"/>
    <s v=""/>
    <s v="Turbocharged"/>
    <s v="Yes"/>
  </r>
  <r>
    <n v="2025"/>
    <s v="FCA US LLC"/>
    <s v="RAM"/>
    <s v="1500 4X2"/>
    <n v="3"/>
    <n v="6"/>
    <s v="Auto(A8)"/>
    <n v="8"/>
    <s v="2-Wheel Drive, Rear"/>
    <n v="18"/>
    <n v="25"/>
    <n v="21"/>
    <x v="12"/>
    <n v="2500"/>
    <n v="4"/>
    <n v="4"/>
    <n v="497"/>
    <n v="356"/>
    <n v="433"/>
    <m/>
    <n v="3000"/>
    <s v=""/>
    <s v="Turbocharged"/>
    <s v="Yes"/>
  </r>
  <r>
    <n v="2025"/>
    <s v="FCA US LLC"/>
    <s v="RAM"/>
    <s v="1500 4X2"/>
    <n v="3.6"/>
    <n v="6"/>
    <s v="Auto(A8)"/>
    <n v="8"/>
    <s v="2-Wheel Drive, Rear"/>
    <n v="20"/>
    <n v="25"/>
    <n v="22"/>
    <x v="12"/>
    <n v="2400"/>
    <n v="5"/>
    <n v="5"/>
    <n v="451"/>
    <n v="353"/>
    <n v="407"/>
    <m/>
    <n v="2500"/>
    <s v=""/>
    <s v="Naturally Aspirated"/>
    <s v="Yes"/>
  </r>
  <r>
    <n v="2025"/>
    <s v="FCA US LLC"/>
    <s v="RAM"/>
    <s v="1500 4X4"/>
    <n v="3"/>
    <n v="6"/>
    <s v="Auto(A8)"/>
    <n v="8"/>
    <s v="4-Wheel Drive"/>
    <n v="17"/>
    <n v="24"/>
    <n v="19"/>
    <x v="13"/>
    <n v="2750"/>
    <n v="4"/>
    <n v="4"/>
    <n v="529"/>
    <n v="370"/>
    <n v="458"/>
    <m/>
    <n v="4250"/>
    <s v=""/>
    <s v="Turbocharged"/>
    <s v="Yes"/>
  </r>
  <r>
    <n v="2025"/>
    <s v="FCA US LLC"/>
    <s v="RAM"/>
    <s v="1500 4X4"/>
    <n v="3.6"/>
    <n v="6"/>
    <s v="Auto(A8)"/>
    <n v="8"/>
    <s v="4-Wheel Drive"/>
    <n v="19"/>
    <n v="24"/>
    <n v="21"/>
    <x v="13"/>
    <n v="2500"/>
    <n v="4"/>
    <n v="4"/>
    <n v="458"/>
    <n v="367"/>
    <n v="417"/>
    <m/>
    <n v="3000"/>
    <s v=""/>
    <s v="Naturally Aspirated"/>
    <s v="Yes"/>
  </r>
  <r>
    <n v="2025"/>
    <s v="FCA US LLC"/>
    <s v="RAM"/>
    <s v="1500 HFE 4X2"/>
    <n v="3.6"/>
    <n v="6"/>
    <s v="Auto(A8)"/>
    <n v="8"/>
    <s v="2-Wheel Drive, Rear"/>
    <n v="20"/>
    <n v="26"/>
    <n v="23"/>
    <x v="12"/>
    <n v="2300"/>
    <n v="5"/>
    <n v="5"/>
    <n v="438"/>
    <n v="340"/>
    <n v="394"/>
    <m/>
    <n v="2000"/>
    <s v=""/>
    <s v="Naturally Aspirated"/>
    <s v="Yes"/>
  </r>
  <r>
    <n v="2025"/>
    <s v="FCA US LLC"/>
    <s v="RAM"/>
    <s v="1500 HO 4x4"/>
    <n v="3"/>
    <n v="6"/>
    <s v="Auto(A8)"/>
    <n v="8"/>
    <s v="4-Wheel Drive"/>
    <n v="15"/>
    <n v="21"/>
    <n v="17"/>
    <x v="13"/>
    <n v="3750"/>
    <n v="3"/>
    <n v="3"/>
    <n v="593"/>
    <n v="434"/>
    <n v="521"/>
    <m/>
    <n v="9250"/>
    <s v=""/>
    <s v="Turbocharged"/>
    <s v="Yes"/>
  </r>
  <r>
    <n v="2025"/>
    <s v="FCA US LLC"/>
    <s v="RAM"/>
    <s v="1500 RHO 4x4"/>
    <n v="3"/>
    <n v="6"/>
    <s v="Auto(A8)"/>
    <n v="8"/>
    <s v="4-Wheel Drive"/>
    <n v="14"/>
    <n v="16"/>
    <n v="15"/>
    <x v="13"/>
    <n v="4250"/>
    <n v="2"/>
    <n v="2"/>
    <n v="634"/>
    <n v="564"/>
    <n v="602"/>
    <m/>
    <n v="11750"/>
    <s v=""/>
    <s v="Turbocharged"/>
    <s v="Yes"/>
  </r>
  <r>
    <n v="2025"/>
    <s v="Rolls-Royce"/>
    <s v="Rolls-Royce Motor Cars Limited"/>
    <s v="Black Badge Cullinan"/>
    <n v="6.7"/>
    <n v="12"/>
    <s v="Auto(S8)"/>
    <n v="8"/>
    <s v="All Wheel Drive"/>
    <n v="12"/>
    <n v="19"/>
    <n v="14"/>
    <x v="3"/>
    <n v="4550"/>
    <n v="2"/>
    <n v="2"/>
    <n v="732"/>
    <n v="459"/>
    <n v="609"/>
    <m/>
    <n v="13250"/>
    <s v=""/>
    <s v="Turbocharged"/>
    <s v="No"/>
  </r>
  <r>
    <n v="2025"/>
    <s v="Rolls-Royce"/>
    <s v="Rolls-Royce Motor Cars Limited"/>
    <s v="Black Badge Ghost"/>
    <n v="6.7"/>
    <n v="12"/>
    <s v="Auto(S8)"/>
    <n v="8"/>
    <s v="All Wheel Drive"/>
    <n v="12"/>
    <n v="19"/>
    <n v="14"/>
    <x v="1"/>
    <n v="4550"/>
    <n v="2"/>
    <n v="2"/>
    <n v="732"/>
    <n v="459"/>
    <n v="609"/>
    <m/>
    <n v="13250"/>
    <s v="G"/>
    <s v="Turbocharged"/>
    <s v="No"/>
  </r>
  <r>
    <n v="2025"/>
    <s v="Rolls-Royce"/>
    <s v="Rolls-Royce Motor Cars Limited"/>
    <s v="Cullinan"/>
    <n v="6.7"/>
    <n v="12"/>
    <s v="Auto(S8)"/>
    <n v="8"/>
    <s v="All Wheel Drive"/>
    <n v="12"/>
    <n v="19"/>
    <n v="14"/>
    <x v="3"/>
    <n v="4550"/>
    <n v="2"/>
    <n v="2"/>
    <n v="732"/>
    <n v="459"/>
    <n v="609"/>
    <m/>
    <n v="13250"/>
    <s v=""/>
    <s v="Turbocharged"/>
    <s v="No"/>
  </r>
  <r>
    <n v="2025"/>
    <s v="Rolls-Royce"/>
    <s v="Rolls-Royce Motor Cars Limited"/>
    <s v="Ghost"/>
    <n v="6.7"/>
    <n v="12"/>
    <s v="Auto(S8)"/>
    <n v="8"/>
    <s v="All Wheel Drive"/>
    <n v="12"/>
    <n v="19"/>
    <n v="14"/>
    <x v="1"/>
    <n v="4550"/>
    <n v="2"/>
    <n v="2"/>
    <n v="732"/>
    <n v="459"/>
    <n v="609"/>
    <m/>
    <n v="13250"/>
    <s v="G"/>
    <s v="Turbocharged"/>
    <s v="No"/>
  </r>
  <r>
    <n v="2025"/>
    <s v="Rolls-Royce"/>
    <s v="Rolls-Royce Motor Cars Limited"/>
    <s v="Ghost Extended"/>
    <n v="6.7"/>
    <n v="12"/>
    <s v="Auto(S8)"/>
    <n v="8"/>
    <s v="All Wheel Drive"/>
    <n v="12"/>
    <n v="19"/>
    <n v="14"/>
    <x v="1"/>
    <n v="4550"/>
    <n v="2"/>
    <n v="2"/>
    <n v="732"/>
    <n v="459"/>
    <n v="609"/>
    <m/>
    <n v="13250"/>
    <s v="G"/>
    <s v="Turbocharged"/>
    <s v="No"/>
  </r>
  <r>
    <n v="2025"/>
    <s v="Rolls-Royce"/>
    <s v="Rolls-Royce Motor Cars Limited"/>
    <s v="Phantom"/>
    <n v="6.7"/>
    <n v="12"/>
    <s v="Auto(S8)"/>
    <n v="8"/>
    <s v="2-Wheel Drive, Rear"/>
    <n v="12"/>
    <n v="19"/>
    <n v="14"/>
    <x v="1"/>
    <n v="4550"/>
    <n v="2"/>
    <n v="2"/>
    <n v="732"/>
    <n v="459"/>
    <n v="609"/>
    <m/>
    <n v="13250"/>
    <s v="G"/>
    <s v="Turbocharged"/>
    <s v="No"/>
  </r>
  <r>
    <n v="2025"/>
    <s v="Rolls-Royce"/>
    <s v="Rolls-Royce Motor Cars Limited"/>
    <s v="Phantom Extended"/>
    <n v="6.7"/>
    <n v="12"/>
    <s v="Auto(S8)"/>
    <n v="8"/>
    <s v="2-Wheel Drive, Rear"/>
    <n v="12"/>
    <n v="19"/>
    <n v="14"/>
    <x v="1"/>
    <n v="4550"/>
    <n v="2"/>
    <n v="2"/>
    <n v="732"/>
    <n v="459"/>
    <n v="609"/>
    <m/>
    <n v="13250"/>
    <s v="G"/>
    <s v="Turbocharged"/>
    <s v="No"/>
  </r>
  <r>
    <n v="2025"/>
    <s v="Subaru"/>
    <s v="Subaru"/>
    <s v="ASCENT AWD"/>
    <n v="2.4"/>
    <n v="4"/>
    <s v="Auto(AV-S8)"/>
    <n v="8"/>
    <s v="All Wheel Drive"/>
    <n v="20"/>
    <n v="26"/>
    <n v="22"/>
    <x v="3"/>
    <n v="2400"/>
    <n v="5"/>
    <n v="5"/>
    <n v="444"/>
    <n v="343"/>
    <n v="398"/>
    <m/>
    <n v="2500"/>
    <s v=""/>
    <s v="Turbocharged"/>
    <s v="No"/>
  </r>
  <r>
    <n v="2025"/>
    <s v="Subaru"/>
    <s v="Subaru"/>
    <s v="ASCENT LIMITED/TOURING/ONYX EDITION AWD"/>
    <n v="2.4"/>
    <n v="4"/>
    <s v="Auto(AV-S8)"/>
    <n v="8"/>
    <s v="All Wheel Drive"/>
    <n v="19"/>
    <n v="25"/>
    <n v="21"/>
    <x v="3"/>
    <n v="2500"/>
    <n v="4"/>
    <n v="4"/>
    <n v="470"/>
    <n v="356"/>
    <n v="419"/>
    <m/>
    <n v="3000"/>
    <s v=""/>
    <s v="Turbocharged"/>
    <s v="No"/>
  </r>
  <r>
    <n v="2025"/>
    <s v="Subaru"/>
    <s v="Subaru"/>
    <s v="BRZ"/>
    <n v="2.4"/>
    <n v="4"/>
    <s v="Manual(M6)"/>
    <n v="6"/>
    <s v="2-Wheel Drive, Rear"/>
    <n v="20"/>
    <n v="27"/>
    <n v="22"/>
    <x v="7"/>
    <n v="2900"/>
    <n v="5"/>
    <n v="5"/>
    <n v="452"/>
    <n v="332"/>
    <n v="398"/>
    <m/>
    <n v="5000"/>
    <s v=""/>
    <s v="Naturally Aspirated"/>
    <s v="No"/>
  </r>
  <r>
    <n v="2025"/>
    <s v="Subaru"/>
    <s v="Subaru"/>
    <s v="BRZ"/>
    <n v="2.4"/>
    <n v="4"/>
    <s v="Auto(S6)"/>
    <n v="6"/>
    <s v="2-Wheel Drive, Rear"/>
    <n v="21"/>
    <n v="30"/>
    <n v="25"/>
    <x v="7"/>
    <n v="2550"/>
    <n v="5"/>
    <n v="5"/>
    <n v="419"/>
    <n v="292"/>
    <n v="362"/>
    <m/>
    <n v="3250"/>
    <s v=""/>
    <s v="Naturally Aspirated"/>
    <s v="No"/>
  </r>
  <r>
    <n v="2025"/>
    <s v="Subaru"/>
    <s v="Subaru"/>
    <s v="CROSSTREK AWD"/>
    <n v="2"/>
    <n v="4"/>
    <s v="Auto(AV-S8)"/>
    <n v="8"/>
    <s v="All Wheel Drive"/>
    <n v="27"/>
    <n v="34"/>
    <n v="29"/>
    <x v="2"/>
    <n v="1800"/>
    <n v="6"/>
    <n v="6"/>
    <n v="331"/>
    <n v="263"/>
    <n v="300"/>
    <n v="500"/>
    <m/>
    <s v=""/>
    <s v="Naturally Aspirated"/>
    <s v="Yes"/>
  </r>
  <r>
    <n v="2025"/>
    <s v="Subaru"/>
    <s v="Subaru"/>
    <s v="CROSSTREK AWD"/>
    <n v="2.5"/>
    <n v="4"/>
    <s v="Auto(AV-S8)"/>
    <n v="8"/>
    <s v="All Wheel Drive"/>
    <n v="27"/>
    <n v="33"/>
    <n v="29"/>
    <x v="2"/>
    <n v="1800"/>
    <n v="6"/>
    <n v="6"/>
    <n v="334"/>
    <n v="270"/>
    <n v="305"/>
    <n v="500"/>
    <m/>
    <s v=""/>
    <s v="Naturally Aspirated"/>
    <s v="Yes"/>
  </r>
  <r>
    <n v="2025"/>
    <s v="Subaru"/>
    <s v="Subaru"/>
    <s v="CROSSTREK WILDERNESS AWD"/>
    <n v="2.5"/>
    <n v="4"/>
    <s v="Auto(AV-S8)"/>
    <n v="8"/>
    <s v="All Wheel Drive"/>
    <n v="25"/>
    <n v="29"/>
    <n v="27"/>
    <x v="2"/>
    <n v="1950"/>
    <n v="5"/>
    <n v="5"/>
    <n v="353"/>
    <n v="306"/>
    <n v="332"/>
    <m/>
    <n v="250"/>
    <s v=""/>
    <s v="Naturally Aspirated"/>
    <s v="Yes"/>
  </r>
  <r>
    <n v="2025"/>
    <s v="Subaru"/>
    <s v="Subaru"/>
    <s v="FORESTER AWD"/>
    <n v="2.5"/>
    <n v="4"/>
    <s v="Auto(AV-S8)"/>
    <n v="8"/>
    <s v="All Wheel Drive"/>
    <n v="26"/>
    <n v="33"/>
    <n v="29"/>
    <x v="2"/>
    <n v="1800"/>
    <n v="6"/>
    <n v="6"/>
    <n v="343"/>
    <n v="269"/>
    <n v="310"/>
    <n v="500"/>
    <m/>
    <s v=""/>
    <s v="Naturally Aspirated"/>
    <s v="Yes"/>
  </r>
  <r>
    <n v="2025"/>
    <s v="Subaru"/>
    <s v="Subaru"/>
    <s v="FORESTER HYBRID AWD"/>
    <n v="2.5"/>
    <n v="4"/>
    <s v="Auto(AV-S6)"/>
    <n v="6"/>
    <s v="All Wheel Drive"/>
    <n v="35"/>
    <n v="34"/>
    <n v="35"/>
    <x v="2"/>
    <n v="1500"/>
    <n v="7"/>
    <n v="7"/>
    <n v="251"/>
    <n v="260"/>
    <n v="255"/>
    <n v="2000"/>
    <m/>
    <s v=""/>
    <s v="Naturally Aspirated"/>
    <s v="Yes"/>
  </r>
  <r>
    <n v="2025"/>
    <s v="Subaru"/>
    <s v="Subaru"/>
    <s v="FORESTER SPORT/TOURING AWD"/>
    <n v="2.5"/>
    <n v="4"/>
    <s v="Auto(AV-S8)"/>
    <n v="8"/>
    <s v="All Wheel Drive"/>
    <n v="25"/>
    <n v="32"/>
    <n v="28"/>
    <x v="2"/>
    <n v="1900"/>
    <n v="6"/>
    <n v="6"/>
    <n v="350"/>
    <n v="278"/>
    <n v="317"/>
    <n v="0"/>
    <m/>
    <s v=""/>
    <s v="Naturally Aspirated"/>
    <s v="Yes"/>
  </r>
  <r>
    <n v="2025"/>
    <s v="Subaru"/>
    <s v="Subaru"/>
    <s v="FORESTER WILDERNESS AWD"/>
    <n v="2.5"/>
    <n v="4"/>
    <s v="Auto(AV-S8)"/>
    <n v="8"/>
    <s v="All Wheel Drive"/>
    <n v="25"/>
    <n v="28"/>
    <n v="26"/>
    <x v="2"/>
    <n v="2000"/>
    <n v="5"/>
    <n v="5"/>
    <n v="359"/>
    <n v="313"/>
    <n v="338"/>
    <m/>
    <n v="500"/>
    <s v=""/>
    <s v="Naturally Aspirated"/>
    <s v="Yes"/>
  </r>
  <r>
    <n v="2025"/>
    <s v="Subaru"/>
    <s v="Subaru"/>
    <s v="IMPREZA"/>
    <n v="2"/>
    <n v="4"/>
    <s v="Auto(AV-S8)"/>
    <n v="8"/>
    <s v="All Wheel Drive"/>
    <n v="27"/>
    <n v="34"/>
    <n v="30"/>
    <x v="0"/>
    <n v="1750"/>
    <n v="6"/>
    <n v="6"/>
    <n v="328"/>
    <n v="260"/>
    <n v="297"/>
    <n v="750"/>
    <m/>
    <s v=""/>
    <s v="Naturally Aspirated"/>
    <s v="Yes"/>
  </r>
  <r>
    <n v="2025"/>
    <s v="Subaru"/>
    <s v="Subaru"/>
    <s v="IMPREZA"/>
    <n v="2.5"/>
    <n v="4"/>
    <s v="Auto(AV-S8)"/>
    <n v="8"/>
    <s v="All Wheel Drive"/>
    <n v="26"/>
    <n v="33"/>
    <n v="29"/>
    <x v="0"/>
    <n v="1800"/>
    <n v="6"/>
    <n v="6"/>
    <n v="337"/>
    <n v="268"/>
    <n v="306"/>
    <n v="500"/>
    <m/>
    <s v=""/>
    <s v="Naturally Aspirated"/>
    <s v="Yes"/>
  </r>
  <r>
    <n v="2025"/>
    <s v="Subaru"/>
    <s v="Subaru"/>
    <s v="LEGACY"/>
    <n v="2.5"/>
    <n v="4"/>
    <s v="Auto(AV-S8)"/>
    <n v="8"/>
    <s v="All Wheel Drive"/>
    <n v="27"/>
    <n v="35"/>
    <n v="30"/>
    <x v="6"/>
    <n v="1750"/>
    <n v="6"/>
    <n v="6"/>
    <n v="330"/>
    <n v="253"/>
    <n v="295"/>
    <n v="750"/>
    <m/>
    <s v=""/>
    <s v="Naturally Aspirated"/>
    <s v="Yes"/>
  </r>
  <r>
    <n v="2025"/>
    <s v="Subaru"/>
    <s v="Subaru"/>
    <s v="LEGACY"/>
    <n v="2.4"/>
    <n v="4"/>
    <s v="Auto(AV-S8)"/>
    <n v="8"/>
    <s v="All Wheel Drive"/>
    <n v="23"/>
    <n v="31"/>
    <n v="26"/>
    <x v="6"/>
    <n v="2000"/>
    <n v="5"/>
    <n v="5"/>
    <n v="381"/>
    <n v="283"/>
    <n v="337"/>
    <m/>
    <n v="500"/>
    <s v=""/>
    <s v="Turbocharged"/>
    <s v="Yes"/>
  </r>
  <r>
    <n v="2025"/>
    <s v="Subaru"/>
    <s v="Subaru"/>
    <s v="OUTBACK AWD"/>
    <n v="2.5"/>
    <n v="4"/>
    <s v="Auto(AV-S8)"/>
    <n v="8"/>
    <s v="All Wheel Drive"/>
    <n v="26"/>
    <n v="32"/>
    <n v="28"/>
    <x v="2"/>
    <n v="1900"/>
    <n v="6"/>
    <n v="6"/>
    <n v="345"/>
    <n v="276"/>
    <n v="314"/>
    <n v="0"/>
    <m/>
    <s v=""/>
    <s v="Naturally Aspirated"/>
    <s v="Yes"/>
  </r>
  <r>
    <n v="2025"/>
    <s v="Subaru"/>
    <s v="Subaru"/>
    <s v="OUTBACK AWD"/>
    <n v="2.4"/>
    <n v="4"/>
    <s v="Auto(AV-S8)"/>
    <n v="8"/>
    <s v="All Wheel Drive"/>
    <n v="22"/>
    <n v="29"/>
    <n v="25"/>
    <x v="2"/>
    <n v="2100"/>
    <n v="5"/>
    <n v="5"/>
    <n v="398"/>
    <n v="304"/>
    <n v="356"/>
    <m/>
    <n v="1000"/>
    <s v=""/>
    <s v="Turbocharged"/>
    <s v="Yes"/>
  </r>
  <r>
    <n v="2025"/>
    <s v="Subaru"/>
    <s v="Subaru"/>
    <s v="OUTBACK WILDERNESS AWD"/>
    <n v="2.4"/>
    <n v="4"/>
    <s v="Auto(AV-S8)"/>
    <n v="8"/>
    <s v="All Wheel Drive"/>
    <n v="21"/>
    <n v="26"/>
    <n v="23"/>
    <x v="2"/>
    <n v="2300"/>
    <n v="5"/>
    <n v="5"/>
    <n v="412"/>
    <n v="336"/>
    <n v="378"/>
    <m/>
    <n v="2000"/>
    <s v=""/>
    <s v="Turbocharged"/>
    <s v="Yes"/>
  </r>
  <r>
    <n v="2025"/>
    <s v="Subaru"/>
    <s v="Subaru"/>
    <s v="WRX"/>
    <n v="2.4"/>
    <n v="4"/>
    <s v="Manual(M6)"/>
    <n v="6"/>
    <s v="All Wheel Drive"/>
    <n v="19"/>
    <n v="26"/>
    <n v="22"/>
    <x v="6"/>
    <n v="2900"/>
    <n v="5"/>
    <n v="5"/>
    <n v="471"/>
    <n v="343"/>
    <n v="413"/>
    <m/>
    <n v="5000"/>
    <s v=""/>
    <s v="Turbocharged"/>
    <s v="No"/>
  </r>
  <r>
    <n v="2025"/>
    <s v="Subaru"/>
    <s v="Subaru"/>
    <s v="WRX"/>
    <n v="2.4"/>
    <n v="4"/>
    <s v="Auto(AV-S8)"/>
    <n v="8"/>
    <s v="All Wheel Drive"/>
    <n v="18"/>
    <n v="25"/>
    <n v="21"/>
    <x v="6"/>
    <n v="3050"/>
    <n v="4"/>
    <n v="4"/>
    <n v="478"/>
    <n v="353"/>
    <n v="422"/>
    <m/>
    <n v="5750"/>
    <s v=""/>
    <s v="Turbocharged"/>
    <s v="No"/>
  </r>
  <r>
    <n v="2025"/>
    <s v="Toyota"/>
    <s v="TOYOTA"/>
    <s v="4RUNNER 2WD"/>
    <n v="2.4"/>
    <n v="4"/>
    <s v="Auto(S8)"/>
    <n v="8"/>
    <s v="2-Wheel Drive, Rear"/>
    <n v="20"/>
    <n v="26"/>
    <n v="22"/>
    <x v="11"/>
    <n v="2400"/>
    <n v="5"/>
    <n v="5"/>
    <n v="445"/>
    <n v="343"/>
    <n v="399"/>
    <m/>
    <n v="2500"/>
    <s v=""/>
    <s v="Turbocharged"/>
    <s v="No"/>
  </r>
  <r>
    <n v="2025"/>
    <s v="Toyota"/>
    <s v="TOYOTA"/>
    <s v="4RUNNER 2WD"/>
    <n v="2.4"/>
    <n v="4"/>
    <s v="Auto(S8)"/>
    <n v="8"/>
    <s v="2-Wheel Drive, Rear"/>
    <n v="20"/>
    <n v="24"/>
    <n v="22"/>
    <x v="11"/>
    <n v="2400"/>
    <n v="5"/>
    <n v="5"/>
    <n v="436"/>
    <n v="365"/>
    <n v="404"/>
    <m/>
    <n v="2500"/>
    <s v=""/>
    <s v="Turbocharged"/>
    <s v="Yes"/>
  </r>
  <r>
    <n v="2025"/>
    <s v="Toyota"/>
    <s v="TOYOTA"/>
    <s v="4RUNNER 4WD"/>
    <n v="2.4"/>
    <n v="4"/>
    <s v="Auto(S8)"/>
    <n v="8"/>
    <s v="Part-time 4-Wheel Drive"/>
    <n v="19"/>
    <n v="25"/>
    <n v="21"/>
    <x v="3"/>
    <n v="2500"/>
    <n v="4"/>
    <n v="4"/>
    <n v="464"/>
    <n v="358"/>
    <n v="417"/>
    <m/>
    <n v="3000"/>
    <s v=""/>
    <s v="Turbocharged"/>
    <s v="No"/>
  </r>
  <r>
    <n v="2025"/>
    <s v="Toyota"/>
    <s v="TOYOTA"/>
    <s v="4RUNNER 4WD"/>
    <n v="2.4"/>
    <n v="4"/>
    <s v="Auto(S8)"/>
    <n v="8"/>
    <s v="4-Wheel Drive"/>
    <n v="20"/>
    <n v="24"/>
    <n v="21"/>
    <x v="3"/>
    <n v="2500"/>
    <n v="4"/>
    <n v="4"/>
    <n v="451"/>
    <n v="371"/>
    <n v="415"/>
    <m/>
    <n v="3000"/>
    <s v=""/>
    <s v="Turbocharged"/>
    <s v="Yes"/>
  </r>
  <r>
    <n v="2025"/>
    <s v="Toyota"/>
    <s v="TOYOTA"/>
    <s v="4RUNNER 4WD"/>
    <n v="2.4"/>
    <n v="4"/>
    <s v="Auto(S8)"/>
    <n v="8"/>
    <s v="Part-time 4-Wheel Drive"/>
    <n v="23"/>
    <n v="24"/>
    <n v="23"/>
    <x v="3"/>
    <n v="2300"/>
    <n v="5"/>
    <n v="5"/>
    <n v="392"/>
    <n v="366"/>
    <n v="380"/>
    <m/>
    <n v="2000"/>
    <s v=""/>
    <s v="Turbocharged"/>
    <s v="Yes"/>
  </r>
  <r>
    <n v="2025"/>
    <s v="Toyota"/>
    <s v="TOYOTA"/>
    <s v="4RUNNER 4WD"/>
    <n v="2.4"/>
    <n v="4"/>
    <s v="Auto(S8)"/>
    <n v="8"/>
    <s v="4-Wheel Drive"/>
    <n v="23"/>
    <n v="24"/>
    <n v="23"/>
    <x v="3"/>
    <n v="2300"/>
    <n v="5"/>
    <n v="5"/>
    <n v="393"/>
    <n v="365"/>
    <n v="380"/>
    <m/>
    <n v="2000"/>
    <s v=""/>
    <s v="Turbocharged"/>
    <s v="Yes"/>
  </r>
  <r>
    <n v="2025"/>
    <s v="Toyota"/>
    <s v="TOYOTA"/>
    <s v="CAMRY HEV AWD LE"/>
    <n v="2.5"/>
    <n v="4"/>
    <s v="Auto(AV-S6)"/>
    <n v="6"/>
    <s v="All Wheel Drive"/>
    <n v="51"/>
    <n v="49"/>
    <n v="50"/>
    <x v="6"/>
    <n v="1050"/>
    <n v="8"/>
    <n v="8"/>
    <n v="174"/>
    <n v="182"/>
    <n v="177"/>
    <n v="4250"/>
    <m/>
    <s v=""/>
    <s v="Naturally Aspirated"/>
    <s v="Yes"/>
  </r>
  <r>
    <n v="2025"/>
    <s v="Toyota"/>
    <s v="TOYOTA"/>
    <s v="CAMRY HEV AWD SE/XLE"/>
    <n v="2.5"/>
    <n v="4"/>
    <s v="Auto(AV-S6)"/>
    <n v="6"/>
    <s v="All Wheel Drive"/>
    <n v="46"/>
    <n v="46"/>
    <n v="46"/>
    <x v="6"/>
    <n v="1150"/>
    <n v="8"/>
    <n v="8"/>
    <n v="189"/>
    <n v="189"/>
    <n v="189"/>
    <n v="3750"/>
    <m/>
    <s v=""/>
    <s v="Naturally Aspirated"/>
    <s v="Yes"/>
  </r>
  <r>
    <n v="2025"/>
    <s v="Toyota"/>
    <s v="TOYOTA"/>
    <s v="CAMRY HEV AWD XSE"/>
    <n v="2.5"/>
    <n v="4"/>
    <s v="Auto(AV-S6)"/>
    <n v="6"/>
    <s v="All Wheel Drive"/>
    <n v="44"/>
    <n v="43"/>
    <n v="44"/>
    <x v="6"/>
    <n v="1200"/>
    <n v="7"/>
    <n v="7"/>
    <n v="199"/>
    <n v="204"/>
    <n v="199"/>
    <n v="3500"/>
    <m/>
    <s v=""/>
    <s v="Naturally Aspirated"/>
    <s v="Yes"/>
  </r>
  <r>
    <n v="2025"/>
    <s v="Toyota"/>
    <s v="TOYOTA"/>
    <s v="CAMRY HEV FF LE"/>
    <n v="2.5"/>
    <n v="4"/>
    <s v="Auto(AV-S6)"/>
    <n v="6"/>
    <s v="2-Wheel Drive, Front"/>
    <n v="53"/>
    <n v="50"/>
    <n v="51"/>
    <x v="6"/>
    <n v="1050"/>
    <n v="8"/>
    <n v="8"/>
    <n v="168"/>
    <n v="179"/>
    <n v="173"/>
    <n v="4250"/>
    <m/>
    <s v=""/>
    <s v="Naturally Aspirated"/>
    <s v="Yes"/>
  </r>
  <r>
    <n v="2025"/>
    <s v="Toyota"/>
    <s v="TOYOTA"/>
    <s v="CAMRY HEV FF SE/XLE/XSE"/>
    <n v="2.5"/>
    <n v="4"/>
    <s v="Auto(AV-S6)"/>
    <n v="6"/>
    <s v="2-Wheel Drive, Front"/>
    <n v="48"/>
    <n v="47"/>
    <n v="47"/>
    <x v="6"/>
    <n v="1100"/>
    <n v="8"/>
    <n v="8"/>
    <n v="184"/>
    <n v="188"/>
    <n v="186"/>
    <n v="4000"/>
    <m/>
    <s v=""/>
    <s v="Naturally Aspirated"/>
    <s v="Yes"/>
  </r>
  <r>
    <n v="2025"/>
    <s v="Toyota"/>
    <s v="TOYOTA"/>
    <s v="COROLLA"/>
    <n v="2"/>
    <n v="4"/>
    <s v="Auto(AV)"/>
    <n v="1"/>
    <s v="2-Wheel Drive, Front"/>
    <n v="32"/>
    <n v="41"/>
    <n v="35"/>
    <x v="5"/>
    <n v="1500"/>
    <n v="7"/>
    <n v="7"/>
    <n v="277"/>
    <n v="216"/>
    <n v="254"/>
    <n v="2000"/>
    <m/>
    <s v=""/>
    <s v="Naturally Aspirated"/>
    <s v="No"/>
  </r>
  <r>
    <n v="2025"/>
    <s v="Toyota"/>
    <s v="TOYOTA"/>
    <s v="COROLLA"/>
    <n v="2"/>
    <n v="4"/>
    <s v="Auto(AV)"/>
    <n v="1"/>
    <s v="2-Wheel Drive, Front"/>
    <n v="31"/>
    <n v="40"/>
    <n v="34"/>
    <x v="5"/>
    <n v="1550"/>
    <n v="7"/>
    <n v="7"/>
    <n v="286"/>
    <n v="223"/>
    <n v="257"/>
    <n v="1750"/>
    <m/>
    <s v=""/>
    <s v="Naturally Aspirated"/>
    <s v="No"/>
  </r>
  <r>
    <n v="2025"/>
    <s v="Toyota"/>
    <s v="TOYOTA"/>
    <s v="COROLLA"/>
    <n v="2"/>
    <n v="4"/>
    <s v="Auto(AV-S10)"/>
    <n v="10"/>
    <s v="2-Wheel Drive, Front"/>
    <n v="31"/>
    <n v="38"/>
    <n v="34"/>
    <x v="5"/>
    <n v="1550"/>
    <n v="7"/>
    <n v="7"/>
    <n v="292"/>
    <n v="232"/>
    <n v="265"/>
    <n v="1750"/>
    <m/>
    <s v=""/>
    <s v="Naturally Aspirated"/>
    <s v="No"/>
  </r>
  <r>
    <n v="2025"/>
    <s v="Toyota"/>
    <s v="TOYOTA"/>
    <s v="COROLLA CROSS"/>
    <n v="2"/>
    <n v="4"/>
    <s v="Auto(AV-S10)"/>
    <n v="10"/>
    <s v="2-Wheel Drive, Front"/>
    <n v="31"/>
    <n v="33"/>
    <n v="32"/>
    <x v="4"/>
    <n v="1650"/>
    <n v="6"/>
    <n v="6"/>
    <n v="283"/>
    <n v="267"/>
    <n v="276"/>
    <n v="1250"/>
    <m/>
    <s v=""/>
    <s v="Naturally Aspirated"/>
    <s v="Yes"/>
  </r>
  <r>
    <n v="2025"/>
    <s v="Toyota"/>
    <s v="TOYOTA"/>
    <s v="COROLLA CROSS AWD"/>
    <n v="2"/>
    <n v="4"/>
    <s v="Auto(AV-S10)"/>
    <n v="10"/>
    <s v="All Wheel Drive"/>
    <n v="29"/>
    <n v="31"/>
    <n v="30"/>
    <x v="2"/>
    <n v="1750"/>
    <n v="6"/>
    <n v="6"/>
    <n v="305"/>
    <n v="282"/>
    <n v="294"/>
    <n v="750"/>
    <m/>
    <s v=""/>
    <s v="Naturally Aspirated"/>
    <s v="Yes"/>
  </r>
  <r>
    <n v="2025"/>
    <s v="Toyota"/>
    <s v="TOYOTA"/>
    <s v="COROLLA CROSS HYBRID AWD"/>
    <n v="2"/>
    <n v="4"/>
    <s v="Auto(AV-S6)"/>
    <n v="6"/>
    <s v="All Wheel Drive"/>
    <n v="45"/>
    <n v="38"/>
    <n v="42"/>
    <x v="2"/>
    <n v="1250"/>
    <n v="7"/>
    <n v="7"/>
    <n v="195"/>
    <n v="231"/>
    <n v="209"/>
    <n v="3250"/>
    <m/>
    <s v=""/>
    <s v="Naturally Aspirated"/>
    <s v="Yes"/>
  </r>
  <r>
    <n v="2025"/>
    <s v="Toyota"/>
    <s v="TOYOTA"/>
    <s v="COROLLA FX"/>
    <n v="2"/>
    <n v="4"/>
    <s v="Auto(AV)"/>
    <n v="1"/>
    <s v="2-Wheel Drive, Front"/>
    <n v="31"/>
    <n v="39"/>
    <n v="34"/>
    <x v="5"/>
    <n v="1550"/>
    <n v="7"/>
    <n v="7"/>
    <n v="289"/>
    <n v="226"/>
    <n v="261"/>
    <n v="1750"/>
    <m/>
    <s v=""/>
    <s v="Naturally Aspirated"/>
    <s v="No"/>
  </r>
  <r>
    <n v="2025"/>
    <s v="Toyota"/>
    <s v="TOYOTA"/>
    <s v="COROLLA HATCHBACK"/>
    <n v="2"/>
    <n v="4"/>
    <s v="Auto(AV-S10)"/>
    <n v="10"/>
    <s v="2-Wheel Drive, Front"/>
    <n v="32"/>
    <n v="41"/>
    <n v="35"/>
    <x v="5"/>
    <n v="1500"/>
    <n v="7"/>
    <n v="7"/>
    <n v="278"/>
    <n v="217"/>
    <n v="254"/>
    <n v="2000"/>
    <m/>
    <s v=""/>
    <s v="Naturally Aspirated"/>
    <s v="No"/>
  </r>
  <r>
    <n v="2025"/>
    <s v="Toyota"/>
    <s v="TOYOTA"/>
    <s v="COROLLA HATCHBACK XSE"/>
    <n v="2"/>
    <n v="4"/>
    <s v="Auto(AV-S10)"/>
    <n v="10"/>
    <s v="2-Wheel Drive, Front"/>
    <n v="30"/>
    <n v="38"/>
    <n v="33"/>
    <x v="5"/>
    <n v="1600"/>
    <n v="6"/>
    <n v="6"/>
    <n v="295"/>
    <n v="230"/>
    <n v="266"/>
    <n v="1500"/>
    <m/>
    <s v=""/>
    <s v="Naturally Aspirated"/>
    <s v="No"/>
  </r>
  <r>
    <n v="2025"/>
    <s v="Toyota"/>
    <s v="TOYOTA"/>
    <s v="COROLLA HYBRID"/>
    <n v="1.8"/>
    <n v="4"/>
    <s v="Auto(AV)"/>
    <n v="1"/>
    <s v="2-Wheel Drive, Front"/>
    <n v="53"/>
    <n v="46"/>
    <n v="50"/>
    <x v="5"/>
    <n v="1050"/>
    <n v="8"/>
    <n v="8"/>
    <n v="163"/>
    <n v="186"/>
    <n v="173"/>
    <n v="4250"/>
    <m/>
    <s v=""/>
    <s v="Naturally Aspirated"/>
    <s v="Yes"/>
  </r>
  <r>
    <n v="2025"/>
    <s v="Toyota"/>
    <s v="TOYOTA"/>
    <s v="COROLLA HYBRID"/>
    <n v="1.8"/>
    <n v="4"/>
    <s v="Auto(AV)"/>
    <n v="1"/>
    <s v="2-Wheel Drive, Front"/>
    <n v="50"/>
    <n v="43"/>
    <n v="47"/>
    <x v="5"/>
    <n v="1100"/>
    <n v="8"/>
    <n v="8"/>
    <n v="173"/>
    <n v="204"/>
    <n v="186"/>
    <n v="4000"/>
    <m/>
    <s v=""/>
    <s v="Naturally Aspirated"/>
    <s v="Yes"/>
  </r>
  <r>
    <n v="2025"/>
    <s v="Toyota"/>
    <s v="TOYOTA"/>
    <s v="COROLLA HYBRID AWD"/>
    <n v="1.8"/>
    <n v="4"/>
    <s v="Auto(AV)"/>
    <n v="1"/>
    <s v="All Wheel Drive"/>
    <n v="51"/>
    <n v="44"/>
    <n v="48"/>
    <x v="5"/>
    <n v="1100"/>
    <n v="8"/>
    <n v="8"/>
    <n v="167"/>
    <n v="194"/>
    <n v="179"/>
    <n v="4000"/>
    <m/>
    <s v=""/>
    <s v="Naturally Aspirated"/>
    <s v="Yes"/>
  </r>
  <r>
    <n v="2025"/>
    <s v="Toyota"/>
    <s v="TOYOTA"/>
    <s v="COROLLA HYBRID AWD"/>
    <n v="1.8"/>
    <n v="4"/>
    <s v="Auto(AV)"/>
    <n v="1"/>
    <s v="All Wheel Drive"/>
    <n v="47"/>
    <n v="41"/>
    <n v="44"/>
    <x v="5"/>
    <n v="1200"/>
    <n v="7"/>
    <n v="7"/>
    <n v="186"/>
    <n v="214"/>
    <n v="199"/>
    <n v="3500"/>
    <m/>
    <s v=""/>
    <s v="Naturally Aspirated"/>
    <s v="Yes"/>
  </r>
  <r>
    <n v="2025"/>
    <s v="Toyota"/>
    <s v="TOYOTA"/>
    <s v="GR COROLLA"/>
    <n v="1.6"/>
    <n v="3"/>
    <s v="Auto(S8)"/>
    <n v="8"/>
    <s v="All Wheel Drive"/>
    <n v="19"/>
    <n v="27"/>
    <n v="22"/>
    <x v="9"/>
    <n v="2900"/>
    <n v="5"/>
    <n v="5"/>
    <n v="455"/>
    <n v="321"/>
    <n v="395"/>
    <m/>
    <n v="5000"/>
    <s v=""/>
    <s v="Turbocharged"/>
    <s v="No"/>
  </r>
  <r>
    <n v="2025"/>
    <s v="Toyota"/>
    <s v="TOYOTA"/>
    <s v="GR COROLLA"/>
    <n v="1.6"/>
    <n v="3"/>
    <s v="Manual(M6)"/>
    <n v="6"/>
    <s v="All Wheel Drive"/>
    <n v="21"/>
    <n v="28"/>
    <n v="24"/>
    <x v="9"/>
    <n v="2650"/>
    <n v="5"/>
    <n v="5"/>
    <n v="415"/>
    <n v="311"/>
    <n v="368"/>
    <m/>
    <n v="3750"/>
    <s v=""/>
    <s v="Turbocharged"/>
    <s v="No"/>
  </r>
  <r>
    <n v="2025"/>
    <s v="Toyota"/>
    <s v="TOYOTA"/>
    <s v="GR86"/>
    <n v="2.4"/>
    <n v="4"/>
    <s v="Manual(M6)"/>
    <n v="6"/>
    <s v="2-Wheel Drive, Rear"/>
    <n v="20"/>
    <n v="26"/>
    <n v="22"/>
    <x v="7"/>
    <n v="2900"/>
    <n v="5"/>
    <n v="5"/>
    <n v="454"/>
    <n v="336"/>
    <n v="401"/>
    <m/>
    <n v="5000"/>
    <s v=""/>
    <s v="Naturally Aspirated"/>
    <s v="No"/>
  </r>
  <r>
    <n v="2025"/>
    <s v="Toyota"/>
    <s v="TOYOTA"/>
    <s v="GR86"/>
    <n v="2.4"/>
    <n v="4"/>
    <s v="Auto(S6)"/>
    <n v="6"/>
    <s v="2-Wheel Drive, Rear"/>
    <n v="21"/>
    <n v="30"/>
    <n v="24"/>
    <x v="7"/>
    <n v="2650"/>
    <n v="5"/>
    <n v="5"/>
    <n v="423"/>
    <n v="296"/>
    <n v="366"/>
    <m/>
    <n v="3750"/>
    <s v=""/>
    <s v="Naturally Aspirated"/>
    <s v="No"/>
  </r>
  <r>
    <n v="2025"/>
    <s v="Toyota"/>
    <s v="TOYOTA"/>
    <s v="GRAND HIGHLANDER AWD LE/XLE"/>
    <n v="2.4"/>
    <n v="4"/>
    <s v="Auto(S8)"/>
    <n v="8"/>
    <s v="All Wheel Drive"/>
    <n v="21"/>
    <n v="27"/>
    <n v="23"/>
    <x v="3"/>
    <n v="2300"/>
    <n v="5"/>
    <n v="5"/>
    <n v="424"/>
    <n v="325"/>
    <n v="379"/>
    <m/>
    <n v="2000"/>
    <s v=""/>
    <s v="Turbocharged"/>
    <s v="Yes"/>
  </r>
  <r>
    <n v="2025"/>
    <s v="Toyota"/>
    <s v="TOYOTA"/>
    <s v="GRAND HIGHLANDER AWD LIMITED/PLATINUM"/>
    <n v="2.4"/>
    <n v="4"/>
    <s v="Auto(S8)"/>
    <n v="8"/>
    <s v="All Wheel Drive"/>
    <n v="20"/>
    <n v="26"/>
    <n v="22"/>
    <x v="3"/>
    <n v="2400"/>
    <n v="5"/>
    <n v="5"/>
    <n v="433"/>
    <n v="338"/>
    <n v="400"/>
    <m/>
    <n v="2500"/>
    <s v=""/>
    <s v="Turbocharged"/>
    <s v="Yes"/>
  </r>
  <r>
    <n v="2025"/>
    <s v="Toyota"/>
    <s v="TOYOTA"/>
    <s v="GRAND HIGHLANDER HYBRID"/>
    <n v="2.5"/>
    <n v="4"/>
    <s v="Auto(AV-S6)"/>
    <n v="6"/>
    <s v="2-Wheel Drive, Front"/>
    <n v="37"/>
    <n v="34"/>
    <n v="36"/>
    <x v="11"/>
    <n v="1450"/>
    <n v="7"/>
    <n v="7"/>
    <n v="237"/>
    <n v="258"/>
    <n v="246"/>
    <n v="2250"/>
    <m/>
    <s v=""/>
    <s v="Naturally Aspirated"/>
    <s v="Yes"/>
  </r>
  <r>
    <n v="2025"/>
    <s v="Toyota"/>
    <s v="TOYOTA"/>
    <s v="GRAND HIGHLANDER HYBRID AWD"/>
    <n v="2.5"/>
    <n v="4"/>
    <s v="Auto(AV-S6)"/>
    <n v="6"/>
    <s v="All Wheel Drive"/>
    <n v="36"/>
    <n v="32"/>
    <n v="34"/>
    <x v="3"/>
    <n v="1550"/>
    <n v="7"/>
    <n v="7"/>
    <n v="245"/>
    <n v="275"/>
    <n v="258"/>
    <n v="1750"/>
    <m/>
    <s v=""/>
    <s v="Naturally Aspirated"/>
    <s v="Yes"/>
  </r>
  <r>
    <n v="2025"/>
    <s v="Toyota"/>
    <s v="TOYOTA"/>
    <s v="GRAND HIGHLANDER HYBRID AWD"/>
    <n v="2.4"/>
    <n v="4"/>
    <s v="Auto(S6)"/>
    <n v="6"/>
    <s v="All Wheel Drive"/>
    <n v="26"/>
    <n v="27"/>
    <n v="27"/>
    <x v="3"/>
    <n v="1950"/>
    <n v="5"/>
    <n v="5"/>
    <n v="338"/>
    <n v="325"/>
    <n v="332"/>
    <m/>
    <n v="250"/>
    <s v=""/>
    <s v="Turbocharged"/>
    <s v="Yes"/>
  </r>
  <r>
    <n v="2025"/>
    <s v="Toyota"/>
    <s v="TOYOTA"/>
    <s v="GRAND HIGHLANDER LE/XLE"/>
    <n v="2.4"/>
    <n v="4"/>
    <s v="Auto(S8)"/>
    <n v="8"/>
    <s v="2-Wheel Drive, Front"/>
    <n v="21"/>
    <n v="28"/>
    <n v="24"/>
    <x v="11"/>
    <n v="2200"/>
    <n v="5"/>
    <n v="5"/>
    <n v="419"/>
    <n v="313"/>
    <n v="371"/>
    <m/>
    <n v="1500"/>
    <s v=""/>
    <s v="Turbocharged"/>
    <s v="Yes"/>
  </r>
  <r>
    <n v="2025"/>
    <s v="Toyota"/>
    <s v="TOYOTA"/>
    <s v="GRAND HIGHLANDER LIMITED"/>
    <n v="2.4"/>
    <n v="4"/>
    <s v="Auto(S8)"/>
    <n v="8"/>
    <s v="2-Wheel Drive, Front"/>
    <n v="21"/>
    <n v="28"/>
    <n v="24"/>
    <x v="11"/>
    <n v="2200"/>
    <n v="5"/>
    <n v="5"/>
    <n v="410"/>
    <n v="312"/>
    <n v="366"/>
    <m/>
    <n v="1500"/>
    <s v=""/>
    <s v="Turbocharged"/>
    <s v="Yes"/>
  </r>
  <r>
    <n v="2025"/>
    <s v="Toyota"/>
    <s v="TOYOTA"/>
    <s v="HIGHLANDER"/>
    <n v="2.4"/>
    <n v="4"/>
    <s v="Auto(S8)"/>
    <n v="8"/>
    <s v="2-Wheel Drive, Front"/>
    <n v="22"/>
    <n v="29"/>
    <n v="25"/>
    <x v="4"/>
    <n v="2100"/>
    <n v="5"/>
    <n v="5"/>
    <n v="403"/>
    <n v="305"/>
    <n v="359"/>
    <m/>
    <n v="1000"/>
    <s v=""/>
    <s v="Turbocharged"/>
    <s v="Yes"/>
  </r>
  <r>
    <n v="2025"/>
    <s v="Toyota"/>
    <s v="TOYOTA"/>
    <s v="HIGHLANDER"/>
    <n v="2.4"/>
    <n v="4"/>
    <s v="Auto(S8)"/>
    <n v="8"/>
    <s v="2-Wheel Drive, Front"/>
    <n v="21"/>
    <n v="28"/>
    <n v="24"/>
    <x v="4"/>
    <n v="2200"/>
    <n v="5"/>
    <n v="5"/>
    <n v="419"/>
    <n v="311"/>
    <n v="370"/>
    <m/>
    <n v="1500"/>
    <s v=""/>
    <s v="Turbocharged"/>
    <s v="No"/>
  </r>
  <r>
    <n v="2025"/>
    <s v="Toyota"/>
    <s v="TOYOTA"/>
    <s v="HIGHLANDER AWD"/>
    <n v="2.4"/>
    <n v="4"/>
    <s v="Auto(S8)"/>
    <n v="8"/>
    <s v="All Wheel Drive"/>
    <n v="21"/>
    <n v="28"/>
    <n v="24"/>
    <x v="2"/>
    <n v="2200"/>
    <n v="5"/>
    <n v="5"/>
    <n v="415"/>
    <n v="318"/>
    <n v="371"/>
    <m/>
    <n v="1500"/>
    <s v=""/>
    <s v="Turbocharged"/>
    <s v="Yes"/>
  </r>
  <r>
    <n v="2025"/>
    <s v="Toyota"/>
    <s v="TOYOTA"/>
    <s v="HIGHLANDER HYBRID AWD"/>
    <n v="2.5"/>
    <n v="4"/>
    <s v="Auto(AV-S6)"/>
    <n v="6"/>
    <s v="All Wheel Drive"/>
    <n v="35"/>
    <n v="35"/>
    <n v="35"/>
    <x v="3"/>
    <n v="1500"/>
    <n v="7"/>
    <n v="7"/>
    <n v="252"/>
    <n v="256"/>
    <n v="254"/>
    <n v="2000"/>
    <m/>
    <s v=""/>
    <s v="Naturally Aspirated"/>
    <s v="Yes"/>
  </r>
  <r>
    <n v="2025"/>
    <s v="Toyota"/>
    <s v="TOYOTA"/>
    <s v="HIGHLANDER HYBRID AWD LTD/PLAT"/>
    <n v="2.5"/>
    <n v="4"/>
    <s v="Auto(AV-S6)"/>
    <n v="6"/>
    <s v="All Wheel Drive"/>
    <n v="35"/>
    <n v="34"/>
    <n v="35"/>
    <x v="3"/>
    <n v="1500"/>
    <n v="7"/>
    <n v="7"/>
    <n v="248"/>
    <n v="259"/>
    <n v="253"/>
    <n v="2000"/>
    <m/>
    <s v=""/>
    <s v="Naturally Aspirated"/>
    <s v="Yes"/>
  </r>
  <r>
    <n v="2025"/>
    <s v="Toyota"/>
    <s v="TOYOTA"/>
    <s v="LAND CRUISER"/>
    <n v="2.4"/>
    <n v="4"/>
    <s v="Auto(S8)"/>
    <n v="8"/>
    <s v="4-Wheel Drive"/>
    <n v="22"/>
    <n v="25"/>
    <n v="23"/>
    <x v="3"/>
    <n v="2750"/>
    <n v="5"/>
    <n v="5"/>
    <n v="402"/>
    <n v="355"/>
    <n v="381"/>
    <m/>
    <n v="4250"/>
    <s v=""/>
    <s v="Turbocharged"/>
    <s v="Yes"/>
  </r>
  <r>
    <n v="2025"/>
    <s v="Toyota"/>
    <s v="TOYOTA"/>
    <s v="PRIUS"/>
    <n v="2"/>
    <n v="4"/>
    <s v="Auto(AV)"/>
    <n v="1"/>
    <s v="2-Wheel Drive, Front"/>
    <n v="57"/>
    <n v="56"/>
    <n v="57"/>
    <x v="6"/>
    <n v="900"/>
    <n v="8"/>
    <n v="8"/>
    <n v="154"/>
    <n v="158"/>
    <n v="155"/>
    <n v="5000"/>
    <m/>
    <s v=""/>
    <s v="Naturally Aspirated"/>
    <s v="Yes"/>
  </r>
  <r>
    <n v="2025"/>
    <s v="Toyota"/>
    <s v="TOYOTA"/>
    <s v="PRIUS AWD"/>
    <n v="2"/>
    <n v="4"/>
    <s v="Auto(AV)"/>
    <n v="1"/>
    <s v="Part-time 4-Wheel Drive"/>
    <n v="53"/>
    <n v="54"/>
    <n v="54"/>
    <x v="6"/>
    <n v="950"/>
    <n v="8"/>
    <n v="8"/>
    <n v="166"/>
    <n v="163"/>
    <n v="163"/>
    <n v="4750"/>
    <m/>
    <s v=""/>
    <s v="Naturally Aspirated"/>
    <s v="Yes"/>
  </r>
  <r>
    <n v="2025"/>
    <s v="Toyota"/>
    <s v="TOYOTA"/>
    <s v="PRIUS AWD XLE/LTD"/>
    <n v="2"/>
    <n v="4"/>
    <s v="Auto(AV)"/>
    <n v="1"/>
    <s v="Part-time 4-Wheel Drive"/>
    <n v="49"/>
    <n v="50"/>
    <n v="49"/>
    <x v="6"/>
    <n v="1050"/>
    <n v="8"/>
    <n v="8"/>
    <n v="179"/>
    <n v="176"/>
    <n v="179"/>
    <n v="4250"/>
    <m/>
    <s v=""/>
    <s v="Naturally Aspirated"/>
    <s v="Yes"/>
  </r>
  <r>
    <n v="2025"/>
    <s v="Toyota"/>
    <s v="TOYOTA"/>
    <s v="PRIUS XLE/LTD"/>
    <n v="2"/>
    <n v="4"/>
    <s v="Auto(AV)"/>
    <n v="1"/>
    <s v="2-Wheel Drive, Front"/>
    <n v="52"/>
    <n v="52"/>
    <n v="52"/>
    <x v="6"/>
    <n v="1000"/>
    <n v="8"/>
    <n v="8"/>
    <n v="168"/>
    <n v="169"/>
    <n v="169"/>
    <n v="4500"/>
    <m/>
    <s v=""/>
    <s v="Naturally Aspirated"/>
    <s v="Yes"/>
  </r>
  <r>
    <n v="2025"/>
    <s v="Toyota"/>
    <s v="TOYOTA"/>
    <s v="RAV4"/>
    <n v="2.5"/>
    <n v="4"/>
    <s v="Auto(S8)"/>
    <n v="8"/>
    <s v="2-Wheel Drive, Front"/>
    <n v="27"/>
    <n v="35"/>
    <n v="30"/>
    <x v="4"/>
    <n v="1750"/>
    <n v="6"/>
    <n v="6"/>
    <n v="321"/>
    <n v="256"/>
    <n v="292"/>
    <n v="750"/>
    <m/>
    <s v=""/>
    <s v="Naturally Aspirated"/>
    <s v="Yes"/>
  </r>
  <r>
    <n v="2025"/>
    <s v="Toyota"/>
    <s v="TOYOTA"/>
    <s v="RAV4 AWD"/>
    <n v="2.5"/>
    <n v="4"/>
    <s v="Auto(S8)"/>
    <n v="8"/>
    <s v="All Wheel Drive"/>
    <n v="27"/>
    <n v="33"/>
    <n v="29"/>
    <x v="2"/>
    <n v="1800"/>
    <n v="6"/>
    <n v="6"/>
    <n v="330"/>
    <n v="267"/>
    <n v="301"/>
    <n v="500"/>
    <m/>
    <s v=""/>
    <s v="Naturally Aspirated"/>
    <s v="Yes"/>
  </r>
  <r>
    <n v="2025"/>
    <s v="Toyota"/>
    <s v="TOYOTA"/>
    <s v="RAV4 AWD"/>
    <n v="2.5"/>
    <n v="4"/>
    <s v="Auto(S8)"/>
    <n v="8"/>
    <s v="All Wheel Drive"/>
    <n v="25"/>
    <n v="33"/>
    <n v="28"/>
    <x v="2"/>
    <n v="1900"/>
    <n v="6"/>
    <n v="6"/>
    <n v="360"/>
    <n v="270"/>
    <n v="320"/>
    <n v="0"/>
    <m/>
    <s v=""/>
    <s v="Naturally Aspirated"/>
    <s v="No"/>
  </r>
  <r>
    <n v="2025"/>
    <s v="Toyota"/>
    <s v="TOYOTA"/>
    <s v="RAV4 AWD LE"/>
    <n v="2.5"/>
    <n v="4"/>
    <s v="Auto(S8)"/>
    <n v="8"/>
    <s v="All Wheel Drive"/>
    <n v="27"/>
    <n v="34"/>
    <n v="30"/>
    <x v="2"/>
    <n v="1750"/>
    <n v="6"/>
    <n v="6"/>
    <n v="325"/>
    <n v="260"/>
    <n v="296"/>
    <n v="750"/>
    <m/>
    <s v=""/>
    <s v="Naturally Aspirated"/>
    <s v="Yes"/>
  </r>
  <r>
    <n v="2025"/>
    <s v="Toyota"/>
    <s v="TOYOTA"/>
    <s v="RAV4 HYBRID AWD"/>
    <n v="2.5"/>
    <n v="4"/>
    <s v="Auto(AV-S6)"/>
    <n v="6"/>
    <s v="All Wheel Drive"/>
    <n v="41"/>
    <n v="38"/>
    <n v="39"/>
    <x v="2"/>
    <n v="1350"/>
    <n v="7"/>
    <n v="7"/>
    <n v="215"/>
    <n v="235"/>
    <n v="224"/>
    <n v="2750"/>
    <m/>
    <s v=""/>
    <s v="Naturally Aspirated"/>
    <s v="Yes"/>
  </r>
  <r>
    <n v="2025"/>
    <s v="Toyota"/>
    <s v="TOYOTA"/>
    <s v="RAV4 HYBRID AWD WOODLAND EDITION"/>
    <n v="2.5"/>
    <n v="4"/>
    <s v="Auto(AV-S6)"/>
    <n v="6"/>
    <s v="All Wheel Drive"/>
    <n v="38"/>
    <n v="35"/>
    <n v="37"/>
    <x v="2"/>
    <n v="1400"/>
    <n v="7"/>
    <n v="7"/>
    <n v="229"/>
    <n v="253"/>
    <n v="240"/>
    <n v="2500"/>
    <m/>
    <s v=""/>
    <s v="Naturally Aspirated"/>
    <s v="Yes"/>
  </r>
  <r>
    <n v="2025"/>
    <s v="Toyota"/>
    <s v="TOYOTA"/>
    <s v="SEQUOIA 2WD"/>
    <n v="3.4"/>
    <n v="6"/>
    <s v="Auto(S10)"/>
    <n v="10"/>
    <s v="2-Wheel Drive, Rear"/>
    <n v="21"/>
    <n v="24"/>
    <n v="22"/>
    <x v="11"/>
    <n v="2400"/>
    <n v="5"/>
    <n v="5"/>
    <n v="430"/>
    <n v="370"/>
    <n v="403"/>
    <m/>
    <n v="2500"/>
    <s v=""/>
    <s v="Turbocharged"/>
    <s v="Yes"/>
  </r>
  <r>
    <n v="2025"/>
    <s v="Toyota"/>
    <s v="TOYOTA"/>
    <s v="SEQUOIA 4WD"/>
    <n v="3.4"/>
    <n v="6"/>
    <s v="Auto(S10)"/>
    <n v="10"/>
    <s v="Part-time 4-Wheel Drive"/>
    <n v="19"/>
    <n v="22"/>
    <n v="20"/>
    <x v="3"/>
    <n v="2600"/>
    <n v="4"/>
    <n v="4"/>
    <n v="474"/>
    <n v="397"/>
    <n v="439"/>
    <m/>
    <n v="3500"/>
    <s v=""/>
    <s v="Turbocharged"/>
    <s v="Yes"/>
  </r>
  <r>
    <n v="2025"/>
    <s v="Toyota"/>
    <s v="TOYOTA"/>
    <s v="SIENNA"/>
    <n v="2.5"/>
    <n v="4"/>
    <s v="Auto(AV-S6)"/>
    <n v="6"/>
    <s v="2-Wheel Drive, Front"/>
    <n v="36"/>
    <n v="36"/>
    <n v="36"/>
    <x v="15"/>
    <n v="1450"/>
    <n v="7"/>
    <n v="7"/>
    <n v="247"/>
    <n v="244"/>
    <n v="246"/>
    <n v="2250"/>
    <m/>
    <s v=""/>
    <s v="Naturally Aspirated"/>
    <s v="Yes"/>
  </r>
  <r>
    <n v="2025"/>
    <s v="Toyota"/>
    <s v="TOYOTA"/>
    <s v="SIENNA AWD"/>
    <n v="2.5"/>
    <n v="4"/>
    <s v="Auto(AV-S6)"/>
    <n v="6"/>
    <s v="All Wheel Drive"/>
    <n v="34"/>
    <n v="36"/>
    <n v="35"/>
    <x v="16"/>
    <n v="1500"/>
    <n v="7"/>
    <n v="7"/>
    <n v="256"/>
    <n v="249"/>
    <n v="253"/>
    <n v="2000"/>
    <m/>
    <s v=""/>
    <s v="Naturally Aspirated"/>
    <s v="Yes"/>
  </r>
  <r>
    <n v="2025"/>
    <s v="BMW"/>
    <s v="TOYOTA"/>
    <s v="Supra 2.0"/>
    <n v="2"/>
    <n v="4"/>
    <s v="Auto(S8)"/>
    <n v="8"/>
    <s v="2-Wheel Drive, Rear"/>
    <n v="25"/>
    <n v="31"/>
    <n v="27"/>
    <x v="8"/>
    <n v="2350"/>
    <n v="5"/>
    <n v="5"/>
    <n v="350"/>
    <n v="288"/>
    <n v="322"/>
    <m/>
    <n v="2250"/>
    <s v=""/>
    <s v="Turbocharged"/>
    <s v="Yes"/>
  </r>
  <r>
    <n v="2025"/>
    <s v="BMW"/>
    <s v="TOYOTA"/>
    <s v="Supra 3.0"/>
    <n v="3"/>
    <n v="6"/>
    <s v="Auto(S8)"/>
    <n v="8"/>
    <s v="2-Wheel Drive, Rear"/>
    <n v="23"/>
    <n v="31"/>
    <n v="26"/>
    <x v="8"/>
    <n v="2450"/>
    <n v="5"/>
    <n v="5"/>
    <n v="385"/>
    <n v="289"/>
    <n v="342"/>
    <m/>
    <n v="2750"/>
    <s v=""/>
    <s v="Turbocharged"/>
    <s v="Yes"/>
  </r>
  <r>
    <n v="2025"/>
    <s v="BMW"/>
    <s v="TOYOTA"/>
    <s v="Supra 3.0"/>
    <n v="3"/>
    <n v="6"/>
    <s v="Manual(M6)"/>
    <n v="6"/>
    <s v="2-Wheel Drive, Rear"/>
    <n v="19"/>
    <n v="27"/>
    <n v="21"/>
    <x v="8"/>
    <n v="3050"/>
    <n v="4"/>
    <n v="4"/>
    <n v="476"/>
    <n v="331"/>
    <n v="411"/>
    <m/>
    <n v="5750"/>
    <s v=""/>
    <s v="Turbocharged"/>
    <s v="No"/>
  </r>
  <r>
    <n v="2025"/>
    <s v="Toyota"/>
    <s v="TOYOTA"/>
    <s v="TACOMA 2WD"/>
    <n v="2.4"/>
    <n v="4"/>
    <s v="Auto(S8)"/>
    <n v="8"/>
    <s v="2-Wheel Drive, Rear"/>
    <n v="20"/>
    <n v="26"/>
    <n v="23"/>
    <x v="18"/>
    <n v="2300"/>
    <n v="5"/>
    <n v="5"/>
    <n v="435"/>
    <n v="343"/>
    <n v="394"/>
    <m/>
    <n v="2000"/>
    <s v=""/>
    <s v="Turbocharged"/>
    <s v="No"/>
  </r>
  <r>
    <n v="2025"/>
    <s v="Toyota"/>
    <s v="TOYOTA"/>
    <s v="TACOMA 4WD"/>
    <n v="2.4"/>
    <n v="4"/>
    <s v="Auto(S8)"/>
    <n v="8"/>
    <s v="Part-time 4-Wheel Drive"/>
    <n v="19"/>
    <n v="24"/>
    <n v="21"/>
    <x v="17"/>
    <n v="2500"/>
    <n v="4"/>
    <n v="4"/>
    <n v="472"/>
    <n v="364"/>
    <n v="424"/>
    <m/>
    <n v="3000"/>
    <s v=""/>
    <s v="Turbocharged"/>
    <s v="No"/>
  </r>
  <r>
    <n v="2025"/>
    <s v="Toyota"/>
    <s v="TOYOTA"/>
    <s v="TACOMA 4WD MT"/>
    <n v="2.4"/>
    <n v="4"/>
    <s v="Manual(M6)"/>
    <n v="6"/>
    <s v="Part-time 4-Wheel Drive"/>
    <n v="18"/>
    <n v="23"/>
    <n v="20"/>
    <x v="17"/>
    <n v="2600"/>
    <n v="4"/>
    <n v="4"/>
    <n v="499"/>
    <n v="393"/>
    <n v="452"/>
    <m/>
    <n v="3500"/>
    <s v=""/>
    <s v="Turbocharged"/>
    <s v="No"/>
  </r>
  <r>
    <n v="2025"/>
    <s v="Toyota"/>
    <s v="TOYOTA"/>
    <s v="TACOMA HYBRID 4WD"/>
    <n v="2.4"/>
    <n v="4"/>
    <s v="Auto(S8)"/>
    <n v="8"/>
    <s v="Part-time 4-Wheel Drive"/>
    <n v="22"/>
    <n v="24"/>
    <n v="23"/>
    <x v="13"/>
    <n v="2300"/>
    <n v="5"/>
    <n v="5"/>
    <n v="403"/>
    <n v="366"/>
    <n v="386"/>
    <m/>
    <n v="2000"/>
    <s v=""/>
    <s v="Turbocharged"/>
    <s v="Yes"/>
  </r>
  <r>
    <n v="2025"/>
    <s v="Toyota"/>
    <s v="TOYOTA"/>
    <s v="TACOMA HYBRID 4WD"/>
    <n v="2.4"/>
    <n v="4"/>
    <s v="Auto(S8)"/>
    <n v="8"/>
    <s v="4-Wheel Drive"/>
    <n v="23"/>
    <n v="24"/>
    <n v="23"/>
    <x v="13"/>
    <n v="2300"/>
    <n v="5"/>
    <n v="5"/>
    <n v="393"/>
    <n v="365"/>
    <n v="380"/>
    <m/>
    <n v="2000"/>
    <s v=""/>
    <s v="Turbocharged"/>
    <s v="Yes"/>
  </r>
  <r>
    <n v="2025"/>
    <s v="Toyota"/>
    <s v="TOYOTA"/>
    <s v="TACOMA SR5/SPORT/OFFROAD/LIMITED 4WD"/>
    <n v="2.4"/>
    <n v="4"/>
    <s v="Auto(S8)"/>
    <n v="8"/>
    <s v="Part-time 4-Wheel Drive"/>
    <n v="19"/>
    <n v="23"/>
    <n v="21"/>
    <x v="17"/>
    <n v="2500"/>
    <n v="4"/>
    <n v="4"/>
    <n v="469"/>
    <n v="388"/>
    <n v="433"/>
    <m/>
    <n v="3000"/>
    <s v=""/>
    <s v="Turbocharged"/>
    <s v="No"/>
  </r>
  <r>
    <n v="2025"/>
    <s v="Toyota"/>
    <s v="TOYOTA"/>
    <s v="TACOMA SR5/SPORT/OFFROAD/LIMITED 4WD"/>
    <n v="2.4"/>
    <n v="4"/>
    <s v="Auto(S8)"/>
    <n v="8"/>
    <s v="Part-time 4-Wheel Drive"/>
    <n v="20"/>
    <n v="23"/>
    <n v="21"/>
    <x v="17"/>
    <n v="2500"/>
    <n v="4"/>
    <n v="4"/>
    <n v="448"/>
    <n v="386"/>
    <n v="420"/>
    <m/>
    <n v="3000"/>
    <s v=""/>
    <s v="Turbocharged"/>
    <s v="Yes"/>
  </r>
  <r>
    <n v="2025"/>
    <s v="Toyota"/>
    <s v="TOYOTA"/>
    <s v="TACOMA SR5/SPORT/OFFROAD/LIMITED 4WD"/>
    <n v="2.4"/>
    <n v="4"/>
    <s v="Auto(S8)"/>
    <n v="8"/>
    <s v="Part-time 4-Wheel Drive"/>
    <n v="19"/>
    <n v="24"/>
    <n v="21"/>
    <x v="17"/>
    <n v="2500"/>
    <n v="4"/>
    <n v="4"/>
    <n v="473"/>
    <n v="365"/>
    <n v="424"/>
    <m/>
    <n v="3000"/>
    <s v=""/>
    <s v="Turbocharged"/>
    <s v="No"/>
  </r>
  <r>
    <n v="2025"/>
    <s v="Toyota"/>
    <s v="TOYOTA"/>
    <s v="TACOMA SR5/SPORT/PRERUNNER 2WD"/>
    <n v="2.4"/>
    <n v="4"/>
    <s v="Auto(S8)"/>
    <n v="8"/>
    <s v="2-Wheel Drive, Rear"/>
    <n v="20"/>
    <n v="24"/>
    <n v="22"/>
    <x v="18"/>
    <n v="2400"/>
    <n v="5"/>
    <n v="5"/>
    <n v="436"/>
    <n v="365"/>
    <n v="404"/>
    <m/>
    <n v="2500"/>
    <s v=""/>
    <s v="Turbocharged"/>
    <s v="Yes"/>
  </r>
  <r>
    <n v="2025"/>
    <s v="Toyota"/>
    <s v="TOYOTA"/>
    <s v="TACOMA SR5/SPORT/PRERUNNER 2WD"/>
    <n v="2.4"/>
    <n v="4"/>
    <s v="Auto(S8)"/>
    <n v="8"/>
    <s v="2-Wheel Drive, Rear"/>
    <n v="21"/>
    <n v="26"/>
    <n v="23"/>
    <x v="18"/>
    <n v="2300"/>
    <n v="5"/>
    <n v="5"/>
    <n v="431"/>
    <n v="347"/>
    <n v="393"/>
    <m/>
    <n v="2000"/>
    <s v=""/>
    <s v="Turbocharged"/>
    <s v="Yes"/>
  </r>
  <r>
    <n v="2025"/>
    <s v="Toyota"/>
    <s v="TOYOTA"/>
    <s v="TOYOTA CROWN AWD"/>
    <n v="2.5"/>
    <n v="4"/>
    <s v="Auto(AV)"/>
    <n v="1"/>
    <s v="All Wheel Drive"/>
    <n v="42"/>
    <n v="41"/>
    <n v="41"/>
    <x v="6"/>
    <n v="1300"/>
    <n v="7"/>
    <n v="7"/>
    <n v="209"/>
    <n v="214"/>
    <n v="214"/>
    <n v="3000"/>
    <m/>
    <s v=""/>
    <s v="Naturally Aspirated"/>
    <s v="Yes"/>
  </r>
  <r>
    <n v="2025"/>
    <s v="Toyota"/>
    <s v="TOYOTA"/>
    <s v="TOYOTA CROWN AWD"/>
    <n v="2.4"/>
    <n v="4"/>
    <s v="Auto(AV-S6)"/>
    <n v="6"/>
    <s v="All Wheel Drive"/>
    <n v="29"/>
    <n v="32"/>
    <n v="30"/>
    <x v="6"/>
    <n v="1750"/>
    <n v="6"/>
    <n v="6"/>
    <n v="303"/>
    <n v="272"/>
    <n v="293"/>
    <n v="750"/>
    <m/>
    <s v=""/>
    <s v="Turbocharged"/>
    <s v="Yes"/>
  </r>
  <r>
    <n v="2025"/>
    <s v="Toyota"/>
    <s v="TOYOTA"/>
    <s v="TOYOTA CROWN SIGNIA AWD"/>
    <n v="2.5"/>
    <n v="4"/>
    <s v="Auto(AV-S6)"/>
    <n v="6"/>
    <s v="All Wheel Drive"/>
    <n v="39"/>
    <n v="37"/>
    <n v="38"/>
    <x v="0"/>
    <n v="1400"/>
    <n v="7"/>
    <n v="7"/>
    <n v="226"/>
    <n v="237"/>
    <n v="231"/>
    <n v="2500"/>
    <m/>
    <s v=""/>
    <s v="Naturally Aspirated"/>
    <s v="Yes"/>
  </r>
  <r>
    <n v="2025"/>
    <s v="Toyota"/>
    <s v="TOYOTA"/>
    <s v="TUNDRA 2WD"/>
    <n v="3.4"/>
    <n v="6"/>
    <s v="Auto(S10)"/>
    <n v="10"/>
    <s v="2-Wheel Drive, Rear"/>
    <n v="18"/>
    <n v="23"/>
    <n v="20"/>
    <x v="12"/>
    <n v="2600"/>
    <n v="4"/>
    <n v="4"/>
    <n v="497"/>
    <n v="392"/>
    <n v="450"/>
    <m/>
    <n v="3500"/>
    <s v=""/>
    <s v="Turbocharged"/>
    <s v="Yes"/>
  </r>
  <r>
    <n v="2025"/>
    <s v="Toyota"/>
    <s v="TOYOTA"/>
    <s v="TUNDRA 2WD"/>
    <n v="3.4"/>
    <n v="6"/>
    <s v="Auto(S10)"/>
    <n v="10"/>
    <s v="2-Wheel Drive, Rear"/>
    <n v="18"/>
    <n v="23"/>
    <n v="20"/>
    <x v="12"/>
    <n v="2600"/>
    <n v="4"/>
    <n v="4"/>
    <n v="493"/>
    <n v="379"/>
    <n v="442"/>
    <m/>
    <n v="3500"/>
    <s v=""/>
    <s v="Turbocharged"/>
    <s v="Yes"/>
  </r>
  <r>
    <n v="2025"/>
    <s v="Toyota"/>
    <s v="TOYOTA"/>
    <s v="TUNDRA 2WD"/>
    <n v="3.4"/>
    <n v="6"/>
    <s v="Auto(S10)"/>
    <n v="10"/>
    <s v="2-Wheel Drive, Rear"/>
    <n v="20"/>
    <n v="24"/>
    <n v="22"/>
    <x v="12"/>
    <n v="2400"/>
    <n v="5"/>
    <n v="5"/>
    <n v="441"/>
    <n v="370"/>
    <n v="409"/>
    <m/>
    <n v="2500"/>
    <s v=""/>
    <s v="Turbocharged"/>
    <s v="Yes"/>
  </r>
  <r>
    <n v="2025"/>
    <s v="Toyota"/>
    <s v="TOYOTA"/>
    <s v="TUNDRA 4WD"/>
    <n v="3.4"/>
    <n v="6"/>
    <s v="Auto(S10)"/>
    <n v="10"/>
    <s v="Part-time 4-Wheel Drive"/>
    <n v="17"/>
    <n v="22"/>
    <n v="19"/>
    <x v="13"/>
    <n v="2750"/>
    <n v="4"/>
    <n v="4"/>
    <n v="510"/>
    <n v="398"/>
    <n v="460"/>
    <m/>
    <n v="4250"/>
    <s v=""/>
    <s v="Turbocharged"/>
    <s v="Yes"/>
  </r>
  <r>
    <n v="2025"/>
    <s v="Toyota"/>
    <s v="TOYOTA"/>
    <s v="TUNDRA 4WD"/>
    <n v="3.4"/>
    <n v="6"/>
    <s v="Auto(S10)"/>
    <n v="10"/>
    <s v="Part-time 4-Wheel Drive"/>
    <n v="17"/>
    <n v="22"/>
    <n v="19"/>
    <x v="13"/>
    <n v="2750"/>
    <n v="4"/>
    <n v="4"/>
    <n v="518"/>
    <n v="408"/>
    <n v="468"/>
    <m/>
    <n v="4250"/>
    <s v=""/>
    <s v="Turbocharged"/>
    <s v="Yes"/>
  </r>
  <r>
    <n v="2025"/>
    <s v="Toyota"/>
    <s v="TOYOTA"/>
    <s v="TUNDRA 4WD"/>
    <n v="3.4"/>
    <n v="6"/>
    <s v="Auto(S10)"/>
    <n v="10"/>
    <s v="Part-time 4-Wheel Drive"/>
    <n v="19"/>
    <n v="22"/>
    <n v="20"/>
    <x v="13"/>
    <n v="2600"/>
    <n v="4"/>
    <n v="4"/>
    <n v="474"/>
    <n v="397"/>
    <n v="439"/>
    <m/>
    <n v="3500"/>
    <s v=""/>
    <s v="Turbocharged"/>
    <s v="Yes"/>
  </r>
  <r>
    <n v="2025"/>
    <s v="Toyota"/>
    <s v="TOYOTA"/>
    <s v="TUNDRA 4WD PRO"/>
    <n v="3.4"/>
    <n v="6"/>
    <s v="Auto(S10)"/>
    <n v="10"/>
    <s v="Part-time 4-Wheel Drive"/>
    <n v="18"/>
    <n v="20"/>
    <n v="19"/>
    <x v="13"/>
    <n v="2750"/>
    <n v="4"/>
    <n v="4"/>
    <n v="483"/>
    <n v="435"/>
    <n v="461"/>
    <m/>
    <n v="4250"/>
    <s v=""/>
    <s v="Turbocharged"/>
    <s v="Yes"/>
  </r>
  <r>
    <n v="2025"/>
    <s v="Volkswagen Group of"/>
    <s v="Volkswagen"/>
    <s v="Atlas"/>
    <n v="2"/>
    <n v="4"/>
    <s v="Auto(S8)"/>
    <n v="8"/>
    <s v="2-Wheel Drive, Front"/>
    <n v="20"/>
    <n v="26"/>
    <n v="22"/>
    <x v="4"/>
    <n v="2400"/>
    <n v="5"/>
    <n v="5"/>
    <n v="452"/>
    <n v="340"/>
    <n v="402"/>
    <m/>
    <n v="2500"/>
    <s v=""/>
    <s v="Turbocharged"/>
    <s v="Yes"/>
  </r>
  <r>
    <n v="2025"/>
    <s v="Volkswagen Group of"/>
    <s v="Volkswagen"/>
    <s v="Atlas 4Motion Peak Edition"/>
    <n v="2"/>
    <n v="4"/>
    <s v="Auto(S8)"/>
    <n v="8"/>
    <s v="All Wheel Drive"/>
    <n v="18"/>
    <n v="25"/>
    <n v="20"/>
    <x v="2"/>
    <n v="2600"/>
    <n v="4"/>
    <n v="4"/>
    <n v="499"/>
    <n v="358"/>
    <n v="436"/>
    <m/>
    <n v="3500"/>
    <s v=""/>
    <s v="Turbocharged"/>
    <s v="Yes"/>
  </r>
  <r>
    <n v="2025"/>
    <s v="Volkswagen Group of"/>
    <s v="Volkswagen"/>
    <s v="Atlas Cross Sport"/>
    <n v="2"/>
    <n v="4"/>
    <s v="Auto(S8)"/>
    <n v="8"/>
    <s v="2-Wheel Drive, Front"/>
    <n v="20"/>
    <n v="26"/>
    <n v="23"/>
    <x v="4"/>
    <n v="2300"/>
    <n v="5"/>
    <n v="5"/>
    <n v="437"/>
    <n v="336"/>
    <n v="392"/>
    <m/>
    <n v="2000"/>
    <s v=""/>
    <s v="Turbocharged"/>
    <s v="Yes"/>
  </r>
  <r>
    <n v="2025"/>
    <s v="Volkswagen Group of"/>
    <s v="Volkswagen"/>
    <s v="Atlas Cross Sport 4Motion"/>
    <n v="2"/>
    <n v="4"/>
    <s v="Auto(S8)"/>
    <n v="8"/>
    <s v="All Wheel Drive"/>
    <n v="19"/>
    <n v="26"/>
    <n v="21"/>
    <x v="2"/>
    <n v="2500"/>
    <n v="4"/>
    <n v="4"/>
    <n v="481"/>
    <n v="346"/>
    <n v="420"/>
    <m/>
    <n v="3000"/>
    <s v=""/>
    <s v="Turbocharged"/>
    <s v="Yes"/>
  </r>
  <r>
    <n v="2025"/>
    <s v="Volkswagen Group of"/>
    <s v="Volkswagen"/>
    <s v="Atlas SE 4Motion"/>
    <n v="2"/>
    <n v="4"/>
    <s v="Auto(S8)"/>
    <n v="8"/>
    <s v="All Wheel Drive"/>
    <n v="19"/>
    <n v="26"/>
    <n v="21"/>
    <x v="2"/>
    <n v="2500"/>
    <n v="4"/>
    <n v="4"/>
    <n v="481"/>
    <n v="346"/>
    <n v="420"/>
    <m/>
    <n v="3000"/>
    <s v=""/>
    <s v="Turbocharged"/>
    <s v="Yes"/>
  </r>
  <r>
    <n v="2025"/>
    <s v="Volkswagen Group of"/>
    <s v="Volkswagen"/>
    <s v="Atlas SEL 4Motion"/>
    <n v="2"/>
    <n v="4"/>
    <s v="Auto(S8)"/>
    <n v="8"/>
    <s v="All Wheel Drive"/>
    <n v="18"/>
    <n v="25"/>
    <n v="21"/>
    <x v="2"/>
    <n v="2500"/>
    <n v="4"/>
    <n v="4"/>
    <n v="486"/>
    <n v="357"/>
    <n v="428"/>
    <m/>
    <n v="3000"/>
    <s v=""/>
    <s v="Turbocharged"/>
    <s v="Yes"/>
  </r>
  <r>
    <n v="2025"/>
    <s v="Volkswagen Group of"/>
    <s v="Volkswagen"/>
    <s v="GLI"/>
    <n v="2"/>
    <n v="4"/>
    <s v="Auto(AM-S7)"/>
    <n v="7"/>
    <s v="2-Wheel Drive, Front"/>
    <n v="25"/>
    <n v="35"/>
    <n v="29"/>
    <x v="5"/>
    <n v="1800"/>
    <n v="6"/>
    <n v="6"/>
    <n v="360"/>
    <n v="252"/>
    <n v="311"/>
    <n v="500"/>
    <m/>
    <s v=""/>
    <s v="Turbocharged"/>
    <s v="Yes"/>
  </r>
  <r>
    <n v="2025"/>
    <s v="Volkswagen Group of"/>
    <s v="Volkswagen"/>
    <s v="GLI"/>
    <n v="2"/>
    <n v="4"/>
    <s v="Manual(M6)"/>
    <n v="6"/>
    <s v="2-Wheel Drive, Front"/>
    <n v="26"/>
    <n v="36"/>
    <n v="30"/>
    <x v="5"/>
    <n v="1750"/>
    <n v="6"/>
    <n v="6"/>
    <n v="346"/>
    <n v="247"/>
    <n v="301"/>
    <n v="750"/>
    <m/>
    <s v=""/>
    <s v="Turbocharged"/>
    <s v="Yes"/>
  </r>
  <r>
    <n v="2025"/>
    <s v="Volkswagen Group of"/>
    <s v="Volkswagen"/>
    <s v="Golf R"/>
    <n v="2"/>
    <n v="4"/>
    <s v="Auto(AM-S7)"/>
    <n v="7"/>
    <s v="All Wheel Drive"/>
    <n v="22"/>
    <n v="31"/>
    <n v="25"/>
    <x v="5"/>
    <n v="2550"/>
    <n v="5"/>
    <n v="5"/>
    <n v="397"/>
    <n v="289"/>
    <n v="349"/>
    <m/>
    <n v="3250"/>
    <s v=""/>
    <s v="Turbocharged"/>
    <s v="Yes"/>
  </r>
  <r>
    <n v="2025"/>
    <s v="Volkswagen Group of"/>
    <s v="Volkswagen"/>
    <s v="GTI"/>
    <n v="2"/>
    <n v="4"/>
    <s v="Auto(AM-S7)"/>
    <n v="7"/>
    <s v="2-Wheel Drive, Front"/>
    <n v="24"/>
    <n v="32"/>
    <n v="27"/>
    <x v="5"/>
    <n v="1950"/>
    <n v="5"/>
    <n v="5"/>
    <n v="365"/>
    <n v="278"/>
    <n v="326"/>
    <m/>
    <n v="250"/>
    <s v=""/>
    <s v="Turbocharged"/>
    <s v="Yes"/>
  </r>
  <r>
    <n v="2025"/>
    <s v="Volkswagen Group of"/>
    <s v="Volkswagen"/>
    <s v="Jetta"/>
    <n v="1.5"/>
    <n v="4"/>
    <s v="Auto(S8)"/>
    <n v="8"/>
    <s v="2-Wheel Drive, Front"/>
    <n v="29"/>
    <n v="39"/>
    <n v="33"/>
    <x v="5"/>
    <n v="1600"/>
    <n v="6"/>
    <n v="6"/>
    <n v="307"/>
    <n v="227"/>
    <n v="271"/>
    <n v="1500"/>
    <m/>
    <s v=""/>
    <s v="Turbocharged"/>
    <s v="Yes"/>
  </r>
  <r>
    <n v="2025"/>
    <s v="Volkswagen Group of"/>
    <s v="Volkswagen"/>
    <s v="Jetta Sport/SE/SEL"/>
    <n v="1.5"/>
    <n v="4"/>
    <s v="Auto(S8)"/>
    <n v="8"/>
    <s v="2-Wheel Drive, Front"/>
    <n v="29"/>
    <n v="40"/>
    <n v="33"/>
    <x v="5"/>
    <n v="1600"/>
    <n v="6"/>
    <n v="6"/>
    <n v="310"/>
    <n v="224"/>
    <n v="271"/>
    <n v="1500"/>
    <m/>
    <s v=""/>
    <s v="Turbocharged"/>
    <s v="Yes"/>
  </r>
  <r>
    <n v="2025"/>
    <s v="Volkswagen Group of"/>
    <s v="Volkswagen"/>
    <s v="Taos"/>
    <n v="1.5"/>
    <n v="4"/>
    <s v="Auto(S8)"/>
    <n v="8"/>
    <s v="2-Wheel Drive, Front"/>
    <n v="28"/>
    <n v="36"/>
    <n v="31"/>
    <x v="4"/>
    <n v="1700"/>
    <n v="6"/>
    <n v="6"/>
    <n v="312"/>
    <n v="247"/>
    <n v="287"/>
    <n v="1000"/>
    <m/>
    <s v=""/>
    <s v="Turbocharged"/>
    <s v="Yes"/>
  </r>
  <r>
    <n v="2025"/>
    <s v="Volkswagen Group of"/>
    <s v="Volkswagen"/>
    <s v="Taos 4Motion"/>
    <n v="1.5"/>
    <n v="4"/>
    <s v="Auto(S8)"/>
    <n v="8"/>
    <s v="All Wheel Drive"/>
    <n v="25"/>
    <n v="33"/>
    <n v="28"/>
    <x v="2"/>
    <n v="1900"/>
    <n v="6"/>
    <n v="6"/>
    <n v="355"/>
    <n v="274"/>
    <n v="318"/>
    <n v="0"/>
    <m/>
    <s v=""/>
    <s v="Turbocharged"/>
    <s v="Yes"/>
  </r>
  <r>
    <n v="2025"/>
    <s v="Volkswagen Group of"/>
    <s v="Volkswagen"/>
    <s v="Tiguan"/>
    <n v="2"/>
    <n v="4"/>
    <s v="Auto(S8)"/>
    <n v="8"/>
    <s v="2-Wheel Drive, Front"/>
    <n v="25"/>
    <n v="32"/>
    <n v="28"/>
    <x v="4"/>
    <n v="1900"/>
    <n v="6"/>
    <n v="6"/>
    <n v="355"/>
    <n v="277"/>
    <n v="320"/>
    <n v="0"/>
    <m/>
    <s v=""/>
    <s v="Turbocharged"/>
    <s v="Yes"/>
  </r>
  <r>
    <n v="2025"/>
    <s v="Volkswagen Group of"/>
    <s v="Volkswagen"/>
    <s v="Tiguan 4Motion"/>
    <n v="2"/>
    <n v="4"/>
    <s v="Auto(S8)"/>
    <n v="8"/>
    <s v="All Wheel Drive"/>
    <n v="22"/>
    <n v="30"/>
    <n v="25"/>
    <x v="2"/>
    <n v="2100"/>
    <n v="5"/>
    <n v="5"/>
    <n v="398"/>
    <n v="294"/>
    <n v="351"/>
    <m/>
    <n v="1000"/>
    <s v=""/>
    <s v="Turbocharged"/>
    <s v="Yes"/>
  </r>
  <r>
    <n v="2025"/>
    <s v="Volkswagen Group of"/>
    <s v="Volkswagen"/>
    <s v="Tiguan S"/>
    <n v="2"/>
    <n v="4"/>
    <s v="Auto(S8)"/>
    <n v="8"/>
    <s v="2-Wheel Drive, Front"/>
    <n v="26"/>
    <n v="34"/>
    <n v="29"/>
    <x v="4"/>
    <n v="1800"/>
    <n v="6"/>
    <n v="6"/>
    <n v="345"/>
    <n v="260"/>
    <n v="307"/>
    <n v="500"/>
    <m/>
    <s v=""/>
    <s v="Turbocharged"/>
    <s v="Yes"/>
  </r>
  <r>
    <n v="2025"/>
    <s v="Volvo"/>
    <s v="Volvo Cars of North America, LLC"/>
    <s v="S60 B5"/>
    <n v="2"/>
    <n v="4"/>
    <s v="Auto(S8)"/>
    <n v="8"/>
    <s v="2-Wheel Drive, Front"/>
    <n v="27"/>
    <n v="36"/>
    <n v="30"/>
    <x v="5"/>
    <n v="2100"/>
    <n v="6"/>
    <n v="6"/>
    <n v="333"/>
    <n v="248"/>
    <n v="295"/>
    <m/>
    <n v="1000"/>
    <s v=""/>
    <s v="Turbocharged"/>
    <s v="Yes"/>
  </r>
  <r>
    <n v="2025"/>
    <s v="Volvo"/>
    <s v="Volvo Cars of North America, LLC"/>
    <s v="S60 B5 AWD"/>
    <n v="2"/>
    <n v="4"/>
    <s v="Auto(S8)"/>
    <n v="8"/>
    <s v="All Wheel Drive"/>
    <n v="25"/>
    <n v="34"/>
    <n v="28"/>
    <x v="5"/>
    <n v="2300"/>
    <n v="6"/>
    <n v="6"/>
    <n v="352"/>
    <n v="265"/>
    <n v="313"/>
    <m/>
    <n v="2000"/>
    <s v=""/>
    <s v="Turbocharged"/>
    <s v="Yes"/>
  </r>
  <r>
    <n v="2025"/>
    <s v="Volvo"/>
    <s v="Volvo Cars of North America, LLC"/>
    <s v="S90 B6 AWD"/>
    <n v="2"/>
    <n v="4"/>
    <s v="Auto(S8)"/>
    <n v="8"/>
    <s v="All Wheel Drive"/>
    <n v="23"/>
    <n v="31"/>
    <n v="26"/>
    <x v="6"/>
    <n v="2450"/>
    <n v="5"/>
    <n v="5"/>
    <n v="386"/>
    <n v="287"/>
    <n v="341"/>
    <m/>
    <n v="2750"/>
    <s v=""/>
    <s v="Turbocharged+Supercharged"/>
    <s v="Yes"/>
  </r>
  <r>
    <n v="2025"/>
    <s v="Volvo"/>
    <s v="Volvo Cars of North America, LLC"/>
    <s v="V90CC B6 AWD"/>
    <n v="2"/>
    <n v="4"/>
    <s v="Auto(S8)"/>
    <n v="8"/>
    <s v="All Wheel Drive"/>
    <n v="22"/>
    <n v="29"/>
    <n v="25"/>
    <x v="10"/>
    <n v="2550"/>
    <n v="5"/>
    <n v="5"/>
    <n v="403"/>
    <n v="304"/>
    <n v="358"/>
    <m/>
    <n v="3250"/>
    <s v=""/>
    <s v="Turbocharged+Supercharged"/>
    <s v="Yes"/>
  </r>
  <r>
    <n v="2025"/>
    <s v="Volvo"/>
    <s v="Volvo Cars of North America, LLC"/>
    <s v="XC40 B5 AWD"/>
    <n v="2"/>
    <n v="4"/>
    <s v="Auto(S8)"/>
    <n v="8"/>
    <s v="All Wheel Drive"/>
    <n v="23"/>
    <n v="30"/>
    <n v="26"/>
    <x v="2"/>
    <n v="2450"/>
    <n v="5"/>
    <n v="5"/>
    <n v="381"/>
    <n v="296"/>
    <n v="343"/>
    <m/>
    <n v="2750"/>
    <s v=""/>
    <s v="Turbocharged"/>
    <s v="Yes"/>
  </r>
  <r>
    <n v="2025"/>
    <s v="Volvo"/>
    <s v="Volvo Cars of North America, LLC"/>
    <s v="XC60 B5 AWD"/>
    <n v="2"/>
    <n v="4"/>
    <s v="Auto(S8)"/>
    <n v="8"/>
    <s v="All Wheel Drive"/>
    <n v="23"/>
    <n v="30"/>
    <n v="26"/>
    <x v="2"/>
    <n v="2450"/>
    <n v="5"/>
    <n v="5"/>
    <n v="384"/>
    <n v="292"/>
    <n v="343"/>
    <m/>
    <n v="2750"/>
    <s v=""/>
    <s v="Turbocharged"/>
    <s v="Yes"/>
  </r>
  <r>
    <n v="2025"/>
    <s v="Volvo"/>
    <s v="Volvo Cars of North America, LLC"/>
    <s v="XC90 B5 AWD"/>
    <n v="2"/>
    <n v="4"/>
    <s v="Auto(S8)"/>
    <n v="8"/>
    <s v="All Wheel Drive"/>
    <n v="23"/>
    <n v="30"/>
    <n v="26"/>
    <x v="3"/>
    <n v="2450"/>
    <n v="5"/>
    <n v="5"/>
    <n v="381"/>
    <n v="298"/>
    <n v="343"/>
    <m/>
    <n v="2750"/>
    <s v=""/>
    <s v="Turbocharged"/>
    <s v="Yes"/>
  </r>
  <r>
    <n v="2025"/>
    <s v="Volvo"/>
    <s v="Volvo Cars of North America, LLC"/>
    <s v="XC90 B6 AWD"/>
    <n v="2"/>
    <n v="4"/>
    <s v="Auto(S8)"/>
    <n v="8"/>
    <s v="All Wheel Drive"/>
    <n v="20"/>
    <n v="26"/>
    <n v="23"/>
    <x v="3"/>
    <n v="2750"/>
    <n v="5"/>
    <n v="5"/>
    <n v="435"/>
    <n v="342"/>
    <n v="393"/>
    <m/>
    <n v="4250"/>
    <s v=""/>
    <s v="Turbocharged+Supercharged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1D7FD-1870-42B7-9AF9-62B6650CF34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2" firstHeaderRow="0" firstDataRow="1" firstDataCol="1"/>
  <pivotFields count="25">
    <pivotField showAll="0"/>
    <pivotField showAll="0"/>
    <pivotField showAll="0"/>
    <pivotField showAll="0"/>
    <pivotField showAll="0"/>
    <pivotField axis="axisRow" showAll="0">
      <items count="19">
        <item x="3"/>
        <item x="4"/>
        <item x="11"/>
        <item x="14"/>
        <item x="10"/>
        <item x="8"/>
        <item x="6"/>
        <item x="7"/>
        <item x="13"/>
        <item x="12"/>
        <item x="16"/>
        <item x="17"/>
        <item x="15"/>
        <item x="9"/>
        <item x="2"/>
        <item x="0"/>
        <item x="1"/>
        <item x="5"/>
        <item t="default"/>
      </items>
    </pivotField>
    <pivotField showAll="0"/>
    <pivotField showAll="0"/>
    <pivotField dataField="1"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g MPGe" fld="8" subtotal="average" baseField="5" baseItem="0" numFmtId="1"/>
    <dataField name="Avg Annual Fuel Cost" fld="9" subtotal="average" baseField="5" baseItem="0" numFmtId="164"/>
    <dataField name="Avg GHG Rating" fld="11" subtotal="average" baseField="5" baseItem="11" numFmtId="2"/>
    <dataField name="Avg Range(miles)" fld="17" subtotal="average" baseField="5" baseItem="0" numFmtId="1"/>
    <dataField name="Average of Savings_5yr" fld="12" subtotal="average" baseField="5" baseItem="8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F703F-3481-434F-9388-B4FF410C4CE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4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21">
        <item x="5"/>
        <item x="1"/>
        <item x="6"/>
        <item x="10"/>
        <item x="7"/>
        <item x="18"/>
        <item x="17"/>
        <item x="0"/>
        <item x="4"/>
        <item x="2"/>
        <item x="19"/>
        <item x="14"/>
        <item x="15"/>
        <item x="16"/>
        <item x="12"/>
        <item x="13"/>
        <item x="11"/>
        <item x="3"/>
        <item x="9"/>
        <item x="8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g MPG" fld="11" subtotal="average" baseField="12" baseItem="0" numFmtId="1"/>
    <dataField name="Avg Annual Fuel Cost" fld="13" subtotal="average" baseField="12" baseItem="0" numFmtId="165"/>
    <dataField name="Avg GHG Rating" fld="15" subtotal="average" baseField="12" baseItem="0" numFmtId="166"/>
    <dataField name="Average of Extra_Spend_5yr" fld="20" subtotal="average" baseField="12" baseItem="7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6C8DC89-E9E0-4D2F-B11F-156BED17A9C4}" autoFormatId="16" applyNumberFormats="0" applyBorderFormats="0" applyFontFormats="0" applyPatternFormats="0" applyAlignmentFormats="0" applyWidthHeightFormats="0">
  <queryTableRefresh nextId="26">
    <queryTableFields count="25">
      <queryTableField id="1" name="Model_Year" tableColumnId="1"/>
      <queryTableField id="2" name="Manufacturer" tableColumnId="2"/>
      <queryTableField id="3" name="Brand" tableColumnId="3"/>
      <queryTableField id="4" name="Model" tableColumnId="4"/>
      <queryTableField id="5" name="Drive_Type" tableColumnId="5"/>
      <queryTableField id="6" name="Vehicle_Class" tableColumnId="6"/>
      <queryTableField id="7" name="City_MPGe" tableColumnId="7"/>
      <queryTableField id="8" name="Hwy_MPGe" tableColumnId="8"/>
      <queryTableField id="9" name="Combined_MPGe" tableColumnId="9"/>
      <queryTableField id="10" name="Annual_Fuel_Cost" tableColumnId="10"/>
      <queryTableField id="11" name="FE_Rating" tableColumnId="11"/>
      <queryTableField id="12" name="GHG_Rating" tableColumnId="12"/>
      <queryTableField id="13" name="Savings_5yr" tableColumnId="13"/>
      <queryTableField id="14" name="Extra_Spend_5yr" tableColumnId="14"/>
      <queryTableField id="15" name="City_CO2" tableColumnId="15"/>
      <queryTableField id="16" name="Hwy_CO2" tableColumnId="16"/>
      <queryTableField id="17" name="Combined_CO2" tableColumnId="17"/>
      <queryTableField id="18" name="Range_Miles_Combined" tableColumnId="18"/>
      <queryTableField id="19" name="Range_Miles_City" tableColumnId="19"/>
      <queryTableField id="20" name="Range_Miles_Hwy" tableColumnId="20"/>
      <queryTableField id="21" name="Charge_Time_240V_hrs" tableColumnId="21"/>
      <queryTableField id="22" name="Charge_Time_120V_hrs" tableColumnId="22"/>
      <queryTableField id="23" name="Motor_Power_kW" tableColumnId="23"/>
      <queryTableField id="24" name="Battery_Type" tableColumnId="24"/>
      <queryTableField id="25" name="Regen_Braking_Type" tableColumnId="2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83D018B-75B6-42E8-B780-C3CF47C286E5}" autoFormatId="16" applyNumberFormats="0" applyBorderFormats="0" applyFontFormats="0" applyPatternFormats="0" applyAlignmentFormats="0" applyWidthHeightFormats="0">
  <queryTableRefresh nextId="25">
    <queryTableFields count="24">
      <queryTableField id="1" name="Model_Year" tableColumnId="1"/>
      <queryTableField id="2" name="Manufacturer" tableColumnId="2"/>
      <queryTableField id="3" name="Brand" tableColumnId="3"/>
      <queryTableField id="4" name="Model" tableColumnId="4"/>
      <queryTableField id="5" name="Engine_Displacement" tableColumnId="5"/>
      <queryTableField id="6" name="Cylinders" tableColumnId="6"/>
      <queryTableField id="7" name="Transmission" tableColumnId="7"/>
      <queryTableField id="8" name="Num_Gears" tableColumnId="8"/>
      <queryTableField id="9" name="Drive_Type" tableColumnId="9"/>
      <queryTableField id="10" name="City_MPG" tableColumnId="10"/>
      <queryTableField id="11" name="Hwy_MPG" tableColumnId="11"/>
      <queryTableField id="12" name="Combined_MPG" tableColumnId="12"/>
      <queryTableField id="13" name="Vehicle_Class" tableColumnId="13"/>
      <queryTableField id="14" name="Annual_Fuel_Cost" tableColumnId="14"/>
      <queryTableField id="15" name="FE_Rating" tableColumnId="15"/>
      <queryTableField id="16" name="GHG_Rating" tableColumnId="16"/>
      <queryTableField id="17" name="City_CO2" tableColumnId="17"/>
      <queryTableField id="18" name="Hwy_CO2" tableColumnId="18"/>
      <queryTableField id="19" name="Combined_CO2" tableColumnId="19"/>
      <queryTableField id="20" name="Savings_5yr" tableColumnId="20"/>
      <queryTableField id="21" name="Extra_Spend_5yr" tableColumnId="21"/>
      <queryTableField id="22" name="Gas_Guzzler" tableColumnId="22"/>
      <queryTableField id="23" name="Air_Aspiration" tableColumnId="23"/>
      <queryTableField id="24" name="StopStart_System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FEE731-2767-44AE-82F3-B26E092998A3}" name="EPA_EV_Clean" displayName="EPA_EV_Clean" ref="A1:Y666" tableType="queryTable" totalsRowShown="0">
  <autoFilter ref="A1:Y666" xr:uid="{80FEE731-2767-44AE-82F3-B26E092998A3}"/>
  <tableColumns count="25">
    <tableColumn id="1" xr3:uid="{16F75930-0646-44A7-872B-BF599472A207}" uniqueName="1" name="Model_Year" queryTableFieldId="1"/>
    <tableColumn id="2" xr3:uid="{12F81742-60A6-42B0-AC9D-0E6C6B3E4860}" uniqueName="2" name="Manufacturer" queryTableFieldId="2" dataDxfId="21"/>
    <tableColumn id="3" xr3:uid="{52081E18-4833-4E36-8019-CBA33C1241CF}" uniqueName="3" name="Brand" queryTableFieldId="3" dataDxfId="20"/>
    <tableColumn id="4" xr3:uid="{A305D24A-0ECE-48E4-80D9-767EC9834760}" uniqueName="4" name="Model" queryTableFieldId="4" dataDxfId="19"/>
    <tableColumn id="5" xr3:uid="{CFD4C4BB-581A-4910-A574-3AA4EA240DD5}" uniqueName="5" name="Drive_Type" queryTableFieldId="5" dataDxfId="18"/>
    <tableColumn id="6" xr3:uid="{97B4EE5B-3B07-48EF-9E4A-81C5BBC25061}" uniqueName="6" name="Vehicle_Class" queryTableFieldId="6" dataDxfId="17"/>
    <tableColumn id="7" xr3:uid="{04DD04E3-EA74-4B79-996F-0D2940BDB618}" uniqueName="7" name="City_MPGe" queryTableFieldId="7"/>
    <tableColumn id="8" xr3:uid="{30260252-0814-4187-99D1-819183E4F4EF}" uniqueName="8" name="Hwy_MPGe" queryTableFieldId="8"/>
    <tableColumn id="9" xr3:uid="{013849D0-6C7F-4A7B-97D0-DCE639755379}" uniqueName="9" name="Combined_MPGe" queryTableFieldId="9"/>
    <tableColumn id="10" xr3:uid="{B980E973-07B9-4229-9396-971E841BEA9A}" uniqueName="10" name="Annual_Fuel_Cost" queryTableFieldId="10"/>
    <tableColumn id="11" xr3:uid="{38A12221-F5B3-4F5F-8E12-7E94E536042B}" uniqueName="11" name="FE_Rating" queryTableFieldId="11"/>
    <tableColumn id="12" xr3:uid="{1CDB10C8-DF3D-447F-8D82-677A9D72799B}" uniqueName="12" name="GHG_Rating" queryTableFieldId="12"/>
    <tableColumn id="13" xr3:uid="{9931DC1D-7632-481C-94A9-7CA07249323A}" uniqueName="13" name="Savings_5yr" queryTableFieldId="13"/>
    <tableColumn id="14" xr3:uid="{2ECC0784-F4DD-4AD6-BC2B-C58C359043F7}" uniqueName="14" name="Extra_Spend_5yr" queryTableFieldId="14" dataDxfId="16"/>
    <tableColumn id="15" xr3:uid="{1C65A8A6-C373-403B-8D01-6C809FC2C0AB}" uniqueName="15" name="City_CO2" queryTableFieldId="15"/>
    <tableColumn id="16" xr3:uid="{4DD6D355-13D8-4CE1-A792-179824F2BB34}" uniqueName="16" name="Hwy_CO2" queryTableFieldId="16"/>
    <tableColumn id="17" xr3:uid="{8EC608B6-A5E5-45F2-B2A9-81650A3BECA4}" uniqueName="17" name="Combined_CO2" queryTableFieldId="17"/>
    <tableColumn id="18" xr3:uid="{271811E7-A9FC-4800-BBF2-FE76F11E3FBF}" uniqueName="18" name="Range_Miles_Combined" queryTableFieldId="18"/>
    <tableColumn id="19" xr3:uid="{6214D789-A37F-4F39-9353-6870A64A6932}" uniqueName="19" name="Range_Miles_City" queryTableFieldId="19"/>
    <tableColumn id="20" xr3:uid="{2B9B35BE-5E9F-4E79-9081-909AE140DA9D}" uniqueName="20" name="Range_Miles_Hwy" queryTableFieldId="20"/>
    <tableColumn id="21" xr3:uid="{7726F420-81A1-4BCA-9195-B214487B82B2}" uniqueName="21" name="Charge_Time_240V_hrs" queryTableFieldId="21"/>
    <tableColumn id="22" xr3:uid="{328C8606-6424-4EF5-A49B-1E3D5EE013D5}" uniqueName="22" name="Charge_Time_120V_hrs" queryTableFieldId="22" dataDxfId="15"/>
    <tableColumn id="23" xr3:uid="{C4DEBC1F-68FF-4D11-A13B-16936D1AC41C}" uniqueName="23" name="Motor_Power_kW" queryTableFieldId="23" dataDxfId="14"/>
    <tableColumn id="24" xr3:uid="{8933CE34-5FE5-4723-BE93-5381A01AA227}" uniqueName="24" name="Battery_Type" queryTableFieldId="24" dataDxfId="13"/>
    <tableColumn id="25" xr3:uid="{B693CBEB-2E9F-407D-A6D5-3EDD4B90A5DE}" uniqueName="25" name="Regen_Braking_Type" queryTableFieldId="25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08B9FA-4352-4F38-BC25-5CFFFDDD863D}" name="EPA_FE_Ratings_Clean" displayName="EPA_FE_Ratings_Clean" ref="A1:X869" tableType="queryTable" totalsRowShown="0">
  <autoFilter ref="A1:X869" xr:uid="{3EFE4341-EE81-4708-8A20-4DD3D5E26E1B}"/>
  <tableColumns count="24">
    <tableColumn id="1" xr3:uid="{5DC65075-34C0-4F8C-A155-6440D2A3D5F1}" uniqueName="1" name="Model_Year" queryTableFieldId="1"/>
    <tableColumn id="2" xr3:uid="{1B8132BF-4669-4DFF-B94F-050A404C0405}" uniqueName="2" name="Manufacturer" queryTableFieldId="2" dataDxfId="11"/>
    <tableColumn id="3" xr3:uid="{33FA1FAE-0EAE-4757-8B37-F38CC1170A50}" uniqueName="3" name="Brand" queryTableFieldId="3" dataDxfId="10"/>
    <tableColumn id="4" xr3:uid="{FF0538FB-0217-41E8-8226-BC74C80F6807}" uniqueName="4" name="Model" queryTableFieldId="4" dataDxfId="9"/>
    <tableColumn id="5" xr3:uid="{DF63FC3A-13C7-47BC-9E01-547ACF7DDCB4}" uniqueName="5" name="Engine_Displacement" queryTableFieldId="5"/>
    <tableColumn id="6" xr3:uid="{D9096C6C-0F54-46D9-9E70-8330426F0487}" uniqueName="6" name="Cylinders" queryTableFieldId="6"/>
    <tableColumn id="7" xr3:uid="{7EC1BA8C-A64B-48A6-B182-73DAED1093E5}" uniqueName="7" name="Transmission" queryTableFieldId="7" dataDxfId="8"/>
    <tableColumn id="8" xr3:uid="{A9BB2C54-DD08-4E45-97FF-F70C329FE449}" uniqueName="8" name="Num_Gears" queryTableFieldId="8"/>
    <tableColumn id="9" xr3:uid="{BE2820BA-89E9-4BC4-A2DA-EB89F99C9847}" uniqueName="9" name="Drive_Type" queryTableFieldId="9" dataDxfId="7"/>
    <tableColumn id="10" xr3:uid="{D390A9A4-E38E-4FB9-A65B-F75CC7223EF3}" uniqueName="10" name="City_MPG" queryTableFieldId="10"/>
    <tableColumn id="11" xr3:uid="{96A89BF1-9245-4F41-A4B2-603F43ACD4F5}" uniqueName="11" name="Hwy_MPG" queryTableFieldId="11"/>
    <tableColumn id="12" xr3:uid="{AAC5A659-444E-4085-BCDD-943115869F90}" uniqueName="12" name="Combined_MPG" queryTableFieldId="12"/>
    <tableColumn id="13" xr3:uid="{2E38BB6A-2848-451D-A581-B83D09619F2C}" uniqueName="13" name="Vehicle_Class" queryTableFieldId="13" dataDxfId="6"/>
    <tableColumn id="14" xr3:uid="{BD05F87A-80DB-48DC-82D7-A02C8344672B}" uniqueName="14" name="Annual_Fuel_Cost" queryTableFieldId="14"/>
    <tableColumn id="15" xr3:uid="{9161017C-26A2-4C71-869D-7AA5FBB011D9}" uniqueName="15" name="FE_Rating" queryTableFieldId="15"/>
    <tableColumn id="16" xr3:uid="{6B0C355F-2EA1-4691-AFC9-2A4BBCB64A2C}" uniqueName="16" name="GHG_Rating" queryTableFieldId="16"/>
    <tableColumn id="17" xr3:uid="{E9D48848-C78F-4339-AFBD-BEABCBBF37DD}" uniqueName="17" name="City_CO2" queryTableFieldId="17"/>
    <tableColumn id="18" xr3:uid="{12452AEE-C80B-4708-A3C2-C0FDE3E7BD1C}" uniqueName="18" name="Hwy_CO2" queryTableFieldId="18"/>
    <tableColumn id="19" xr3:uid="{DFA0B815-8A06-40DC-8B17-9E22A3AC81DE}" uniqueName="19" name="Combined_CO2" queryTableFieldId="19"/>
    <tableColumn id="20" xr3:uid="{888725C0-5A65-4C63-B782-AF680BA90DF0}" uniqueName="20" name="Savings_5yr" queryTableFieldId="20"/>
    <tableColumn id="21" xr3:uid="{2D5B8FE5-C2D9-4023-A2DF-CC362B7D6926}" uniqueName="21" name="Extra_Spend_5yr" queryTableFieldId="21"/>
    <tableColumn id="22" xr3:uid="{978AC136-9CE9-49FE-B945-DD70FF45E67C}" uniqueName="22" name="Gas_Guzzler" queryTableFieldId="22" dataDxfId="5"/>
    <tableColumn id="23" xr3:uid="{74470F7F-1553-4CDC-B471-13BBEDBFE4E6}" uniqueName="23" name="Air_Aspiration" queryTableFieldId="23" dataDxfId="4"/>
    <tableColumn id="24" xr3:uid="{DB905D83-96CC-4EDD-804A-D95B7BAFD7EB}" uniqueName="24" name="StopStart_System" queryTableFieldId="24" dataDxfId="3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C893E7-DD0B-441D-A43C-A5F7219ABC62}" name="Table3" displayName="Table3" ref="A1:H21" totalsRowShown="0" headerRowDxfId="30" headerRowBorderDxfId="29" tableBorderDxfId="28" totalsRowBorderDxfId="27">
  <autoFilter ref="A1:H21" xr:uid="{E4C893E7-DD0B-441D-A43C-A5F7219ABC62}"/>
  <tableColumns count="8">
    <tableColumn id="1" xr3:uid="{D84CBDD3-E873-4BE5-BC0F-5C42942ADBB2}" name="Vehicle_Class" dataDxfId="26"/>
    <tableColumn id="2" xr3:uid="{A9DDFBCA-703D-4317-A5CA-85B0F384E982}" name="Avg EV MPGe" dataDxfId="25">
      <calculatedColumnFormula>VLOOKUP(A2,EV_Pivot!$A$4:$E$21,2,0)</calculatedColumnFormula>
    </tableColumn>
    <tableColumn id="3" xr3:uid="{5D058DCD-C04A-4060-97BD-DF6238643008}" name="Avg ICE MPG" dataDxfId="2">
      <calculatedColumnFormula>VLOOKUP(A2,ICE_Pivot!$A$4:$E$23,2,0)</calculatedColumnFormula>
    </tableColumn>
    <tableColumn id="4" xr3:uid="{E105B141-0990-4E1E-B56B-980A0EA69C4C}" name="Avg EV Fuel Cost" dataDxfId="0" dataCellStyle="Currency">
      <calculatedColumnFormula>VLOOKUP(A2,EV_Pivot!$A$4:$E$21,3,0)</calculatedColumnFormula>
    </tableColumn>
    <tableColumn id="5" xr3:uid="{CEDE517C-7056-4CEB-AEEC-1B84CD50966E}" name="Avg ICE Fuel Cost" dataDxfId="1" dataCellStyle="Currency">
      <calculatedColumnFormula>VLOOKUP(A2,ICE_Pivot!$A$4:$E$23,3,0)</calculatedColumnFormula>
    </tableColumn>
    <tableColumn id="6" xr3:uid="{184EC783-9F12-4A44-911A-6118051B0295}" name="Fuel Cost Difference" dataDxfId="24">
      <calculatedColumnFormula>(E2-D2)</calculatedColumnFormula>
    </tableColumn>
    <tableColumn id="7" xr3:uid="{790CF434-A33F-4A0E-9EBC-B1A2571DF18E}" name="Avg EV GHG" dataDxfId="23">
      <calculatedColumnFormula>VLOOKUP(A2,EV_Pivot!$A$4:$E$21,4,0)</calculatedColumnFormula>
    </tableColumn>
    <tableColumn id="8" xr3:uid="{54DA99C0-1CC3-44D0-82F3-05A29E387AFA}" name="Avg ICE GHG" dataDxfId="22">
      <calculatedColumnFormula>VLOOKUP(A2,ICE_Pivot!$A$4:$E$23,4,0)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6BF56-5F53-456E-B6BB-E10E5F08604F}">
  <dimension ref="A1:Y666"/>
  <sheetViews>
    <sheetView topLeftCell="D121" workbookViewId="0">
      <selection sqref="A1:Y666"/>
    </sheetView>
  </sheetViews>
  <sheetFormatPr defaultRowHeight="15" x14ac:dyDescent="0.25"/>
  <cols>
    <col min="1" max="1" width="13.7109375" bestFit="1" customWidth="1"/>
    <col min="2" max="2" width="19.85546875" bestFit="1" customWidth="1"/>
    <col min="3" max="3" width="30.140625" bestFit="1" customWidth="1"/>
    <col min="4" max="4" width="48.28515625" bestFit="1" customWidth="1"/>
    <col min="5" max="5" width="22" bestFit="1" customWidth="1"/>
    <col min="6" max="6" width="35.42578125" bestFit="1" customWidth="1"/>
    <col min="7" max="7" width="13.140625" bestFit="1" customWidth="1"/>
    <col min="8" max="8" width="13.28515625" bestFit="1" customWidth="1"/>
    <col min="9" max="9" width="19" bestFit="1" customWidth="1"/>
    <col min="10" max="10" width="19.5703125" bestFit="1" customWidth="1"/>
    <col min="11" max="11" width="12" bestFit="1" customWidth="1"/>
    <col min="12" max="12" width="14.140625" bestFit="1" customWidth="1"/>
    <col min="13" max="13" width="13.7109375" bestFit="1" customWidth="1"/>
    <col min="14" max="14" width="18.140625" bestFit="1" customWidth="1"/>
    <col min="15" max="15" width="11.7109375" bestFit="1" customWidth="1"/>
    <col min="16" max="16" width="11.85546875" bestFit="1" customWidth="1"/>
    <col min="17" max="17" width="17.5703125" bestFit="1" customWidth="1"/>
    <col min="18" max="18" width="25.28515625" bestFit="1" customWidth="1"/>
    <col min="19" max="19" width="19.28515625" bestFit="1" customWidth="1"/>
    <col min="20" max="20" width="19.5703125" bestFit="1" customWidth="1"/>
    <col min="21" max="22" width="24.140625" bestFit="1" customWidth="1"/>
    <col min="23" max="23" width="40.85546875" bestFit="1" customWidth="1"/>
    <col min="24" max="24" width="14.85546875" bestFit="1" customWidth="1"/>
    <col min="25" max="25" width="21.855468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2025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44</v>
      </c>
      <c r="H2">
        <v>42</v>
      </c>
      <c r="I2">
        <v>43</v>
      </c>
      <c r="J2">
        <v>1050</v>
      </c>
      <c r="K2">
        <v>9</v>
      </c>
      <c r="L2">
        <v>10</v>
      </c>
      <c r="M2">
        <v>4250</v>
      </c>
      <c r="N2" t="s">
        <v>30</v>
      </c>
      <c r="O2">
        <v>0</v>
      </c>
      <c r="P2">
        <v>0</v>
      </c>
      <c r="Q2">
        <v>0</v>
      </c>
      <c r="R2">
        <v>272</v>
      </c>
      <c r="S2">
        <v>267</v>
      </c>
      <c r="T2">
        <v>278</v>
      </c>
      <c r="U2">
        <v>16</v>
      </c>
      <c r="V2" t="s">
        <v>30</v>
      </c>
      <c r="W2" t="s">
        <v>31</v>
      </c>
      <c r="X2" t="s">
        <v>32</v>
      </c>
      <c r="Y2" t="s">
        <v>33</v>
      </c>
    </row>
    <row r="3" spans="1:25" x14ac:dyDescent="0.25">
      <c r="A3">
        <v>2025</v>
      </c>
      <c r="B3" t="s">
        <v>25</v>
      </c>
      <c r="C3" t="s">
        <v>26</v>
      </c>
      <c r="D3" t="s">
        <v>34</v>
      </c>
      <c r="E3" t="s">
        <v>28</v>
      </c>
      <c r="F3" t="s">
        <v>29</v>
      </c>
      <c r="G3">
        <v>77</v>
      </c>
      <c r="H3">
        <v>80</v>
      </c>
      <c r="I3">
        <v>78</v>
      </c>
      <c r="J3">
        <v>1050</v>
      </c>
      <c r="K3">
        <v>9</v>
      </c>
      <c r="L3">
        <v>10</v>
      </c>
      <c r="M3">
        <v>4250</v>
      </c>
      <c r="N3" t="s">
        <v>30</v>
      </c>
      <c r="O3">
        <v>0</v>
      </c>
      <c r="P3">
        <v>0</v>
      </c>
      <c r="Q3">
        <v>0</v>
      </c>
      <c r="R3">
        <v>272</v>
      </c>
      <c r="S3">
        <v>267</v>
      </c>
      <c r="T3">
        <v>278</v>
      </c>
      <c r="U3">
        <v>16</v>
      </c>
      <c r="V3" t="s">
        <v>30</v>
      </c>
      <c r="W3" t="s">
        <v>31</v>
      </c>
      <c r="X3" t="s">
        <v>32</v>
      </c>
      <c r="Y3" t="s">
        <v>33</v>
      </c>
    </row>
    <row r="4" spans="1:25" x14ac:dyDescent="0.25">
      <c r="A4">
        <v>2025</v>
      </c>
      <c r="B4" t="s">
        <v>25</v>
      </c>
      <c r="C4" t="s">
        <v>26</v>
      </c>
      <c r="D4" t="s">
        <v>34</v>
      </c>
      <c r="E4" t="s">
        <v>28</v>
      </c>
      <c r="F4" t="s">
        <v>29</v>
      </c>
      <c r="G4">
        <v>44</v>
      </c>
      <c r="H4">
        <v>42</v>
      </c>
      <c r="I4">
        <v>43</v>
      </c>
      <c r="J4">
        <v>1050</v>
      </c>
      <c r="K4">
        <v>9</v>
      </c>
      <c r="L4">
        <v>10</v>
      </c>
      <c r="M4">
        <v>4250</v>
      </c>
      <c r="N4" t="s">
        <v>30</v>
      </c>
      <c r="O4">
        <v>0</v>
      </c>
      <c r="P4">
        <v>0</v>
      </c>
      <c r="Q4">
        <v>0</v>
      </c>
      <c r="R4">
        <v>272</v>
      </c>
      <c r="S4">
        <v>267</v>
      </c>
      <c r="T4">
        <v>278</v>
      </c>
      <c r="U4">
        <v>16</v>
      </c>
      <c r="V4" t="s">
        <v>30</v>
      </c>
      <c r="W4" t="s">
        <v>31</v>
      </c>
      <c r="X4" t="s">
        <v>32</v>
      </c>
      <c r="Y4" t="s">
        <v>33</v>
      </c>
    </row>
    <row r="5" spans="1:25" x14ac:dyDescent="0.25">
      <c r="A5">
        <v>2025</v>
      </c>
      <c r="B5" t="s">
        <v>25</v>
      </c>
      <c r="C5" t="s">
        <v>26</v>
      </c>
      <c r="D5" t="s">
        <v>35</v>
      </c>
      <c r="E5" t="s">
        <v>28</v>
      </c>
      <c r="F5" t="s">
        <v>36</v>
      </c>
      <c r="G5">
        <v>91</v>
      </c>
      <c r="H5">
        <v>88</v>
      </c>
      <c r="I5">
        <v>90</v>
      </c>
      <c r="J5">
        <v>900</v>
      </c>
      <c r="K5">
        <v>9</v>
      </c>
      <c r="L5">
        <v>10</v>
      </c>
      <c r="M5">
        <v>5000</v>
      </c>
      <c r="N5" t="s">
        <v>30</v>
      </c>
      <c r="O5">
        <v>0</v>
      </c>
      <c r="P5">
        <v>0</v>
      </c>
      <c r="Q5">
        <v>0</v>
      </c>
      <c r="R5">
        <v>300</v>
      </c>
      <c r="S5">
        <v>305</v>
      </c>
      <c r="T5">
        <v>294</v>
      </c>
      <c r="U5">
        <v>15.5</v>
      </c>
      <c r="V5" t="s">
        <v>30</v>
      </c>
      <c r="W5" t="s">
        <v>37</v>
      </c>
      <c r="X5" t="s">
        <v>32</v>
      </c>
      <c r="Y5" t="s">
        <v>33</v>
      </c>
    </row>
    <row r="6" spans="1:25" x14ac:dyDescent="0.25">
      <c r="A6">
        <v>2025</v>
      </c>
      <c r="B6" t="s">
        <v>25</v>
      </c>
      <c r="C6" t="s">
        <v>26</v>
      </c>
      <c r="D6" t="s">
        <v>35</v>
      </c>
      <c r="E6" t="s">
        <v>28</v>
      </c>
      <c r="F6" t="s">
        <v>36</v>
      </c>
      <c r="G6">
        <v>37</v>
      </c>
      <c r="H6">
        <v>38</v>
      </c>
      <c r="I6">
        <v>38</v>
      </c>
      <c r="J6">
        <v>900</v>
      </c>
      <c r="K6">
        <v>9</v>
      </c>
      <c r="L6">
        <v>10</v>
      </c>
      <c r="M6">
        <v>5000</v>
      </c>
      <c r="N6" t="s">
        <v>30</v>
      </c>
      <c r="O6">
        <v>0</v>
      </c>
      <c r="P6">
        <v>0</v>
      </c>
      <c r="Q6">
        <v>0</v>
      </c>
      <c r="R6">
        <v>300</v>
      </c>
      <c r="S6">
        <v>305</v>
      </c>
      <c r="T6">
        <v>294</v>
      </c>
      <c r="U6">
        <v>15.5</v>
      </c>
      <c r="V6" t="s">
        <v>30</v>
      </c>
      <c r="W6" t="s">
        <v>37</v>
      </c>
      <c r="X6" t="s">
        <v>32</v>
      </c>
      <c r="Y6" t="s">
        <v>33</v>
      </c>
    </row>
    <row r="7" spans="1:25" x14ac:dyDescent="0.25">
      <c r="A7">
        <v>2025</v>
      </c>
      <c r="B7" t="s">
        <v>25</v>
      </c>
      <c r="C7" t="s">
        <v>26</v>
      </c>
      <c r="D7" t="s">
        <v>38</v>
      </c>
      <c r="E7" t="s">
        <v>28</v>
      </c>
      <c r="F7" t="s">
        <v>36</v>
      </c>
      <c r="G7">
        <v>85</v>
      </c>
      <c r="H7">
        <v>82</v>
      </c>
      <c r="I7">
        <v>84</v>
      </c>
      <c r="J7">
        <v>950</v>
      </c>
      <c r="K7">
        <v>9</v>
      </c>
      <c r="L7">
        <v>10</v>
      </c>
      <c r="M7">
        <v>4750</v>
      </c>
      <c r="N7" t="s">
        <v>30</v>
      </c>
      <c r="O7">
        <v>0</v>
      </c>
      <c r="P7">
        <v>0</v>
      </c>
      <c r="Q7">
        <v>0</v>
      </c>
      <c r="R7">
        <v>278</v>
      </c>
      <c r="S7">
        <v>283</v>
      </c>
      <c r="T7">
        <v>272</v>
      </c>
      <c r="U7">
        <v>15.5</v>
      </c>
      <c r="V7" t="s">
        <v>30</v>
      </c>
      <c r="W7" t="s">
        <v>39</v>
      </c>
      <c r="X7" t="s">
        <v>32</v>
      </c>
      <c r="Y7" t="s">
        <v>33</v>
      </c>
    </row>
    <row r="8" spans="1:25" x14ac:dyDescent="0.25">
      <c r="A8">
        <v>2025</v>
      </c>
      <c r="B8" t="s">
        <v>25</v>
      </c>
      <c r="C8" t="s">
        <v>26</v>
      </c>
      <c r="D8" t="s">
        <v>38</v>
      </c>
      <c r="E8" t="s">
        <v>28</v>
      </c>
      <c r="F8" t="s">
        <v>36</v>
      </c>
      <c r="G8">
        <v>39</v>
      </c>
      <c r="H8">
        <v>41</v>
      </c>
      <c r="I8">
        <v>40</v>
      </c>
      <c r="J8">
        <v>950</v>
      </c>
      <c r="K8">
        <v>9</v>
      </c>
      <c r="L8">
        <v>10</v>
      </c>
      <c r="M8">
        <v>4750</v>
      </c>
      <c r="N8" t="s">
        <v>30</v>
      </c>
      <c r="O8">
        <v>0</v>
      </c>
      <c r="P8">
        <v>0</v>
      </c>
      <c r="Q8">
        <v>0</v>
      </c>
      <c r="R8">
        <v>278</v>
      </c>
      <c r="S8">
        <v>283</v>
      </c>
      <c r="T8">
        <v>272</v>
      </c>
      <c r="U8">
        <v>15.5</v>
      </c>
      <c r="V8" t="s">
        <v>30</v>
      </c>
      <c r="W8" t="s">
        <v>39</v>
      </c>
      <c r="X8" t="s">
        <v>32</v>
      </c>
      <c r="Y8" t="s">
        <v>33</v>
      </c>
    </row>
    <row r="9" spans="1:25" x14ac:dyDescent="0.25">
      <c r="A9">
        <v>2025</v>
      </c>
      <c r="B9" t="s">
        <v>25</v>
      </c>
      <c r="C9" t="s">
        <v>26</v>
      </c>
      <c r="D9" t="s">
        <v>40</v>
      </c>
      <c r="E9" t="s">
        <v>28</v>
      </c>
      <c r="F9" t="s">
        <v>29</v>
      </c>
      <c r="G9">
        <v>68</v>
      </c>
      <c r="H9">
        <v>72</v>
      </c>
      <c r="I9">
        <v>70</v>
      </c>
      <c r="J9">
        <v>1150</v>
      </c>
      <c r="K9">
        <v>9</v>
      </c>
      <c r="L9">
        <v>10</v>
      </c>
      <c r="M9">
        <v>3750</v>
      </c>
      <c r="N9" t="s">
        <v>30</v>
      </c>
      <c r="O9">
        <v>0</v>
      </c>
      <c r="P9">
        <v>0</v>
      </c>
      <c r="Q9">
        <v>0</v>
      </c>
      <c r="R9">
        <v>242</v>
      </c>
      <c r="S9">
        <v>237</v>
      </c>
      <c r="T9">
        <v>249</v>
      </c>
      <c r="U9">
        <v>16</v>
      </c>
      <c r="V9" t="s">
        <v>30</v>
      </c>
      <c r="W9" t="s">
        <v>41</v>
      </c>
      <c r="X9" t="s">
        <v>32</v>
      </c>
      <c r="Y9" t="s">
        <v>33</v>
      </c>
    </row>
    <row r="10" spans="1:25" x14ac:dyDescent="0.25">
      <c r="A10">
        <v>2025</v>
      </c>
      <c r="B10" t="s">
        <v>25</v>
      </c>
      <c r="C10" t="s">
        <v>26</v>
      </c>
      <c r="D10" t="s">
        <v>40</v>
      </c>
      <c r="E10" t="s">
        <v>28</v>
      </c>
      <c r="F10" t="s">
        <v>29</v>
      </c>
      <c r="G10">
        <v>49</v>
      </c>
      <c r="H10">
        <v>47</v>
      </c>
      <c r="I10">
        <v>48</v>
      </c>
      <c r="J10">
        <v>1150</v>
      </c>
      <c r="K10">
        <v>9</v>
      </c>
      <c r="L10">
        <v>10</v>
      </c>
      <c r="M10">
        <v>3750</v>
      </c>
      <c r="N10" t="s">
        <v>30</v>
      </c>
      <c r="O10">
        <v>0</v>
      </c>
      <c r="P10">
        <v>0</v>
      </c>
      <c r="Q10">
        <v>0</v>
      </c>
      <c r="R10">
        <v>242</v>
      </c>
      <c r="S10">
        <v>237</v>
      </c>
      <c r="T10">
        <v>249</v>
      </c>
      <c r="U10">
        <v>16</v>
      </c>
      <c r="V10" t="s">
        <v>30</v>
      </c>
      <c r="W10" t="s">
        <v>41</v>
      </c>
      <c r="X10" t="s">
        <v>32</v>
      </c>
      <c r="Y10" t="s">
        <v>33</v>
      </c>
    </row>
    <row r="11" spans="1:25" x14ac:dyDescent="0.25">
      <c r="A11">
        <v>2025</v>
      </c>
      <c r="B11" t="s">
        <v>25</v>
      </c>
      <c r="C11" t="s">
        <v>26</v>
      </c>
      <c r="D11" t="s">
        <v>42</v>
      </c>
      <c r="E11" t="s">
        <v>28</v>
      </c>
      <c r="F11" t="s">
        <v>29</v>
      </c>
      <c r="G11">
        <v>68</v>
      </c>
      <c r="H11">
        <v>72</v>
      </c>
      <c r="I11">
        <v>70</v>
      </c>
      <c r="J11">
        <v>1150</v>
      </c>
      <c r="K11">
        <v>9</v>
      </c>
      <c r="L11">
        <v>10</v>
      </c>
      <c r="M11">
        <v>3750</v>
      </c>
      <c r="N11" t="s">
        <v>30</v>
      </c>
      <c r="O11">
        <v>0</v>
      </c>
      <c r="P11">
        <v>0</v>
      </c>
      <c r="Q11">
        <v>0</v>
      </c>
      <c r="R11">
        <v>242</v>
      </c>
      <c r="S11">
        <v>237</v>
      </c>
      <c r="T11">
        <v>249</v>
      </c>
      <c r="U11">
        <v>16</v>
      </c>
      <c r="V11" t="s">
        <v>30</v>
      </c>
      <c r="W11" t="s">
        <v>41</v>
      </c>
      <c r="X11" t="s">
        <v>32</v>
      </c>
      <c r="Y11" t="s">
        <v>33</v>
      </c>
    </row>
    <row r="12" spans="1:25" x14ac:dyDescent="0.25">
      <c r="A12">
        <v>2025</v>
      </c>
      <c r="B12" t="s">
        <v>25</v>
      </c>
      <c r="C12" t="s">
        <v>26</v>
      </c>
      <c r="D12" t="s">
        <v>42</v>
      </c>
      <c r="E12" t="s">
        <v>28</v>
      </c>
      <c r="F12" t="s">
        <v>29</v>
      </c>
      <c r="G12">
        <v>49</v>
      </c>
      <c r="H12">
        <v>47</v>
      </c>
      <c r="I12">
        <v>48</v>
      </c>
      <c r="J12">
        <v>1150</v>
      </c>
      <c r="K12">
        <v>9</v>
      </c>
      <c r="L12">
        <v>10</v>
      </c>
      <c r="M12">
        <v>3750</v>
      </c>
      <c r="N12" t="s">
        <v>30</v>
      </c>
      <c r="O12">
        <v>0</v>
      </c>
      <c r="P12">
        <v>0</v>
      </c>
      <c r="Q12">
        <v>0</v>
      </c>
      <c r="R12">
        <v>242</v>
      </c>
      <c r="S12">
        <v>237</v>
      </c>
      <c r="T12">
        <v>249</v>
      </c>
      <c r="U12">
        <v>16</v>
      </c>
      <c r="V12" t="s">
        <v>30</v>
      </c>
      <c r="W12" t="s">
        <v>41</v>
      </c>
      <c r="X12" t="s">
        <v>32</v>
      </c>
      <c r="Y12" t="s">
        <v>33</v>
      </c>
    </row>
    <row r="13" spans="1:25" x14ac:dyDescent="0.25">
      <c r="A13">
        <v>2025</v>
      </c>
      <c r="B13" t="s">
        <v>25</v>
      </c>
      <c r="C13" t="s">
        <v>26</v>
      </c>
      <c r="D13" t="s">
        <v>43</v>
      </c>
      <c r="E13" t="s">
        <v>28</v>
      </c>
      <c r="F13" t="s">
        <v>29</v>
      </c>
      <c r="G13">
        <v>59</v>
      </c>
      <c r="H13">
        <v>60</v>
      </c>
      <c r="I13">
        <v>60</v>
      </c>
      <c r="J13">
        <v>1350</v>
      </c>
      <c r="K13">
        <v>10</v>
      </c>
      <c r="L13">
        <v>10</v>
      </c>
      <c r="M13">
        <v>2750</v>
      </c>
      <c r="N13" t="s">
        <v>30</v>
      </c>
      <c r="O13">
        <v>0</v>
      </c>
      <c r="P13">
        <v>0</v>
      </c>
      <c r="Q13">
        <v>0</v>
      </c>
      <c r="R13">
        <v>208</v>
      </c>
      <c r="S13">
        <v>206</v>
      </c>
      <c r="T13">
        <v>210</v>
      </c>
      <c r="U13">
        <v>16</v>
      </c>
      <c r="V13" t="s">
        <v>30</v>
      </c>
      <c r="W13" t="s">
        <v>41</v>
      </c>
      <c r="X13" t="s">
        <v>32</v>
      </c>
      <c r="Y13" t="s">
        <v>33</v>
      </c>
    </row>
    <row r="14" spans="1:25" x14ac:dyDescent="0.25">
      <c r="A14">
        <v>2025</v>
      </c>
      <c r="B14" t="s">
        <v>25</v>
      </c>
      <c r="C14" t="s">
        <v>26</v>
      </c>
      <c r="D14" t="s">
        <v>43</v>
      </c>
      <c r="E14" t="s">
        <v>28</v>
      </c>
      <c r="F14" t="s">
        <v>29</v>
      </c>
      <c r="G14">
        <v>57</v>
      </c>
      <c r="H14">
        <v>56</v>
      </c>
      <c r="I14">
        <v>56</v>
      </c>
      <c r="J14">
        <v>1350</v>
      </c>
      <c r="K14">
        <v>10</v>
      </c>
      <c r="L14">
        <v>10</v>
      </c>
      <c r="M14">
        <v>2750</v>
      </c>
      <c r="N14" t="s">
        <v>30</v>
      </c>
      <c r="O14">
        <v>0</v>
      </c>
      <c r="P14">
        <v>0</v>
      </c>
      <c r="Q14">
        <v>0</v>
      </c>
      <c r="R14">
        <v>208</v>
      </c>
      <c r="S14">
        <v>206</v>
      </c>
      <c r="T14">
        <v>210</v>
      </c>
      <c r="U14">
        <v>16</v>
      </c>
      <c r="V14" t="s">
        <v>30</v>
      </c>
      <c r="W14" t="s">
        <v>41</v>
      </c>
      <c r="X14" t="s">
        <v>32</v>
      </c>
      <c r="Y14" t="s">
        <v>33</v>
      </c>
    </row>
    <row r="15" spans="1:25" x14ac:dyDescent="0.25">
      <c r="A15">
        <v>2025</v>
      </c>
      <c r="B15" t="s">
        <v>25</v>
      </c>
      <c r="C15" t="s">
        <v>26</v>
      </c>
      <c r="D15" t="s">
        <v>44</v>
      </c>
      <c r="E15" t="s">
        <v>28</v>
      </c>
      <c r="F15" t="s">
        <v>29</v>
      </c>
      <c r="G15">
        <v>59</v>
      </c>
      <c r="H15">
        <v>60</v>
      </c>
      <c r="I15">
        <v>60</v>
      </c>
      <c r="J15">
        <v>1350</v>
      </c>
      <c r="K15">
        <v>10</v>
      </c>
      <c r="L15">
        <v>10</v>
      </c>
      <c r="M15">
        <v>2750</v>
      </c>
      <c r="N15" t="s">
        <v>30</v>
      </c>
      <c r="O15">
        <v>0</v>
      </c>
      <c r="P15">
        <v>0</v>
      </c>
      <c r="Q15">
        <v>0</v>
      </c>
      <c r="R15">
        <v>208</v>
      </c>
      <c r="S15">
        <v>206</v>
      </c>
      <c r="T15">
        <v>210</v>
      </c>
      <c r="U15">
        <v>16</v>
      </c>
      <c r="V15" t="s">
        <v>30</v>
      </c>
      <c r="W15" t="s">
        <v>41</v>
      </c>
      <c r="X15" t="s">
        <v>32</v>
      </c>
      <c r="Y15" t="s">
        <v>33</v>
      </c>
    </row>
    <row r="16" spans="1:25" x14ac:dyDescent="0.25">
      <c r="A16">
        <v>2025</v>
      </c>
      <c r="B16" t="s">
        <v>25</v>
      </c>
      <c r="C16" t="s">
        <v>26</v>
      </c>
      <c r="D16" t="s">
        <v>44</v>
      </c>
      <c r="E16" t="s">
        <v>28</v>
      </c>
      <c r="F16" t="s">
        <v>29</v>
      </c>
      <c r="G16">
        <v>57</v>
      </c>
      <c r="H16">
        <v>56</v>
      </c>
      <c r="I16">
        <v>56</v>
      </c>
      <c r="J16">
        <v>1350</v>
      </c>
      <c r="K16">
        <v>10</v>
      </c>
      <c r="L16">
        <v>10</v>
      </c>
      <c r="M16">
        <v>2750</v>
      </c>
      <c r="N16" t="s">
        <v>30</v>
      </c>
      <c r="O16">
        <v>0</v>
      </c>
      <c r="P16">
        <v>0</v>
      </c>
      <c r="Q16">
        <v>0</v>
      </c>
      <c r="R16">
        <v>208</v>
      </c>
      <c r="S16">
        <v>206</v>
      </c>
      <c r="T16">
        <v>210</v>
      </c>
      <c r="U16">
        <v>16</v>
      </c>
      <c r="V16" t="s">
        <v>30</v>
      </c>
      <c r="W16" t="s">
        <v>41</v>
      </c>
      <c r="X16" t="s">
        <v>32</v>
      </c>
      <c r="Y16" t="s">
        <v>33</v>
      </c>
    </row>
    <row r="17" spans="1:25" x14ac:dyDescent="0.25">
      <c r="A17">
        <v>2025</v>
      </c>
      <c r="B17" t="s">
        <v>25</v>
      </c>
      <c r="C17" t="s">
        <v>26</v>
      </c>
      <c r="D17" t="s">
        <v>45</v>
      </c>
      <c r="E17" t="s">
        <v>46</v>
      </c>
      <c r="F17" t="s">
        <v>47</v>
      </c>
      <c r="G17">
        <v>125</v>
      </c>
      <c r="H17">
        <v>104</v>
      </c>
      <c r="I17">
        <v>115</v>
      </c>
      <c r="J17">
        <v>700</v>
      </c>
      <c r="K17">
        <v>9</v>
      </c>
      <c r="L17">
        <v>10</v>
      </c>
      <c r="M17">
        <v>6000</v>
      </c>
      <c r="N17" t="s">
        <v>30</v>
      </c>
      <c r="O17">
        <v>0</v>
      </c>
      <c r="P17">
        <v>0</v>
      </c>
      <c r="Q17">
        <v>0</v>
      </c>
      <c r="R17">
        <v>288</v>
      </c>
      <c r="S17">
        <v>265</v>
      </c>
      <c r="T17">
        <v>317</v>
      </c>
      <c r="U17">
        <v>12</v>
      </c>
      <c r="V17" t="s">
        <v>30</v>
      </c>
      <c r="W17" t="s">
        <v>48</v>
      </c>
      <c r="X17" t="s">
        <v>32</v>
      </c>
      <c r="Y17" t="s">
        <v>33</v>
      </c>
    </row>
    <row r="18" spans="1:25" x14ac:dyDescent="0.25">
      <c r="A18">
        <v>2025</v>
      </c>
      <c r="B18" t="s">
        <v>25</v>
      </c>
      <c r="C18" t="s">
        <v>26</v>
      </c>
      <c r="D18" t="s">
        <v>45</v>
      </c>
      <c r="E18" t="s">
        <v>46</v>
      </c>
      <c r="F18" t="s">
        <v>47</v>
      </c>
      <c r="G18">
        <v>27</v>
      </c>
      <c r="H18">
        <v>32</v>
      </c>
      <c r="I18">
        <v>29</v>
      </c>
      <c r="J18">
        <v>700</v>
      </c>
      <c r="K18">
        <v>9</v>
      </c>
      <c r="L18">
        <v>10</v>
      </c>
      <c r="M18">
        <v>6000</v>
      </c>
      <c r="N18" t="s">
        <v>30</v>
      </c>
      <c r="O18">
        <v>0</v>
      </c>
      <c r="P18">
        <v>0</v>
      </c>
      <c r="Q18">
        <v>0</v>
      </c>
      <c r="R18">
        <v>288</v>
      </c>
      <c r="S18">
        <v>265</v>
      </c>
      <c r="T18">
        <v>317</v>
      </c>
      <c r="U18">
        <v>12</v>
      </c>
      <c r="V18" t="s">
        <v>30</v>
      </c>
      <c r="W18" t="s">
        <v>48</v>
      </c>
      <c r="X18" t="s">
        <v>32</v>
      </c>
      <c r="Y18" t="s">
        <v>33</v>
      </c>
    </row>
    <row r="19" spans="1:25" x14ac:dyDescent="0.25">
      <c r="A19">
        <v>2025</v>
      </c>
      <c r="B19" t="s">
        <v>25</v>
      </c>
      <c r="C19" t="s">
        <v>26</v>
      </c>
      <c r="D19" t="s">
        <v>49</v>
      </c>
      <c r="E19" t="s">
        <v>28</v>
      </c>
      <c r="F19" t="s">
        <v>29</v>
      </c>
      <c r="G19">
        <v>107</v>
      </c>
      <c r="H19">
        <v>92</v>
      </c>
      <c r="I19">
        <v>100</v>
      </c>
      <c r="J19">
        <v>800</v>
      </c>
      <c r="K19">
        <v>9</v>
      </c>
      <c r="L19">
        <v>10</v>
      </c>
      <c r="M19">
        <v>5500</v>
      </c>
      <c r="N19" t="s">
        <v>30</v>
      </c>
      <c r="O19">
        <v>0</v>
      </c>
      <c r="P19">
        <v>0</v>
      </c>
      <c r="Q19">
        <v>0</v>
      </c>
      <c r="R19">
        <v>258</v>
      </c>
      <c r="S19">
        <v>275</v>
      </c>
      <c r="T19">
        <v>237</v>
      </c>
      <c r="U19">
        <v>12</v>
      </c>
      <c r="V19" t="s">
        <v>30</v>
      </c>
      <c r="W19" t="s">
        <v>50</v>
      </c>
      <c r="X19" t="s">
        <v>32</v>
      </c>
      <c r="Y19" t="s">
        <v>33</v>
      </c>
    </row>
    <row r="20" spans="1:25" x14ac:dyDescent="0.25">
      <c r="A20">
        <v>2025</v>
      </c>
      <c r="B20" t="s">
        <v>25</v>
      </c>
      <c r="C20" t="s">
        <v>26</v>
      </c>
      <c r="D20" t="s">
        <v>49</v>
      </c>
      <c r="E20" t="s">
        <v>28</v>
      </c>
      <c r="F20" t="s">
        <v>29</v>
      </c>
      <c r="G20">
        <v>31</v>
      </c>
      <c r="H20">
        <v>37</v>
      </c>
      <c r="I20">
        <v>34</v>
      </c>
      <c r="J20">
        <v>800</v>
      </c>
      <c r="K20">
        <v>9</v>
      </c>
      <c r="L20">
        <v>10</v>
      </c>
      <c r="M20">
        <v>5500</v>
      </c>
      <c r="N20" t="s">
        <v>30</v>
      </c>
      <c r="O20">
        <v>0</v>
      </c>
      <c r="P20">
        <v>0</v>
      </c>
      <c r="Q20">
        <v>0</v>
      </c>
      <c r="R20">
        <v>258</v>
      </c>
      <c r="S20">
        <v>275</v>
      </c>
      <c r="T20">
        <v>237</v>
      </c>
      <c r="U20">
        <v>12</v>
      </c>
      <c r="V20" t="s">
        <v>30</v>
      </c>
      <c r="W20" t="s">
        <v>50</v>
      </c>
      <c r="X20" t="s">
        <v>32</v>
      </c>
      <c r="Y20" t="s">
        <v>33</v>
      </c>
    </row>
    <row r="21" spans="1:25" x14ac:dyDescent="0.25">
      <c r="A21">
        <v>2025</v>
      </c>
      <c r="B21" t="s">
        <v>25</v>
      </c>
      <c r="C21" t="s">
        <v>26</v>
      </c>
      <c r="D21" t="s">
        <v>51</v>
      </c>
      <c r="E21" t="s">
        <v>28</v>
      </c>
      <c r="F21" t="s">
        <v>29</v>
      </c>
      <c r="G21">
        <v>107</v>
      </c>
      <c r="H21">
        <v>92</v>
      </c>
      <c r="I21">
        <v>100</v>
      </c>
      <c r="J21">
        <v>800</v>
      </c>
      <c r="K21">
        <v>9</v>
      </c>
      <c r="L21">
        <v>10</v>
      </c>
      <c r="M21">
        <v>5500</v>
      </c>
      <c r="N21" t="s">
        <v>30</v>
      </c>
      <c r="O21">
        <v>0</v>
      </c>
      <c r="P21">
        <v>0</v>
      </c>
      <c r="Q21">
        <v>0</v>
      </c>
      <c r="R21">
        <v>258</v>
      </c>
      <c r="S21">
        <v>275</v>
      </c>
      <c r="T21">
        <v>237</v>
      </c>
      <c r="U21">
        <v>12</v>
      </c>
      <c r="V21" t="s">
        <v>30</v>
      </c>
      <c r="W21" t="s">
        <v>50</v>
      </c>
      <c r="X21" t="s">
        <v>32</v>
      </c>
      <c r="Y21" t="s">
        <v>33</v>
      </c>
    </row>
    <row r="22" spans="1:25" x14ac:dyDescent="0.25">
      <c r="A22">
        <v>2025</v>
      </c>
      <c r="B22" t="s">
        <v>25</v>
      </c>
      <c r="C22" t="s">
        <v>26</v>
      </c>
      <c r="D22" t="s">
        <v>51</v>
      </c>
      <c r="E22" t="s">
        <v>28</v>
      </c>
      <c r="F22" t="s">
        <v>29</v>
      </c>
      <c r="G22">
        <v>31</v>
      </c>
      <c r="H22">
        <v>37</v>
      </c>
      <c r="I22">
        <v>34</v>
      </c>
      <c r="J22">
        <v>800</v>
      </c>
      <c r="K22">
        <v>9</v>
      </c>
      <c r="L22">
        <v>10</v>
      </c>
      <c r="M22">
        <v>5500</v>
      </c>
      <c r="N22" t="s">
        <v>30</v>
      </c>
      <c r="O22">
        <v>0</v>
      </c>
      <c r="P22">
        <v>0</v>
      </c>
      <c r="Q22">
        <v>0</v>
      </c>
      <c r="R22">
        <v>258</v>
      </c>
      <c r="S22">
        <v>275</v>
      </c>
      <c r="T22">
        <v>237</v>
      </c>
      <c r="U22">
        <v>12</v>
      </c>
      <c r="V22" t="s">
        <v>30</v>
      </c>
      <c r="W22" t="s">
        <v>50</v>
      </c>
      <c r="X22" t="s">
        <v>32</v>
      </c>
      <c r="Y22" t="s">
        <v>33</v>
      </c>
    </row>
    <row r="23" spans="1:25" x14ac:dyDescent="0.25">
      <c r="A23">
        <v>2025</v>
      </c>
      <c r="B23" t="s">
        <v>25</v>
      </c>
      <c r="C23" t="s">
        <v>26</v>
      </c>
      <c r="D23" t="s">
        <v>27</v>
      </c>
      <c r="E23" t="s">
        <v>28</v>
      </c>
      <c r="F23" t="s">
        <v>29</v>
      </c>
      <c r="G23">
        <v>73</v>
      </c>
      <c r="H23">
        <v>75</v>
      </c>
      <c r="I23">
        <v>74</v>
      </c>
      <c r="J23">
        <v>1100</v>
      </c>
      <c r="K23">
        <v>9</v>
      </c>
      <c r="L23">
        <v>10</v>
      </c>
      <c r="M23">
        <v>4000</v>
      </c>
      <c r="N23" t="s">
        <v>30</v>
      </c>
      <c r="O23">
        <v>0</v>
      </c>
      <c r="P23">
        <v>0</v>
      </c>
      <c r="Q23">
        <v>0</v>
      </c>
      <c r="R23">
        <v>254</v>
      </c>
      <c r="S23">
        <v>251</v>
      </c>
      <c r="T23">
        <v>257</v>
      </c>
      <c r="U23">
        <v>16</v>
      </c>
      <c r="V23" t="s">
        <v>30</v>
      </c>
      <c r="W23" t="s">
        <v>31</v>
      </c>
      <c r="X23" t="s">
        <v>32</v>
      </c>
      <c r="Y23" t="s">
        <v>33</v>
      </c>
    </row>
    <row r="24" spans="1:25" x14ac:dyDescent="0.25">
      <c r="A24">
        <v>2025</v>
      </c>
      <c r="B24" t="s">
        <v>25</v>
      </c>
      <c r="C24" t="s">
        <v>26</v>
      </c>
      <c r="D24" t="s">
        <v>27</v>
      </c>
      <c r="E24" t="s">
        <v>28</v>
      </c>
      <c r="F24" t="s">
        <v>29</v>
      </c>
      <c r="G24">
        <v>46</v>
      </c>
      <c r="H24">
        <v>45</v>
      </c>
      <c r="I24">
        <v>46</v>
      </c>
      <c r="J24">
        <v>1100</v>
      </c>
      <c r="K24">
        <v>9</v>
      </c>
      <c r="L24">
        <v>10</v>
      </c>
      <c r="M24">
        <v>4000</v>
      </c>
      <c r="N24" t="s">
        <v>30</v>
      </c>
      <c r="O24">
        <v>0</v>
      </c>
      <c r="P24">
        <v>0</v>
      </c>
      <c r="Q24">
        <v>0</v>
      </c>
      <c r="R24">
        <v>254</v>
      </c>
      <c r="S24">
        <v>251</v>
      </c>
      <c r="T24">
        <v>257</v>
      </c>
      <c r="U24">
        <v>16</v>
      </c>
      <c r="V24" t="s">
        <v>30</v>
      </c>
      <c r="W24" t="s">
        <v>31</v>
      </c>
      <c r="X24" t="s">
        <v>32</v>
      </c>
      <c r="Y24" t="s">
        <v>33</v>
      </c>
    </row>
    <row r="25" spans="1:25" x14ac:dyDescent="0.25">
      <c r="A25">
        <v>2025</v>
      </c>
      <c r="B25" t="s">
        <v>25</v>
      </c>
      <c r="C25" t="s">
        <v>26</v>
      </c>
      <c r="D25" t="s">
        <v>34</v>
      </c>
      <c r="E25" t="s">
        <v>28</v>
      </c>
      <c r="F25" t="s">
        <v>29</v>
      </c>
      <c r="G25">
        <v>73</v>
      </c>
      <c r="H25">
        <v>75</v>
      </c>
      <c r="I25">
        <v>74</v>
      </c>
      <c r="J25">
        <v>1100</v>
      </c>
      <c r="K25">
        <v>9</v>
      </c>
      <c r="L25">
        <v>10</v>
      </c>
      <c r="M25">
        <v>4000</v>
      </c>
      <c r="N25" t="s">
        <v>30</v>
      </c>
      <c r="O25">
        <v>0</v>
      </c>
      <c r="P25">
        <v>0</v>
      </c>
      <c r="Q25">
        <v>0</v>
      </c>
      <c r="R25">
        <v>254</v>
      </c>
      <c r="S25">
        <v>251</v>
      </c>
      <c r="T25">
        <v>257</v>
      </c>
      <c r="U25">
        <v>16</v>
      </c>
      <c r="V25" t="s">
        <v>30</v>
      </c>
      <c r="W25" t="s">
        <v>31</v>
      </c>
      <c r="X25" t="s">
        <v>32</v>
      </c>
      <c r="Y25" t="s">
        <v>33</v>
      </c>
    </row>
    <row r="26" spans="1:25" x14ac:dyDescent="0.25">
      <c r="A26">
        <v>2025</v>
      </c>
      <c r="B26" t="s">
        <v>25</v>
      </c>
      <c r="C26" t="s">
        <v>26</v>
      </c>
      <c r="D26" t="s">
        <v>34</v>
      </c>
      <c r="E26" t="s">
        <v>28</v>
      </c>
      <c r="F26" t="s">
        <v>29</v>
      </c>
      <c r="G26">
        <v>46</v>
      </c>
      <c r="H26">
        <v>45</v>
      </c>
      <c r="I26">
        <v>46</v>
      </c>
      <c r="J26">
        <v>1100</v>
      </c>
      <c r="K26">
        <v>9</v>
      </c>
      <c r="L26">
        <v>10</v>
      </c>
      <c r="M26">
        <v>4000</v>
      </c>
      <c r="N26" t="s">
        <v>30</v>
      </c>
      <c r="O26">
        <v>0</v>
      </c>
      <c r="P26">
        <v>0</v>
      </c>
      <c r="Q26">
        <v>0</v>
      </c>
      <c r="R26">
        <v>254</v>
      </c>
      <c r="S26">
        <v>251</v>
      </c>
      <c r="T26">
        <v>257</v>
      </c>
      <c r="U26">
        <v>16</v>
      </c>
      <c r="V26" t="s">
        <v>30</v>
      </c>
      <c r="W26" t="s">
        <v>31</v>
      </c>
      <c r="X26" t="s">
        <v>32</v>
      </c>
      <c r="Y26" t="s">
        <v>33</v>
      </c>
    </row>
    <row r="27" spans="1:25" x14ac:dyDescent="0.25">
      <c r="A27">
        <v>2025</v>
      </c>
      <c r="B27" t="s">
        <v>25</v>
      </c>
      <c r="C27" t="s">
        <v>26</v>
      </c>
      <c r="D27" t="s">
        <v>52</v>
      </c>
      <c r="E27" t="s">
        <v>28</v>
      </c>
      <c r="F27" t="s">
        <v>36</v>
      </c>
      <c r="G27">
        <v>89</v>
      </c>
      <c r="H27">
        <v>85</v>
      </c>
      <c r="I27">
        <v>88</v>
      </c>
      <c r="J27">
        <v>900</v>
      </c>
      <c r="K27">
        <v>9</v>
      </c>
      <c r="L27">
        <v>10</v>
      </c>
      <c r="M27">
        <v>5000</v>
      </c>
      <c r="N27" t="s">
        <v>30</v>
      </c>
      <c r="O27">
        <v>0</v>
      </c>
      <c r="P27">
        <v>0</v>
      </c>
      <c r="Q27">
        <v>0</v>
      </c>
      <c r="R27">
        <v>294</v>
      </c>
      <c r="S27">
        <v>300</v>
      </c>
      <c r="T27">
        <v>287</v>
      </c>
      <c r="U27">
        <v>15.5</v>
      </c>
      <c r="V27" t="s">
        <v>30</v>
      </c>
      <c r="W27" t="s">
        <v>53</v>
      </c>
      <c r="X27" t="s">
        <v>32</v>
      </c>
      <c r="Y27" t="s">
        <v>33</v>
      </c>
    </row>
    <row r="28" spans="1:25" x14ac:dyDescent="0.25">
      <c r="A28">
        <v>2025</v>
      </c>
      <c r="B28" t="s">
        <v>25</v>
      </c>
      <c r="C28" t="s">
        <v>26</v>
      </c>
      <c r="D28" t="s">
        <v>52</v>
      </c>
      <c r="E28" t="s">
        <v>28</v>
      </c>
      <c r="F28" t="s">
        <v>36</v>
      </c>
      <c r="G28">
        <v>38</v>
      </c>
      <c r="H28">
        <v>39</v>
      </c>
      <c r="I28">
        <v>38</v>
      </c>
      <c r="J28">
        <v>900</v>
      </c>
      <c r="K28">
        <v>9</v>
      </c>
      <c r="L28">
        <v>10</v>
      </c>
      <c r="M28">
        <v>5000</v>
      </c>
      <c r="N28" t="s">
        <v>30</v>
      </c>
      <c r="O28">
        <v>0</v>
      </c>
      <c r="P28">
        <v>0</v>
      </c>
      <c r="Q28">
        <v>0</v>
      </c>
      <c r="R28">
        <v>294</v>
      </c>
      <c r="S28">
        <v>300</v>
      </c>
      <c r="T28">
        <v>287</v>
      </c>
      <c r="U28">
        <v>15.5</v>
      </c>
      <c r="V28" t="s">
        <v>30</v>
      </c>
      <c r="W28" t="s">
        <v>53</v>
      </c>
      <c r="X28" t="s">
        <v>32</v>
      </c>
      <c r="Y28" t="s">
        <v>33</v>
      </c>
    </row>
    <row r="29" spans="1:25" x14ac:dyDescent="0.25">
      <c r="A29">
        <v>2025</v>
      </c>
      <c r="B29" t="s">
        <v>25</v>
      </c>
      <c r="C29" t="s">
        <v>26</v>
      </c>
      <c r="D29" t="s">
        <v>54</v>
      </c>
      <c r="E29" t="s">
        <v>46</v>
      </c>
      <c r="F29" t="s">
        <v>47</v>
      </c>
      <c r="G29">
        <v>106</v>
      </c>
      <c r="H29">
        <v>93</v>
      </c>
      <c r="I29">
        <v>100</v>
      </c>
      <c r="J29">
        <v>800</v>
      </c>
      <c r="K29">
        <v>9</v>
      </c>
      <c r="L29">
        <v>10</v>
      </c>
      <c r="M29">
        <v>5500</v>
      </c>
      <c r="N29" t="s">
        <v>30</v>
      </c>
      <c r="O29">
        <v>0</v>
      </c>
      <c r="P29">
        <v>0</v>
      </c>
      <c r="Q29">
        <v>0</v>
      </c>
      <c r="R29">
        <v>310</v>
      </c>
      <c r="S29">
        <v>329</v>
      </c>
      <c r="T29">
        <v>287</v>
      </c>
      <c r="U29">
        <v>14</v>
      </c>
      <c r="V29" t="s">
        <v>30</v>
      </c>
      <c r="W29" t="s">
        <v>55</v>
      </c>
      <c r="X29" t="s">
        <v>32</v>
      </c>
      <c r="Y29" t="s">
        <v>33</v>
      </c>
    </row>
    <row r="30" spans="1:25" x14ac:dyDescent="0.25">
      <c r="A30">
        <v>2025</v>
      </c>
      <c r="B30" t="s">
        <v>25</v>
      </c>
      <c r="C30" t="s">
        <v>26</v>
      </c>
      <c r="D30" t="s">
        <v>54</v>
      </c>
      <c r="E30" t="s">
        <v>46</v>
      </c>
      <c r="F30" t="s">
        <v>47</v>
      </c>
      <c r="G30">
        <v>32</v>
      </c>
      <c r="H30">
        <v>36</v>
      </c>
      <c r="I30">
        <v>34</v>
      </c>
      <c r="J30">
        <v>800</v>
      </c>
      <c r="K30">
        <v>9</v>
      </c>
      <c r="L30">
        <v>10</v>
      </c>
      <c r="M30">
        <v>5500</v>
      </c>
      <c r="N30" t="s">
        <v>30</v>
      </c>
      <c r="O30">
        <v>0</v>
      </c>
      <c r="P30">
        <v>0</v>
      </c>
      <c r="Q30">
        <v>0</v>
      </c>
      <c r="R30">
        <v>310</v>
      </c>
      <c r="S30">
        <v>329</v>
      </c>
      <c r="T30">
        <v>287</v>
      </c>
      <c r="U30">
        <v>14</v>
      </c>
      <c r="V30" t="s">
        <v>30</v>
      </c>
      <c r="W30" t="s">
        <v>55</v>
      </c>
      <c r="X30" t="s">
        <v>32</v>
      </c>
      <c r="Y30" t="s">
        <v>33</v>
      </c>
    </row>
    <row r="31" spans="1:25" x14ac:dyDescent="0.25">
      <c r="A31">
        <v>2025</v>
      </c>
      <c r="B31" t="s">
        <v>25</v>
      </c>
      <c r="C31" t="s">
        <v>26</v>
      </c>
      <c r="D31" t="s">
        <v>56</v>
      </c>
      <c r="E31" t="s">
        <v>46</v>
      </c>
      <c r="F31" t="s">
        <v>47</v>
      </c>
      <c r="G31">
        <v>112</v>
      </c>
      <c r="H31">
        <v>96</v>
      </c>
      <c r="I31">
        <v>104</v>
      </c>
      <c r="J31">
        <v>800</v>
      </c>
      <c r="K31">
        <v>9</v>
      </c>
      <c r="L31">
        <v>10</v>
      </c>
      <c r="M31">
        <v>5750</v>
      </c>
      <c r="N31" t="s">
        <v>30</v>
      </c>
      <c r="O31">
        <v>0</v>
      </c>
      <c r="P31">
        <v>0</v>
      </c>
      <c r="Q31">
        <v>0</v>
      </c>
      <c r="R31">
        <v>321</v>
      </c>
      <c r="S31">
        <v>343</v>
      </c>
      <c r="T31">
        <v>294</v>
      </c>
      <c r="U31">
        <v>14</v>
      </c>
      <c r="V31" t="s">
        <v>30</v>
      </c>
      <c r="W31" t="s">
        <v>55</v>
      </c>
      <c r="X31" t="s">
        <v>32</v>
      </c>
      <c r="Y31" t="s">
        <v>33</v>
      </c>
    </row>
    <row r="32" spans="1:25" x14ac:dyDescent="0.25">
      <c r="A32">
        <v>2025</v>
      </c>
      <c r="B32" t="s">
        <v>25</v>
      </c>
      <c r="C32" t="s">
        <v>26</v>
      </c>
      <c r="D32" t="s">
        <v>56</v>
      </c>
      <c r="E32" t="s">
        <v>46</v>
      </c>
      <c r="F32" t="s">
        <v>47</v>
      </c>
      <c r="G32">
        <v>30</v>
      </c>
      <c r="H32">
        <v>35</v>
      </c>
      <c r="I32">
        <v>32</v>
      </c>
      <c r="J32">
        <v>750</v>
      </c>
      <c r="K32">
        <v>9</v>
      </c>
      <c r="L32">
        <v>10</v>
      </c>
      <c r="M32">
        <v>5750</v>
      </c>
      <c r="N32" t="s">
        <v>30</v>
      </c>
      <c r="O32">
        <v>0</v>
      </c>
      <c r="P32">
        <v>0</v>
      </c>
      <c r="Q32">
        <v>0</v>
      </c>
      <c r="R32">
        <v>321</v>
      </c>
      <c r="S32">
        <v>343</v>
      </c>
      <c r="T32">
        <v>294</v>
      </c>
      <c r="U32">
        <v>14</v>
      </c>
      <c r="V32" t="s">
        <v>30</v>
      </c>
      <c r="W32" t="s">
        <v>55</v>
      </c>
      <c r="X32" t="s">
        <v>32</v>
      </c>
      <c r="Y32" t="s">
        <v>33</v>
      </c>
    </row>
    <row r="33" spans="1:25" x14ac:dyDescent="0.25">
      <c r="A33">
        <v>2025</v>
      </c>
      <c r="B33" t="s">
        <v>25</v>
      </c>
      <c r="C33" t="s">
        <v>26</v>
      </c>
      <c r="D33" t="s">
        <v>57</v>
      </c>
      <c r="E33" t="s">
        <v>28</v>
      </c>
      <c r="F33" t="s">
        <v>29</v>
      </c>
      <c r="G33">
        <v>105</v>
      </c>
      <c r="H33">
        <v>93</v>
      </c>
      <c r="I33">
        <v>99</v>
      </c>
      <c r="J33">
        <v>800</v>
      </c>
      <c r="K33">
        <v>9</v>
      </c>
      <c r="L33">
        <v>10</v>
      </c>
      <c r="M33">
        <v>5500</v>
      </c>
      <c r="N33" t="s">
        <v>30</v>
      </c>
      <c r="O33">
        <v>0</v>
      </c>
      <c r="P33">
        <v>0</v>
      </c>
      <c r="Q33">
        <v>0</v>
      </c>
      <c r="R33">
        <v>307</v>
      </c>
      <c r="S33">
        <v>323</v>
      </c>
      <c r="T33">
        <v>287</v>
      </c>
      <c r="U33">
        <v>14</v>
      </c>
      <c r="V33" t="s">
        <v>30</v>
      </c>
      <c r="W33" t="s">
        <v>58</v>
      </c>
      <c r="X33" t="s">
        <v>32</v>
      </c>
      <c r="Y33" t="s">
        <v>33</v>
      </c>
    </row>
    <row r="34" spans="1:25" x14ac:dyDescent="0.25">
      <c r="A34">
        <v>2025</v>
      </c>
      <c r="B34" t="s">
        <v>25</v>
      </c>
      <c r="C34" t="s">
        <v>26</v>
      </c>
      <c r="D34" t="s">
        <v>57</v>
      </c>
      <c r="E34" t="s">
        <v>28</v>
      </c>
      <c r="F34" t="s">
        <v>29</v>
      </c>
      <c r="G34">
        <v>32</v>
      </c>
      <c r="H34">
        <v>36</v>
      </c>
      <c r="I34">
        <v>34</v>
      </c>
      <c r="J34">
        <v>800</v>
      </c>
      <c r="K34">
        <v>9</v>
      </c>
      <c r="L34">
        <v>10</v>
      </c>
      <c r="M34">
        <v>5500</v>
      </c>
      <c r="N34" t="s">
        <v>30</v>
      </c>
      <c r="O34">
        <v>0</v>
      </c>
      <c r="P34">
        <v>0</v>
      </c>
      <c r="Q34">
        <v>0</v>
      </c>
      <c r="R34">
        <v>307</v>
      </c>
      <c r="S34">
        <v>323</v>
      </c>
      <c r="T34">
        <v>287</v>
      </c>
      <c r="U34">
        <v>14</v>
      </c>
      <c r="V34" t="s">
        <v>30</v>
      </c>
      <c r="W34" t="s">
        <v>58</v>
      </c>
      <c r="X34" t="s">
        <v>32</v>
      </c>
      <c r="Y34" t="s">
        <v>33</v>
      </c>
    </row>
    <row r="35" spans="1:25" x14ac:dyDescent="0.25">
      <c r="A35">
        <v>2025</v>
      </c>
      <c r="B35" t="s">
        <v>25</v>
      </c>
      <c r="C35" t="s">
        <v>26</v>
      </c>
      <c r="D35" t="s">
        <v>59</v>
      </c>
      <c r="E35" t="s">
        <v>28</v>
      </c>
      <c r="F35" t="s">
        <v>29</v>
      </c>
      <c r="G35">
        <v>96</v>
      </c>
      <c r="H35">
        <v>82</v>
      </c>
      <c r="I35">
        <v>89</v>
      </c>
      <c r="J35">
        <v>900</v>
      </c>
      <c r="K35">
        <v>9</v>
      </c>
      <c r="L35">
        <v>10</v>
      </c>
      <c r="M35">
        <v>5000</v>
      </c>
      <c r="N35" t="s">
        <v>30</v>
      </c>
      <c r="O35">
        <v>0</v>
      </c>
      <c r="P35">
        <v>0</v>
      </c>
      <c r="Q35">
        <v>0</v>
      </c>
      <c r="R35">
        <v>275</v>
      </c>
      <c r="S35">
        <v>294</v>
      </c>
      <c r="T35">
        <v>251</v>
      </c>
      <c r="U35">
        <v>14</v>
      </c>
      <c r="V35" t="s">
        <v>30</v>
      </c>
      <c r="W35" t="s">
        <v>60</v>
      </c>
      <c r="X35" t="s">
        <v>32</v>
      </c>
      <c r="Y35" t="s">
        <v>33</v>
      </c>
    </row>
    <row r="36" spans="1:25" x14ac:dyDescent="0.25">
      <c r="A36">
        <v>2025</v>
      </c>
      <c r="B36" t="s">
        <v>25</v>
      </c>
      <c r="C36" t="s">
        <v>26</v>
      </c>
      <c r="D36" t="s">
        <v>59</v>
      </c>
      <c r="E36" t="s">
        <v>28</v>
      </c>
      <c r="F36" t="s">
        <v>29</v>
      </c>
      <c r="G36">
        <v>35</v>
      </c>
      <c r="H36">
        <v>41</v>
      </c>
      <c r="I36">
        <v>38</v>
      </c>
      <c r="J36">
        <v>900</v>
      </c>
      <c r="K36">
        <v>9</v>
      </c>
      <c r="L36">
        <v>10</v>
      </c>
      <c r="M36">
        <v>5000</v>
      </c>
      <c r="N36" t="s">
        <v>30</v>
      </c>
      <c r="O36">
        <v>0</v>
      </c>
      <c r="P36">
        <v>0</v>
      </c>
      <c r="Q36">
        <v>0</v>
      </c>
      <c r="R36">
        <v>275</v>
      </c>
      <c r="S36">
        <v>294</v>
      </c>
      <c r="T36">
        <v>251</v>
      </c>
      <c r="U36">
        <v>14</v>
      </c>
      <c r="V36" t="s">
        <v>30</v>
      </c>
      <c r="W36" t="s">
        <v>60</v>
      </c>
      <c r="X36" t="s">
        <v>32</v>
      </c>
      <c r="Y36" t="s">
        <v>33</v>
      </c>
    </row>
    <row r="37" spans="1:25" x14ac:dyDescent="0.25">
      <c r="A37">
        <v>2025</v>
      </c>
      <c r="B37" t="s">
        <v>25</v>
      </c>
      <c r="C37" t="s">
        <v>26</v>
      </c>
      <c r="D37" t="s">
        <v>61</v>
      </c>
      <c r="E37" t="s">
        <v>28</v>
      </c>
      <c r="F37" t="s">
        <v>29</v>
      </c>
      <c r="G37">
        <v>97</v>
      </c>
      <c r="H37">
        <v>85</v>
      </c>
      <c r="I37">
        <v>91</v>
      </c>
      <c r="J37">
        <v>900</v>
      </c>
      <c r="K37">
        <v>9</v>
      </c>
      <c r="L37">
        <v>10</v>
      </c>
      <c r="M37">
        <v>5000</v>
      </c>
      <c r="N37" t="s">
        <v>30</v>
      </c>
      <c r="O37">
        <v>0</v>
      </c>
      <c r="P37">
        <v>0</v>
      </c>
      <c r="Q37">
        <v>0</v>
      </c>
      <c r="R37">
        <v>283</v>
      </c>
      <c r="S37">
        <v>300</v>
      </c>
      <c r="T37">
        <v>262</v>
      </c>
      <c r="U37">
        <v>14</v>
      </c>
      <c r="V37" t="s">
        <v>30</v>
      </c>
      <c r="W37" t="s">
        <v>58</v>
      </c>
      <c r="X37" t="s">
        <v>32</v>
      </c>
      <c r="Y37" t="s">
        <v>33</v>
      </c>
    </row>
    <row r="38" spans="1:25" x14ac:dyDescent="0.25">
      <c r="A38">
        <v>2025</v>
      </c>
      <c r="B38" t="s">
        <v>25</v>
      </c>
      <c r="C38" t="s">
        <v>26</v>
      </c>
      <c r="D38" t="s">
        <v>61</v>
      </c>
      <c r="E38" t="s">
        <v>28</v>
      </c>
      <c r="F38" t="s">
        <v>29</v>
      </c>
      <c r="G38">
        <v>35</v>
      </c>
      <c r="H38">
        <v>40</v>
      </c>
      <c r="I38">
        <v>37</v>
      </c>
      <c r="J38">
        <v>900</v>
      </c>
      <c r="K38">
        <v>9</v>
      </c>
      <c r="L38">
        <v>10</v>
      </c>
      <c r="M38">
        <v>5000</v>
      </c>
      <c r="N38" t="s">
        <v>30</v>
      </c>
      <c r="O38">
        <v>0</v>
      </c>
      <c r="P38">
        <v>0</v>
      </c>
      <c r="Q38">
        <v>0</v>
      </c>
      <c r="R38">
        <v>283</v>
      </c>
      <c r="S38">
        <v>300</v>
      </c>
      <c r="T38">
        <v>262</v>
      </c>
      <c r="U38">
        <v>14</v>
      </c>
      <c r="V38" t="s">
        <v>30</v>
      </c>
      <c r="W38" t="s">
        <v>58</v>
      </c>
      <c r="X38" t="s">
        <v>32</v>
      </c>
      <c r="Y38" t="s">
        <v>33</v>
      </c>
    </row>
    <row r="39" spans="1:25" x14ac:dyDescent="0.25">
      <c r="A39">
        <v>2025</v>
      </c>
      <c r="B39" t="s">
        <v>25</v>
      </c>
      <c r="C39" t="s">
        <v>26</v>
      </c>
      <c r="D39" t="s">
        <v>62</v>
      </c>
      <c r="E39" t="s">
        <v>28</v>
      </c>
      <c r="F39" t="s">
        <v>29</v>
      </c>
      <c r="G39">
        <v>109</v>
      </c>
      <c r="H39">
        <v>97</v>
      </c>
      <c r="I39">
        <v>103</v>
      </c>
      <c r="J39">
        <v>800</v>
      </c>
      <c r="K39">
        <v>9</v>
      </c>
      <c r="L39">
        <v>10</v>
      </c>
      <c r="M39">
        <v>5500</v>
      </c>
      <c r="N39" t="s">
        <v>30</v>
      </c>
      <c r="O39">
        <v>0</v>
      </c>
      <c r="P39">
        <v>0</v>
      </c>
      <c r="Q39">
        <v>0</v>
      </c>
      <c r="R39">
        <v>319</v>
      </c>
      <c r="S39">
        <v>336</v>
      </c>
      <c r="T39">
        <v>299</v>
      </c>
      <c r="U39">
        <v>14</v>
      </c>
      <c r="V39" t="s">
        <v>30</v>
      </c>
      <c r="W39" t="s">
        <v>58</v>
      </c>
      <c r="X39" t="s">
        <v>32</v>
      </c>
      <c r="Y39" t="s">
        <v>33</v>
      </c>
    </row>
    <row r="40" spans="1:25" x14ac:dyDescent="0.25">
      <c r="A40">
        <v>2025</v>
      </c>
      <c r="B40" t="s">
        <v>25</v>
      </c>
      <c r="C40" t="s">
        <v>26</v>
      </c>
      <c r="D40" t="s">
        <v>62</v>
      </c>
      <c r="E40" t="s">
        <v>28</v>
      </c>
      <c r="F40" t="s">
        <v>29</v>
      </c>
      <c r="G40">
        <v>31</v>
      </c>
      <c r="H40">
        <v>35</v>
      </c>
      <c r="I40">
        <v>33</v>
      </c>
      <c r="J40">
        <v>800</v>
      </c>
      <c r="K40">
        <v>9</v>
      </c>
      <c r="L40">
        <v>10</v>
      </c>
      <c r="M40">
        <v>5500</v>
      </c>
      <c r="N40" t="s">
        <v>30</v>
      </c>
      <c r="O40">
        <v>0</v>
      </c>
      <c r="P40">
        <v>0</v>
      </c>
      <c r="Q40">
        <v>0</v>
      </c>
      <c r="R40">
        <v>319</v>
      </c>
      <c r="S40">
        <v>336</v>
      </c>
      <c r="T40">
        <v>299</v>
      </c>
      <c r="U40">
        <v>14</v>
      </c>
      <c r="V40" t="s">
        <v>30</v>
      </c>
      <c r="W40" t="s">
        <v>58</v>
      </c>
      <c r="X40" t="s">
        <v>32</v>
      </c>
      <c r="Y40" t="s">
        <v>33</v>
      </c>
    </row>
    <row r="41" spans="1:25" x14ac:dyDescent="0.25">
      <c r="A41">
        <v>2025</v>
      </c>
      <c r="B41" t="s">
        <v>25</v>
      </c>
      <c r="C41" t="s">
        <v>26</v>
      </c>
      <c r="D41" t="s">
        <v>54</v>
      </c>
      <c r="E41" t="s">
        <v>46</v>
      </c>
      <c r="F41" t="s">
        <v>47</v>
      </c>
      <c r="G41">
        <v>103</v>
      </c>
      <c r="H41">
        <v>88</v>
      </c>
      <c r="I41">
        <v>96</v>
      </c>
      <c r="J41">
        <v>850</v>
      </c>
      <c r="K41">
        <v>9</v>
      </c>
      <c r="L41">
        <v>10</v>
      </c>
      <c r="M41">
        <v>5250</v>
      </c>
      <c r="N41" t="s">
        <v>30</v>
      </c>
      <c r="O41">
        <v>0</v>
      </c>
      <c r="P41">
        <v>0</v>
      </c>
      <c r="Q41">
        <v>0</v>
      </c>
      <c r="R41">
        <v>298</v>
      </c>
      <c r="S41">
        <v>319</v>
      </c>
      <c r="T41">
        <v>273</v>
      </c>
      <c r="U41">
        <v>14</v>
      </c>
      <c r="V41" t="s">
        <v>30</v>
      </c>
      <c r="W41" t="s">
        <v>55</v>
      </c>
      <c r="X41" t="s">
        <v>32</v>
      </c>
      <c r="Y41" t="s">
        <v>33</v>
      </c>
    </row>
    <row r="42" spans="1:25" x14ac:dyDescent="0.25">
      <c r="A42">
        <v>2025</v>
      </c>
      <c r="B42" t="s">
        <v>25</v>
      </c>
      <c r="C42" t="s">
        <v>26</v>
      </c>
      <c r="D42" t="s">
        <v>54</v>
      </c>
      <c r="E42" t="s">
        <v>46</v>
      </c>
      <c r="F42" t="s">
        <v>47</v>
      </c>
      <c r="G42">
        <v>33</v>
      </c>
      <c r="H42">
        <v>38</v>
      </c>
      <c r="I42">
        <v>35</v>
      </c>
      <c r="J42">
        <v>850</v>
      </c>
      <c r="K42">
        <v>9</v>
      </c>
      <c r="L42">
        <v>10</v>
      </c>
      <c r="M42">
        <v>5250</v>
      </c>
      <c r="N42" t="s">
        <v>30</v>
      </c>
      <c r="O42">
        <v>0</v>
      </c>
      <c r="P42">
        <v>0</v>
      </c>
      <c r="Q42">
        <v>0</v>
      </c>
      <c r="R42">
        <v>298</v>
      </c>
      <c r="S42">
        <v>319</v>
      </c>
      <c r="T42">
        <v>273</v>
      </c>
      <c r="U42">
        <v>14</v>
      </c>
      <c r="V42" t="s">
        <v>30</v>
      </c>
      <c r="W42" t="s">
        <v>55</v>
      </c>
      <c r="X42" t="s">
        <v>32</v>
      </c>
      <c r="Y42" t="s">
        <v>33</v>
      </c>
    </row>
    <row r="43" spans="1:25" x14ac:dyDescent="0.25">
      <c r="A43">
        <v>2025</v>
      </c>
      <c r="B43" t="s">
        <v>25</v>
      </c>
      <c r="C43" t="s">
        <v>26</v>
      </c>
      <c r="D43" t="s">
        <v>57</v>
      </c>
      <c r="E43" t="s">
        <v>28</v>
      </c>
      <c r="F43" t="s">
        <v>29</v>
      </c>
      <c r="G43">
        <v>102</v>
      </c>
      <c r="H43">
        <v>89</v>
      </c>
      <c r="I43">
        <v>95</v>
      </c>
      <c r="J43">
        <v>850</v>
      </c>
      <c r="K43">
        <v>9</v>
      </c>
      <c r="L43">
        <v>10</v>
      </c>
      <c r="M43">
        <v>5250</v>
      </c>
      <c r="N43" t="s">
        <v>30</v>
      </c>
      <c r="O43">
        <v>0</v>
      </c>
      <c r="P43">
        <v>0</v>
      </c>
      <c r="Q43">
        <v>0</v>
      </c>
      <c r="R43">
        <v>295</v>
      </c>
      <c r="S43">
        <v>313</v>
      </c>
      <c r="T43">
        <v>273</v>
      </c>
      <c r="U43">
        <v>14</v>
      </c>
      <c r="V43" t="s">
        <v>30</v>
      </c>
      <c r="W43" t="s">
        <v>58</v>
      </c>
      <c r="X43" t="s">
        <v>32</v>
      </c>
      <c r="Y43" t="s">
        <v>33</v>
      </c>
    </row>
    <row r="44" spans="1:25" x14ac:dyDescent="0.25">
      <c r="A44">
        <v>2025</v>
      </c>
      <c r="B44" t="s">
        <v>25</v>
      </c>
      <c r="C44" t="s">
        <v>26</v>
      </c>
      <c r="D44" t="s">
        <v>57</v>
      </c>
      <c r="E44" t="s">
        <v>28</v>
      </c>
      <c r="F44" t="s">
        <v>29</v>
      </c>
      <c r="G44">
        <v>33</v>
      </c>
      <c r="H44">
        <v>38</v>
      </c>
      <c r="I44">
        <v>35</v>
      </c>
      <c r="J44">
        <v>850</v>
      </c>
      <c r="K44">
        <v>9</v>
      </c>
      <c r="L44">
        <v>10</v>
      </c>
      <c r="M44">
        <v>5250</v>
      </c>
      <c r="N44" t="s">
        <v>30</v>
      </c>
      <c r="O44">
        <v>0</v>
      </c>
      <c r="P44">
        <v>0</v>
      </c>
      <c r="Q44">
        <v>0</v>
      </c>
      <c r="R44">
        <v>295</v>
      </c>
      <c r="S44">
        <v>313</v>
      </c>
      <c r="T44">
        <v>273</v>
      </c>
      <c r="U44">
        <v>14</v>
      </c>
      <c r="V44" t="s">
        <v>30</v>
      </c>
      <c r="W44" t="s">
        <v>58</v>
      </c>
      <c r="X44" t="s">
        <v>32</v>
      </c>
      <c r="Y44" t="s">
        <v>33</v>
      </c>
    </row>
    <row r="45" spans="1:25" x14ac:dyDescent="0.25">
      <c r="A45">
        <v>2025</v>
      </c>
      <c r="B45" t="s">
        <v>25</v>
      </c>
      <c r="C45" t="s">
        <v>26</v>
      </c>
      <c r="D45" t="s">
        <v>62</v>
      </c>
      <c r="E45" t="s">
        <v>28</v>
      </c>
      <c r="F45" t="s">
        <v>29</v>
      </c>
      <c r="G45">
        <v>104</v>
      </c>
      <c r="H45">
        <v>92</v>
      </c>
      <c r="I45">
        <v>98</v>
      </c>
      <c r="J45">
        <v>800</v>
      </c>
      <c r="K45">
        <v>9</v>
      </c>
      <c r="L45">
        <v>10</v>
      </c>
      <c r="M45">
        <v>5500</v>
      </c>
      <c r="N45" t="s">
        <v>30</v>
      </c>
      <c r="O45">
        <v>0</v>
      </c>
      <c r="P45">
        <v>0</v>
      </c>
      <c r="Q45">
        <v>0</v>
      </c>
      <c r="R45">
        <v>305</v>
      </c>
      <c r="S45">
        <v>322</v>
      </c>
      <c r="T45">
        <v>284</v>
      </c>
      <c r="U45">
        <v>14</v>
      </c>
      <c r="V45" t="s">
        <v>30</v>
      </c>
      <c r="W45" t="s">
        <v>58</v>
      </c>
      <c r="X45" t="s">
        <v>32</v>
      </c>
      <c r="Y45" t="s">
        <v>33</v>
      </c>
    </row>
    <row r="46" spans="1:25" x14ac:dyDescent="0.25">
      <c r="A46">
        <v>2025</v>
      </c>
      <c r="B46" t="s">
        <v>25</v>
      </c>
      <c r="C46" t="s">
        <v>26</v>
      </c>
      <c r="D46" t="s">
        <v>62</v>
      </c>
      <c r="E46" t="s">
        <v>28</v>
      </c>
      <c r="F46" t="s">
        <v>29</v>
      </c>
      <c r="G46">
        <v>32</v>
      </c>
      <c r="H46">
        <v>37</v>
      </c>
      <c r="I46">
        <v>34</v>
      </c>
      <c r="J46">
        <v>800</v>
      </c>
      <c r="K46">
        <v>9</v>
      </c>
      <c r="L46">
        <v>10</v>
      </c>
      <c r="M46">
        <v>5500</v>
      </c>
      <c r="N46" t="s">
        <v>30</v>
      </c>
      <c r="O46">
        <v>0</v>
      </c>
      <c r="P46">
        <v>0</v>
      </c>
      <c r="Q46">
        <v>0</v>
      </c>
      <c r="R46">
        <v>305</v>
      </c>
      <c r="S46">
        <v>322</v>
      </c>
      <c r="T46">
        <v>284</v>
      </c>
      <c r="U46">
        <v>14</v>
      </c>
      <c r="V46" t="s">
        <v>30</v>
      </c>
      <c r="W46" t="s">
        <v>58</v>
      </c>
      <c r="X46" t="s">
        <v>32</v>
      </c>
      <c r="Y46" t="s">
        <v>33</v>
      </c>
    </row>
    <row r="47" spans="1:25" x14ac:dyDescent="0.25">
      <c r="A47">
        <v>2025</v>
      </c>
      <c r="B47" t="s">
        <v>63</v>
      </c>
      <c r="C47" t="s">
        <v>63</v>
      </c>
      <c r="D47" t="s">
        <v>64</v>
      </c>
      <c r="E47" t="s">
        <v>28</v>
      </c>
      <c r="F47" t="s">
        <v>29</v>
      </c>
      <c r="G47">
        <v>87</v>
      </c>
      <c r="H47">
        <v>85</v>
      </c>
      <c r="I47">
        <v>86</v>
      </c>
      <c r="J47">
        <v>950</v>
      </c>
      <c r="K47">
        <v>9</v>
      </c>
      <c r="L47">
        <v>10</v>
      </c>
      <c r="M47">
        <v>4750</v>
      </c>
      <c r="N47" t="s">
        <v>30</v>
      </c>
      <c r="O47">
        <v>0</v>
      </c>
      <c r="P47">
        <v>0</v>
      </c>
      <c r="Q47">
        <v>0</v>
      </c>
      <c r="R47">
        <v>217</v>
      </c>
      <c r="S47">
        <v>219</v>
      </c>
      <c r="T47">
        <v>215</v>
      </c>
      <c r="U47">
        <v>9</v>
      </c>
      <c r="V47" t="s">
        <v>30</v>
      </c>
      <c r="W47" t="s">
        <v>65</v>
      </c>
      <c r="X47" t="s">
        <v>32</v>
      </c>
      <c r="Y47" t="s">
        <v>33</v>
      </c>
    </row>
    <row r="48" spans="1:25" x14ac:dyDescent="0.25">
      <c r="A48">
        <v>2025</v>
      </c>
      <c r="B48" t="s">
        <v>63</v>
      </c>
      <c r="C48" t="s">
        <v>63</v>
      </c>
      <c r="D48" t="s">
        <v>64</v>
      </c>
      <c r="E48" t="s">
        <v>28</v>
      </c>
      <c r="F48" t="s">
        <v>29</v>
      </c>
      <c r="G48">
        <v>39</v>
      </c>
      <c r="H48">
        <v>40</v>
      </c>
      <c r="I48">
        <v>39</v>
      </c>
      <c r="J48">
        <v>950</v>
      </c>
      <c r="K48">
        <v>9</v>
      </c>
      <c r="L48">
        <v>10</v>
      </c>
      <c r="M48">
        <v>4750</v>
      </c>
      <c r="N48" t="s">
        <v>30</v>
      </c>
      <c r="O48">
        <v>0</v>
      </c>
      <c r="P48">
        <v>0</v>
      </c>
      <c r="Q48">
        <v>0</v>
      </c>
      <c r="R48">
        <v>217</v>
      </c>
      <c r="S48">
        <v>219</v>
      </c>
      <c r="T48">
        <v>215</v>
      </c>
      <c r="U48">
        <v>9</v>
      </c>
      <c r="V48" t="s">
        <v>30</v>
      </c>
      <c r="W48" t="s">
        <v>65</v>
      </c>
      <c r="X48" t="s">
        <v>32</v>
      </c>
      <c r="Y48" t="s">
        <v>33</v>
      </c>
    </row>
    <row r="49" spans="1:25" x14ac:dyDescent="0.25">
      <c r="A49">
        <v>2025</v>
      </c>
      <c r="B49" t="s">
        <v>63</v>
      </c>
      <c r="C49" t="s">
        <v>63</v>
      </c>
      <c r="D49" t="s">
        <v>66</v>
      </c>
      <c r="E49" t="s">
        <v>28</v>
      </c>
      <c r="F49" t="s">
        <v>29</v>
      </c>
      <c r="G49">
        <v>84</v>
      </c>
      <c r="H49">
        <v>81</v>
      </c>
      <c r="I49">
        <v>83</v>
      </c>
      <c r="J49">
        <v>1000</v>
      </c>
      <c r="K49">
        <v>9</v>
      </c>
      <c r="L49">
        <v>10</v>
      </c>
      <c r="M49">
        <v>4500</v>
      </c>
      <c r="N49" t="s">
        <v>30</v>
      </c>
      <c r="O49">
        <v>0</v>
      </c>
      <c r="P49">
        <v>0</v>
      </c>
      <c r="Q49">
        <v>0</v>
      </c>
      <c r="R49">
        <v>211</v>
      </c>
      <c r="S49">
        <v>214</v>
      </c>
      <c r="T49">
        <v>207</v>
      </c>
      <c r="U49">
        <v>9</v>
      </c>
      <c r="V49" t="s">
        <v>30</v>
      </c>
      <c r="W49" t="s">
        <v>65</v>
      </c>
      <c r="X49" t="s">
        <v>32</v>
      </c>
      <c r="Y49" t="s">
        <v>33</v>
      </c>
    </row>
    <row r="50" spans="1:25" x14ac:dyDescent="0.25">
      <c r="A50">
        <v>2025</v>
      </c>
      <c r="B50" t="s">
        <v>63</v>
      </c>
      <c r="C50" t="s">
        <v>63</v>
      </c>
      <c r="D50" t="s">
        <v>66</v>
      </c>
      <c r="E50" t="s">
        <v>28</v>
      </c>
      <c r="F50" t="s">
        <v>29</v>
      </c>
      <c r="G50">
        <v>40</v>
      </c>
      <c r="H50">
        <v>41</v>
      </c>
      <c r="I50">
        <v>41</v>
      </c>
      <c r="J50">
        <v>1000</v>
      </c>
      <c r="K50">
        <v>9</v>
      </c>
      <c r="L50">
        <v>10</v>
      </c>
      <c r="M50">
        <v>4500</v>
      </c>
      <c r="N50" t="s">
        <v>30</v>
      </c>
      <c r="O50">
        <v>0</v>
      </c>
      <c r="P50">
        <v>0</v>
      </c>
      <c r="Q50">
        <v>0</v>
      </c>
      <c r="R50">
        <v>211</v>
      </c>
      <c r="S50">
        <v>214</v>
      </c>
      <c r="T50">
        <v>207</v>
      </c>
      <c r="U50">
        <v>9</v>
      </c>
      <c r="V50" t="s">
        <v>30</v>
      </c>
      <c r="W50" t="s">
        <v>65</v>
      </c>
      <c r="X50" t="s">
        <v>32</v>
      </c>
      <c r="Y50" t="s">
        <v>33</v>
      </c>
    </row>
    <row r="51" spans="1:25" x14ac:dyDescent="0.25">
      <c r="A51">
        <v>2025</v>
      </c>
      <c r="B51" t="s">
        <v>63</v>
      </c>
      <c r="C51" t="s">
        <v>63</v>
      </c>
      <c r="D51" t="s">
        <v>67</v>
      </c>
      <c r="E51" t="s">
        <v>28</v>
      </c>
      <c r="F51" t="s">
        <v>29</v>
      </c>
      <c r="G51">
        <v>89</v>
      </c>
      <c r="H51">
        <v>85</v>
      </c>
      <c r="I51">
        <v>87</v>
      </c>
      <c r="J51">
        <v>950</v>
      </c>
      <c r="K51">
        <v>9</v>
      </c>
      <c r="L51">
        <v>10</v>
      </c>
      <c r="M51">
        <v>4750</v>
      </c>
      <c r="N51" t="s">
        <v>30</v>
      </c>
      <c r="O51">
        <v>0</v>
      </c>
      <c r="P51">
        <v>0</v>
      </c>
      <c r="Q51">
        <v>0</v>
      </c>
      <c r="R51">
        <v>219</v>
      </c>
      <c r="S51">
        <v>223</v>
      </c>
      <c r="T51">
        <v>214</v>
      </c>
      <c r="U51">
        <v>9</v>
      </c>
      <c r="V51" t="s">
        <v>30</v>
      </c>
      <c r="W51" t="s">
        <v>65</v>
      </c>
      <c r="X51" t="s">
        <v>32</v>
      </c>
      <c r="Y51" t="s">
        <v>33</v>
      </c>
    </row>
    <row r="52" spans="1:25" x14ac:dyDescent="0.25">
      <c r="A52">
        <v>2025</v>
      </c>
      <c r="B52" t="s">
        <v>63</v>
      </c>
      <c r="C52" t="s">
        <v>63</v>
      </c>
      <c r="D52" t="s">
        <v>67</v>
      </c>
      <c r="E52" t="s">
        <v>28</v>
      </c>
      <c r="F52" t="s">
        <v>29</v>
      </c>
      <c r="G52">
        <v>38</v>
      </c>
      <c r="H52">
        <v>39</v>
      </c>
      <c r="I52">
        <v>39</v>
      </c>
      <c r="J52">
        <v>950</v>
      </c>
      <c r="K52">
        <v>9</v>
      </c>
      <c r="L52">
        <v>10</v>
      </c>
      <c r="M52">
        <v>4750</v>
      </c>
      <c r="N52" t="s">
        <v>30</v>
      </c>
      <c r="O52">
        <v>0</v>
      </c>
      <c r="P52">
        <v>0</v>
      </c>
      <c r="Q52">
        <v>0</v>
      </c>
      <c r="R52">
        <v>219</v>
      </c>
      <c r="S52">
        <v>223</v>
      </c>
      <c r="T52">
        <v>214</v>
      </c>
      <c r="U52">
        <v>9</v>
      </c>
      <c r="V52" t="s">
        <v>30</v>
      </c>
      <c r="W52" t="s">
        <v>65</v>
      </c>
      <c r="X52" t="s">
        <v>32</v>
      </c>
      <c r="Y52" t="s">
        <v>33</v>
      </c>
    </row>
    <row r="53" spans="1:25" x14ac:dyDescent="0.25">
      <c r="A53">
        <v>2025</v>
      </c>
      <c r="B53" t="s">
        <v>63</v>
      </c>
      <c r="C53" t="s">
        <v>63</v>
      </c>
      <c r="D53" t="s">
        <v>68</v>
      </c>
      <c r="E53" t="s">
        <v>28</v>
      </c>
      <c r="F53" t="s">
        <v>29</v>
      </c>
      <c r="G53">
        <v>82</v>
      </c>
      <c r="H53">
        <v>84</v>
      </c>
      <c r="I53">
        <v>83</v>
      </c>
      <c r="J53">
        <v>950</v>
      </c>
      <c r="K53">
        <v>9</v>
      </c>
      <c r="L53">
        <v>10</v>
      </c>
      <c r="M53">
        <v>4750</v>
      </c>
      <c r="N53" t="s">
        <v>30</v>
      </c>
      <c r="O53">
        <v>0</v>
      </c>
      <c r="P53">
        <v>0</v>
      </c>
      <c r="Q53">
        <v>0</v>
      </c>
      <c r="R53">
        <v>309</v>
      </c>
      <c r="S53">
        <v>306</v>
      </c>
      <c r="T53">
        <v>313</v>
      </c>
      <c r="U53">
        <v>13</v>
      </c>
      <c r="V53" t="s">
        <v>30</v>
      </c>
      <c r="W53" t="s">
        <v>65</v>
      </c>
      <c r="X53" t="s">
        <v>32</v>
      </c>
      <c r="Y53" t="s">
        <v>33</v>
      </c>
    </row>
    <row r="54" spans="1:25" x14ac:dyDescent="0.25">
      <c r="A54">
        <v>2025</v>
      </c>
      <c r="B54" t="s">
        <v>63</v>
      </c>
      <c r="C54" t="s">
        <v>63</v>
      </c>
      <c r="D54" t="s">
        <v>68</v>
      </c>
      <c r="E54" t="s">
        <v>28</v>
      </c>
      <c r="F54" t="s">
        <v>29</v>
      </c>
      <c r="G54">
        <v>41</v>
      </c>
      <c r="H54">
        <v>40</v>
      </c>
      <c r="I54">
        <v>41</v>
      </c>
      <c r="J54">
        <v>950</v>
      </c>
      <c r="K54">
        <v>9</v>
      </c>
      <c r="L54">
        <v>10</v>
      </c>
      <c r="M54">
        <v>4750</v>
      </c>
      <c r="N54" t="s">
        <v>30</v>
      </c>
      <c r="O54">
        <v>0</v>
      </c>
      <c r="P54">
        <v>0</v>
      </c>
      <c r="Q54">
        <v>0</v>
      </c>
      <c r="R54">
        <v>309</v>
      </c>
      <c r="S54">
        <v>306</v>
      </c>
      <c r="T54">
        <v>313</v>
      </c>
      <c r="U54">
        <v>13</v>
      </c>
      <c r="V54" t="s">
        <v>30</v>
      </c>
      <c r="W54" t="s">
        <v>65</v>
      </c>
      <c r="X54" t="s">
        <v>32</v>
      </c>
      <c r="Y54" t="s">
        <v>33</v>
      </c>
    </row>
    <row r="55" spans="1:25" x14ac:dyDescent="0.25">
      <c r="A55">
        <v>2025</v>
      </c>
      <c r="B55" t="s">
        <v>63</v>
      </c>
      <c r="C55" t="s">
        <v>63</v>
      </c>
      <c r="D55" t="s">
        <v>69</v>
      </c>
      <c r="E55" t="s">
        <v>28</v>
      </c>
      <c r="F55" t="s">
        <v>29</v>
      </c>
      <c r="G55">
        <v>82</v>
      </c>
      <c r="H55">
        <v>81</v>
      </c>
      <c r="I55">
        <v>81</v>
      </c>
      <c r="J55">
        <v>1000</v>
      </c>
      <c r="K55">
        <v>9</v>
      </c>
      <c r="L55">
        <v>10</v>
      </c>
      <c r="M55">
        <v>4500</v>
      </c>
      <c r="N55" t="s">
        <v>30</v>
      </c>
      <c r="O55">
        <v>0</v>
      </c>
      <c r="P55">
        <v>0</v>
      </c>
      <c r="Q55">
        <v>0</v>
      </c>
      <c r="R55">
        <v>303</v>
      </c>
      <c r="S55">
        <v>304</v>
      </c>
      <c r="T55">
        <v>302</v>
      </c>
      <c r="U55">
        <v>13</v>
      </c>
      <c r="V55" t="s">
        <v>30</v>
      </c>
      <c r="W55" t="s">
        <v>65</v>
      </c>
      <c r="X55" t="s">
        <v>32</v>
      </c>
      <c r="Y55" t="s">
        <v>33</v>
      </c>
    </row>
    <row r="56" spans="1:25" x14ac:dyDescent="0.25">
      <c r="A56">
        <v>2025</v>
      </c>
      <c r="B56" t="s">
        <v>63</v>
      </c>
      <c r="C56" t="s">
        <v>63</v>
      </c>
      <c r="D56" t="s">
        <v>69</v>
      </c>
      <c r="E56" t="s">
        <v>28</v>
      </c>
      <c r="F56" t="s">
        <v>29</v>
      </c>
      <c r="G56">
        <v>41</v>
      </c>
      <c r="H56">
        <v>42</v>
      </c>
      <c r="I56">
        <v>41</v>
      </c>
      <c r="J56">
        <v>1000</v>
      </c>
      <c r="K56">
        <v>9</v>
      </c>
      <c r="L56">
        <v>10</v>
      </c>
      <c r="M56">
        <v>4500</v>
      </c>
      <c r="N56" t="s">
        <v>30</v>
      </c>
      <c r="O56">
        <v>0</v>
      </c>
      <c r="P56">
        <v>0</v>
      </c>
      <c r="Q56">
        <v>0</v>
      </c>
      <c r="R56">
        <v>303</v>
      </c>
      <c r="S56">
        <v>304</v>
      </c>
      <c r="T56">
        <v>302</v>
      </c>
      <c r="U56">
        <v>13</v>
      </c>
      <c r="V56" t="s">
        <v>30</v>
      </c>
      <c r="W56" t="s">
        <v>65</v>
      </c>
      <c r="X56" t="s">
        <v>32</v>
      </c>
      <c r="Y56" t="s">
        <v>33</v>
      </c>
    </row>
    <row r="57" spans="1:25" x14ac:dyDescent="0.25">
      <c r="A57">
        <v>2025</v>
      </c>
      <c r="B57" t="s">
        <v>63</v>
      </c>
      <c r="C57" t="s">
        <v>63</v>
      </c>
      <c r="D57" t="s">
        <v>70</v>
      </c>
      <c r="E57" t="s">
        <v>28</v>
      </c>
      <c r="F57" t="s">
        <v>29</v>
      </c>
      <c r="G57">
        <v>82</v>
      </c>
      <c r="H57">
        <v>81</v>
      </c>
      <c r="I57">
        <v>81</v>
      </c>
      <c r="J57">
        <v>1000</v>
      </c>
      <c r="K57">
        <v>9</v>
      </c>
      <c r="L57">
        <v>10</v>
      </c>
      <c r="M57">
        <v>4500</v>
      </c>
      <c r="N57" t="s">
        <v>30</v>
      </c>
      <c r="O57">
        <v>0</v>
      </c>
      <c r="P57">
        <v>0</v>
      </c>
      <c r="Q57">
        <v>0</v>
      </c>
      <c r="R57">
        <v>302</v>
      </c>
      <c r="S57">
        <v>303</v>
      </c>
      <c r="T57">
        <v>301</v>
      </c>
      <c r="U57">
        <v>13</v>
      </c>
      <c r="V57" t="s">
        <v>30</v>
      </c>
      <c r="W57" t="s">
        <v>65</v>
      </c>
      <c r="X57" t="s">
        <v>32</v>
      </c>
      <c r="Y57" t="s">
        <v>33</v>
      </c>
    </row>
    <row r="58" spans="1:25" x14ac:dyDescent="0.25">
      <c r="A58">
        <v>2025</v>
      </c>
      <c r="B58" t="s">
        <v>63</v>
      </c>
      <c r="C58" t="s">
        <v>63</v>
      </c>
      <c r="D58" t="s">
        <v>70</v>
      </c>
      <c r="E58" t="s">
        <v>28</v>
      </c>
      <c r="F58" t="s">
        <v>29</v>
      </c>
      <c r="G58">
        <v>41</v>
      </c>
      <c r="H58">
        <v>42</v>
      </c>
      <c r="I58">
        <v>41</v>
      </c>
      <c r="J58">
        <v>1000</v>
      </c>
      <c r="K58">
        <v>9</v>
      </c>
      <c r="L58">
        <v>10</v>
      </c>
      <c r="M58">
        <v>4500</v>
      </c>
      <c r="N58" t="s">
        <v>30</v>
      </c>
      <c r="O58">
        <v>0</v>
      </c>
      <c r="P58">
        <v>0</v>
      </c>
      <c r="Q58">
        <v>0</v>
      </c>
      <c r="R58">
        <v>302</v>
      </c>
      <c r="S58">
        <v>303</v>
      </c>
      <c r="T58">
        <v>301</v>
      </c>
      <c r="U58">
        <v>13</v>
      </c>
      <c r="V58" t="s">
        <v>30</v>
      </c>
      <c r="W58" t="s">
        <v>65</v>
      </c>
      <c r="X58" t="s">
        <v>32</v>
      </c>
      <c r="Y58" t="s">
        <v>33</v>
      </c>
    </row>
    <row r="59" spans="1:25" x14ac:dyDescent="0.25">
      <c r="A59">
        <v>2025</v>
      </c>
      <c r="B59" t="s">
        <v>63</v>
      </c>
      <c r="C59" t="s">
        <v>63</v>
      </c>
      <c r="D59" t="s">
        <v>71</v>
      </c>
      <c r="E59" t="s">
        <v>28</v>
      </c>
      <c r="F59" t="s">
        <v>29</v>
      </c>
      <c r="G59">
        <v>75</v>
      </c>
      <c r="H59">
        <v>77</v>
      </c>
      <c r="I59">
        <v>76</v>
      </c>
      <c r="J59">
        <v>1050</v>
      </c>
      <c r="K59">
        <v>9</v>
      </c>
      <c r="L59">
        <v>10</v>
      </c>
      <c r="M59">
        <v>4250</v>
      </c>
      <c r="N59" t="s">
        <v>30</v>
      </c>
      <c r="O59">
        <v>0</v>
      </c>
      <c r="P59">
        <v>0</v>
      </c>
      <c r="Q59">
        <v>0</v>
      </c>
      <c r="R59">
        <v>284</v>
      </c>
      <c r="S59">
        <v>280</v>
      </c>
      <c r="T59">
        <v>289</v>
      </c>
      <c r="U59">
        <v>13</v>
      </c>
      <c r="V59" t="s">
        <v>30</v>
      </c>
      <c r="W59" t="s">
        <v>72</v>
      </c>
      <c r="X59" t="s">
        <v>32</v>
      </c>
      <c r="Y59" t="s">
        <v>33</v>
      </c>
    </row>
    <row r="60" spans="1:25" x14ac:dyDescent="0.25">
      <c r="A60">
        <v>2025</v>
      </c>
      <c r="B60" t="s">
        <v>63</v>
      </c>
      <c r="C60" t="s">
        <v>63</v>
      </c>
      <c r="D60" t="s">
        <v>71</v>
      </c>
      <c r="E60" t="s">
        <v>28</v>
      </c>
      <c r="F60" t="s">
        <v>29</v>
      </c>
      <c r="G60">
        <v>45</v>
      </c>
      <c r="H60">
        <v>44</v>
      </c>
      <c r="I60">
        <v>44</v>
      </c>
      <c r="J60">
        <v>1050</v>
      </c>
      <c r="K60">
        <v>9</v>
      </c>
      <c r="L60">
        <v>10</v>
      </c>
      <c r="M60">
        <v>4250</v>
      </c>
      <c r="N60" t="s">
        <v>30</v>
      </c>
      <c r="O60">
        <v>0</v>
      </c>
      <c r="P60">
        <v>0</v>
      </c>
      <c r="Q60">
        <v>0</v>
      </c>
      <c r="R60">
        <v>284</v>
      </c>
      <c r="S60">
        <v>280</v>
      </c>
      <c r="T60">
        <v>289</v>
      </c>
      <c r="U60">
        <v>13</v>
      </c>
      <c r="V60" t="s">
        <v>30</v>
      </c>
      <c r="W60" t="s">
        <v>72</v>
      </c>
      <c r="X60" t="s">
        <v>32</v>
      </c>
      <c r="Y60" t="s">
        <v>33</v>
      </c>
    </row>
    <row r="61" spans="1:25" x14ac:dyDescent="0.25">
      <c r="A61">
        <v>2025</v>
      </c>
      <c r="B61" t="s">
        <v>63</v>
      </c>
      <c r="C61" t="s">
        <v>63</v>
      </c>
      <c r="D61" t="s">
        <v>73</v>
      </c>
      <c r="E61" t="s">
        <v>28</v>
      </c>
      <c r="F61" t="s">
        <v>29</v>
      </c>
      <c r="G61">
        <v>75</v>
      </c>
      <c r="H61">
        <v>79</v>
      </c>
      <c r="I61">
        <v>77</v>
      </c>
      <c r="J61">
        <v>1050</v>
      </c>
      <c r="K61">
        <v>9</v>
      </c>
      <c r="L61">
        <v>10</v>
      </c>
      <c r="M61">
        <v>4250</v>
      </c>
      <c r="N61" t="s">
        <v>30</v>
      </c>
      <c r="O61">
        <v>0</v>
      </c>
      <c r="P61">
        <v>0</v>
      </c>
      <c r="Q61">
        <v>0</v>
      </c>
      <c r="R61">
        <v>285</v>
      </c>
      <c r="S61">
        <v>278</v>
      </c>
      <c r="T61">
        <v>293</v>
      </c>
      <c r="U61">
        <v>13</v>
      </c>
      <c r="V61" t="s">
        <v>30</v>
      </c>
      <c r="W61" t="s">
        <v>72</v>
      </c>
      <c r="X61" t="s">
        <v>32</v>
      </c>
      <c r="Y61" t="s">
        <v>33</v>
      </c>
    </row>
    <row r="62" spans="1:25" x14ac:dyDescent="0.25">
      <c r="A62">
        <v>2025</v>
      </c>
      <c r="B62" t="s">
        <v>63</v>
      </c>
      <c r="C62" t="s">
        <v>63</v>
      </c>
      <c r="D62" t="s">
        <v>73</v>
      </c>
      <c r="E62" t="s">
        <v>28</v>
      </c>
      <c r="F62" t="s">
        <v>29</v>
      </c>
      <c r="G62">
        <v>45</v>
      </c>
      <c r="H62">
        <v>42</v>
      </c>
      <c r="I62">
        <v>44</v>
      </c>
      <c r="J62">
        <v>1050</v>
      </c>
      <c r="K62">
        <v>9</v>
      </c>
      <c r="L62">
        <v>10</v>
      </c>
      <c r="M62">
        <v>4250</v>
      </c>
      <c r="N62" t="s">
        <v>30</v>
      </c>
      <c r="O62">
        <v>0</v>
      </c>
      <c r="P62">
        <v>0</v>
      </c>
      <c r="Q62">
        <v>0</v>
      </c>
      <c r="R62">
        <v>285</v>
      </c>
      <c r="S62">
        <v>278</v>
      </c>
      <c r="T62">
        <v>293</v>
      </c>
      <c r="U62">
        <v>13</v>
      </c>
      <c r="V62" t="s">
        <v>30</v>
      </c>
      <c r="W62" t="s">
        <v>72</v>
      </c>
      <c r="X62" t="s">
        <v>32</v>
      </c>
      <c r="Y62" t="s">
        <v>33</v>
      </c>
    </row>
    <row r="63" spans="1:25" x14ac:dyDescent="0.25">
      <c r="A63">
        <v>2025</v>
      </c>
      <c r="B63" t="s">
        <v>63</v>
      </c>
      <c r="C63" t="s">
        <v>63</v>
      </c>
      <c r="D63" t="s">
        <v>74</v>
      </c>
      <c r="E63" t="s">
        <v>46</v>
      </c>
      <c r="F63" t="s">
        <v>75</v>
      </c>
      <c r="G63">
        <v>117</v>
      </c>
      <c r="H63">
        <v>114</v>
      </c>
      <c r="I63">
        <v>116</v>
      </c>
      <c r="J63">
        <v>700</v>
      </c>
      <c r="K63">
        <v>9</v>
      </c>
      <c r="L63">
        <v>10</v>
      </c>
      <c r="M63">
        <v>6000</v>
      </c>
      <c r="N63" t="s">
        <v>30</v>
      </c>
      <c r="O63">
        <v>0</v>
      </c>
      <c r="P63">
        <v>0</v>
      </c>
      <c r="Q63">
        <v>0</v>
      </c>
      <c r="R63">
        <v>266</v>
      </c>
      <c r="S63">
        <v>269</v>
      </c>
      <c r="T63">
        <v>262</v>
      </c>
      <c r="U63">
        <v>8</v>
      </c>
      <c r="V63" t="s">
        <v>30</v>
      </c>
      <c r="W63" t="s">
        <v>76</v>
      </c>
      <c r="X63" t="s">
        <v>32</v>
      </c>
      <c r="Y63" t="s">
        <v>33</v>
      </c>
    </row>
    <row r="64" spans="1:25" x14ac:dyDescent="0.25">
      <c r="A64">
        <v>2025</v>
      </c>
      <c r="B64" t="s">
        <v>63</v>
      </c>
      <c r="C64" t="s">
        <v>63</v>
      </c>
      <c r="D64" t="s">
        <v>74</v>
      </c>
      <c r="E64" t="s">
        <v>46</v>
      </c>
      <c r="F64" t="s">
        <v>75</v>
      </c>
      <c r="G64">
        <v>29</v>
      </c>
      <c r="H64">
        <v>30</v>
      </c>
      <c r="I64">
        <v>29</v>
      </c>
      <c r="J64">
        <v>700</v>
      </c>
      <c r="K64">
        <v>9</v>
      </c>
      <c r="L64">
        <v>10</v>
      </c>
      <c r="M64">
        <v>6000</v>
      </c>
      <c r="N64" t="s">
        <v>30</v>
      </c>
      <c r="O64">
        <v>0</v>
      </c>
      <c r="P64">
        <v>0</v>
      </c>
      <c r="Q64">
        <v>0</v>
      </c>
      <c r="R64">
        <v>266</v>
      </c>
      <c r="S64">
        <v>269</v>
      </c>
      <c r="T64">
        <v>262</v>
      </c>
      <c r="U64">
        <v>8</v>
      </c>
      <c r="V64" t="s">
        <v>30</v>
      </c>
      <c r="W64" t="s">
        <v>76</v>
      </c>
      <c r="X64" t="s">
        <v>32</v>
      </c>
      <c r="Y64" t="s">
        <v>33</v>
      </c>
    </row>
    <row r="65" spans="1:25" x14ac:dyDescent="0.25">
      <c r="A65">
        <v>2025</v>
      </c>
      <c r="B65" t="s">
        <v>63</v>
      </c>
      <c r="C65" t="s">
        <v>63</v>
      </c>
      <c r="D65" t="s">
        <v>77</v>
      </c>
      <c r="E65" t="s">
        <v>46</v>
      </c>
      <c r="F65" t="s">
        <v>75</v>
      </c>
      <c r="G65">
        <v>108</v>
      </c>
      <c r="H65">
        <v>104</v>
      </c>
      <c r="I65">
        <v>106</v>
      </c>
      <c r="J65">
        <v>750</v>
      </c>
      <c r="K65">
        <v>9</v>
      </c>
      <c r="L65">
        <v>10</v>
      </c>
      <c r="M65">
        <v>5750</v>
      </c>
      <c r="N65" t="s">
        <v>30</v>
      </c>
      <c r="O65">
        <v>0</v>
      </c>
      <c r="P65">
        <v>0</v>
      </c>
      <c r="Q65">
        <v>0</v>
      </c>
      <c r="R65">
        <v>244</v>
      </c>
      <c r="S65">
        <v>248</v>
      </c>
      <c r="T65">
        <v>239</v>
      </c>
      <c r="U65">
        <v>8</v>
      </c>
      <c r="V65" t="s">
        <v>30</v>
      </c>
      <c r="W65" t="s">
        <v>76</v>
      </c>
      <c r="X65" t="s">
        <v>32</v>
      </c>
      <c r="Y65" t="s">
        <v>33</v>
      </c>
    </row>
    <row r="66" spans="1:25" x14ac:dyDescent="0.25">
      <c r="A66">
        <v>2025</v>
      </c>
      <c r="B66" t="s">
        <v>63</v>
      </c>
      <c r="C66" t="s">
        <v>63</v>
      </c>
      <c r="D66" t="s">
        <v>77</v>
      </c>
      <c r="E66" t="s">
        <v>46</v>
      </c>
      <c r="F66" t="s">
        <v>75</v>
      </c>
      <c r="G66">
        <v>31</v>
      </c>
      <c r="H66">
        <v>32</v>
      </c>
      <c r="I66">
        <v>32</v>
      </c>
      <c r="J66">
        <v>750</v>
      </c>
      <c r="K66">
        <v>9</v>
      </c>
      <c r="L66">
        <v>10</v>
      </c>
      <c r="M66">
        <v>5750</v>
      </c>
      <c r="N66" t="s">
        <v>30</v>
      </c>
      <c r="O66">
        <v>0</v>
      </c>
      <c r="P66">
        <v>0</v>
      </c>
      <c r="Q66">
        <v>0</v>
      </c>
      <c r="R66">
        <v>244</v>
      </c>
      <c r="S66">
        <v>248</v>
      </c>
      <c r="T66">
        <v>239</v>
      </c>
      <c r="U66">
        <v>8</v>
      </c>
      <c r="V66" t="s">
        <v>30</v>
      </c>
      <c r="W66" t="s">
        <v>76</v>
      </c>
      <c r="X66" t="s">
        <v>32</v>
      </c>
      <c r="Y66" t="s">
        <v>33</v>
      </c>
    </row>
    <row r="67" spans="1:25" x14ac:dyDescent="0.25">
      <c r="A67">
        <v>2025</v>
      </c>
      <c r="B67" t="s">
        <v>63</v>
      </c>
      <c r="C67" t="s">
        <v>63</v>
      </c>
      <c r="D67" t="s">
        <v>78</v>
      </c>
      <c r="E67" t="s">
        <v>46</v>
      </c>
      <c r="F67" t="s">
        <v>75</v>
      </c>
      <c r="G67">
        <v>113</v>
      </c>
      <c r="H67">
        <v>111</v>
      </c>
      <c r="I67">
        <v>112</v>
      </c>
      <c r="J67">
        <v>700</v>
      </c>
      <c r="K67">
        <v>9</v>
      </c>
      <c r="L67">
        <v>10</v>
      </c>
      <c r="M67">
        <v>6000</v>
      </c>
      <c r="N67" t="s">
        <v>30</v>
      </c>
      <c r="O67">
        <v>0</v>
      </c>
      <c r="P67">
        <v>0</v>
      </c>
      <c r="Q67">
        <v>0</v>
      </c>
      <c r="R67">
        <v>318</v>
      </c>
      <c r="S67">
        <v>320</v>
      </c>
      <c r="T67">
        <v>315</v>
      </c>
      <c r="U67">
        <v>10</v>
      </c>
      <c r="V67" t="s">
        <v>30</v>
      </c>
      <c r="W67" t="s">
        <v>76</v>
      </c>
      <c r="X67" t="s">
        <v>32</v>
      </c>
      <c r="Y67" t="s">
        <v>33</v>
      </c>
    </row>
    <row r="68" spans="1:25" x14ac:dyDescent="0.25">
      <c r="A68">
        <v>2025</v>
      </c>
      <c r="B68" t="s">
        <v>63</v>
      </c>
      <c r="C68" t="s">
        <v>63</v>
      </c>
      <c r="D68" t="s">
        <v>78</v>
      </c>
      <c r="E68" t="s">
        <v>46</v>
      </c>
      <c r="F68" t="s">
        <v>75</v>
      </c>
      <c r="G68">
        <v>30</v>
      </c>
      <c r="H68">
        <v>30</v>
      </c>
      <c r="I68">
        <v>30</v>
      </c>
      <c r="J68">
        <v>700</v>
      </c>
      <c r="K68">
        <v>9</v>
      </c>
      <c r="L68">
        <v>10</v>
      </c>
      <c r="M68">
        <v>6000</v>
      </c>
      <c r="N68" t="s">
        <v>30</v>
      </c>
      <c r="O68">
        <v>0</v>
      </c>
      <c r="P68">
        <v>0</v>
      </c>
      <c r="Q68">
        <v>0</v>
      </c>
      <c r="R68">
        <v>318</v>
      </c>
      <c r="S68">
        <v>320</v>
      </c>
      <c r="T68">
        <v>315</v>
      </c>
      <c r="U68">
        <v>10</v>
      </c>
      <c r="V68" t="s">
        <v>30</v>
      </c>
      <c r="W68" t="s">
        <v>76</v>
      </c>
      <c r="X68" t="s">
        <v>32</v>
      </c>
      <c r="Y68" t="s">
        <v>33</v>
      </c>
    </row>
    <row r="69" spans="1:25" x14ac:dyDescent="0.25">
      <c r="A69">
        <v>2025</v>
      </c>
      <c r="B69" t="s">
        <v>63</v>
      </c>
      <c r="C69" t="s">
        <v>63</v>
      </c>
      <c r="D69" t="s">
        <v>79</v>
      </c>
      <c r="E69" t="s">
        <v>46</v>
      </c>
      <c r="F69" t="s">
        <v>75</v>
      </c>
      <c r="G69">
        <v>106</v>
      </c>
      <c r="H69">
        <v>103</v>
      </c>
      <c r="I69">
        <v>104</v>
      </c>
      <c r="J69">
        <v>800</v>
      </c>
      <c r="K69">
        <v>9</v>
      </c>
      <c r="L69">
        <v>10</v>
      </c>
      <c r="M69">
        <v>5500</v>
      </c>
      <c r="N69" t="s">
        <v>30</v>
      </c>
      <c r="O69">
        <v>0</v>
      </c>
      <c r="P69">
        <v>0</v>
      </c>
      <c r="Q69">
        <v>0</v>
      </c>
      <c r="R69">
        <v>295</v>
      </c>
      <c r="S69">
        <v>298</v>
      </c>
      <c r="T69">
        <v>291</v>
      </c>
      <c r="U69">
        <v>10</v>
      </c>
      <c r="V69" t="s">
        <v>30</v>
      </c>
      <c r="W69" t="s">
        <v>76</v>
      </c>
      <c r="X69" t="s">
        <v>32</v>
      </c>
      <c r="Y69" t="s">
        <v>33</v>
      </c>
    </row>
    <row r="70" spans="1:25" x14ac:dyDescent="0.25">
      <c r="A70">
        <v>2025</v>
      </c>
      <c r="B70" t="s">
        <v>63</v>
      </c>
      <c r="C70" t="s">
        <v>63</v>
      </c>
      <c r="D70" t="s">
        <v>79</v>
      </c>
      <c r="E70" t="s">
        <v>46</v>
      </c>
      <c r="F70" t="s">
        <v>75</v>
      </c>
      <c r="G70">
        <v>32</v>
      </c>
      <c r="H70">
        <v>33</v>
      </c>
      <c r="I70">
        <v>32</v>
      </c>
      <c r="J70">
        <v>800</v>
      </c>
      <c r="K70">
        <v>9</v>
      </c>
      <c r="L70">
        <v>10</v>
      </c>
      <c r="M70">
        <v>5500</v>
      </c>
      <c r="N70" t="s">
        <v>30</v>
      </c>
      <c r="O70">
        <v>0</v>
      </c>
      <c r="P70">
        <v>0</v>
      </c>
      <c r="Q70">
        <v>0</v>
      </c>
      <c r="R70">
        <v>295</v>
      </c>
      <c r="S70">
        <v>298</v>
      </c>
      <c r="T70">
        <v>291</v>
      </c>
      <c r="U70">
        <v>10</v>
      </c>
      <c r="V70" t="s">
        <v>30</v>
      </c>
      <c r="W70" t="s">
        <v>76</v>
      </c>
      <c r="X70" t="s">
        <v>32</v>
      </c>
      <c r="Y70" t="s">
        <v>33</v>
      </c>
    </row>
    <row r="71" spans="1:25" x14ac:dyDescent="0.25">
      <c r="A71">
        <v>2025</v>
      </c>
      <c r="B71" t="s">
        <v>63</v>
      </c>
      <c r="C71" t="s">
        <v>63</v>
      </c>
      <c r="D71" t="s">
        <v>80</v>
      </c>
      <c r="E71" t="s">
        <v>28</v>
      </c>
      <c r="F71" t="s">
        <v>75</v>
      </c>
      <c r="G71">
        <v>99</v>
      </c>
      <c r="H71">
        <v>103</v>
      </c>
      <c r="I71">
        <v>101</v>
      </c>
      <c r="J71">
        <v>800</v>
      </c>
      <c r="K71">
        <v>9</v>
      </c>
      <c r="L71">
        <v>10</v>
      </c>
      <c r="M71">
        <v>5500</v>
      </c>
      <c r="N71" t="s">
        <v>30</v>
      </c>
      <c r="O71">
        <v>0</v>
      </c>
      <c r="P71">
        <v>0</v>
      </c>
      <c r="Q71">
        <v>0</v>
      </c>
      <c r="R71">
        <v>287</v>
      </c>
      <c r="S71">
        <v>282</v>
      </c>
      <c r="T71">
        <v>293</v>
      </c>
      <c r="U71">
        <v>10</v>
      </c>
      <c r="V71" t="s">
        <v>30</v>
      </c>
      <c r="W71" t="s">
        <v>65</v>
      </c>
      <c r="X71" t="s">
        <v>32</v>
      </c>
      <c r="Y71" t="s">
        <v>33</v>
      </c>
    </row>
    <row r="72" spans="1:25" x14ac:dyDescent="0.25">
      <c r="A72">
        <v>2025</v>
      </c>
      <c r="B72" t="s">
        <v>63</v>
      </c>
      <c r="C72" t="s">
        <v>63</v>
      </c>
      <c r="D72" t="s">
        <v>80</v>
      </c>
      <c r="E72" t="s">
        <v>28</v>
      </c>
      <c r="F72" t="s">
        <v>75</v>
      </c>
      <c r="G72">
        <v>34</v>
      </c>
      <c r="H72">
        <v>33</v>
      </c>
      <c r="I72">
        <v>33</v>
      </c>
      <c r="J72">
        <v>800</v>
      </c>
      <c r="K72">
        <v>9</v>
      </c>
      <c r="L72">
        <v>10</v>
      </c>
      <c r="M72">
        <v>5500</v>
      </c>
      <c r="N72" t="s">
        <v>30</v>
      </c>
      <c r="O72">
        <v>0</v>
      </c>
      <c r="P72">
        <v>0</v>
      </c>
      <c r="Q72">
        <v>0</v>
      </c>
      <c r="R72">
        <v>287</v>
      </c>
      <c r="S72">
        <v>282</v>
      </c>
      <c r="T72">
        <v>293</v>
      </c>
      <c r="U72">
        <v>10</v>
      </c>
      <c r="V72" t="s">
        <v>30</v>
      </c>
      <c r="W72" t="s">
        <v>65</v>
      </c>
      <c r="X72" t="s">
        <v>32</v>
      </c>
      <c r="Y72" t="s">
        <v>33</v>
      </c>
    </row>
    <row r="73" spans="1:25" x14ac:dyDescent="0.25">
      <c r="A73">
        <v>2025</v>
      </c>
      <c r="B73" t="s">
        <v>63</v>
      </c>
      <c r="C73" t="s">
        <v>63</v>
      </c>
      <c r="D73" t="s">
        <v>81</v>
      </c>
      <c r="E73" t="s">
        <v>28</v>
      </c>
      <c r="F73" t="s">
        <v>75</v>
      </c>
      <c r="G73">
        <v>93</v>
      </c>
      <c r="H73">
        <v>95</v>
      </c>
      <c r="I73">
        <v>94</v>
      </c>
      <c r="J73">
        <v>850</v>
      </c>
      <c r="K73">
        <v>9</v>
      </c>
      <c r="L73">
        <v>10</v>
      </c>
      <c r="M73">
        <v>5250</v>
      </c>
      <c r="N73" t="s">
        <v>30</v>
      </c>
      <c r="O73">
        <v>0</v>
      </c>
      <c r="P73">
        <v>0</v>
      </c>
      <c r="Q73">
        <v>0</v>
      </c>
      <c r="R73">
        <v>268</v>
      </c>
      <c r="S73">
        <v>266</v>
      </c>
      <c r="T73">
        <v>271</v>
      </c>
      <c r="U73">
        <v>10</v>
      </c>
      <c r="V73" t="s">
        <v>30</v>
      </c>
      <c r="W73" t="s">
        <v>65</v>
      </c>
      <c r="X73" t="s">
        <v>32</v>
      </c>
      <c r="Y73" t="s">
        <v>33</v>
      </c>
    </row>
    <row r="74" spans="1:25" x14ac:dyDescent="0.25">
      <c r="A74">
        <v>2025</v>
      </c>
      <c r="B74" t="s">
        <v>63</v>
      </c>
      <c r="C74" t="s">
        <v>63</v>
      </c>
      <c r="D74" t="s">
        <v>81</v>
      </c>
      <c r="E74" t="s">
        <v>28</v>
      </c>
      <c r="F74" t="s">
        <v>75</v>
      </c>
      <c r="G74">
        <v>36</v>
      </c>
      <c r="H74">
        <v>36</v>
      </c>
      <c r="I74">
        <v>36</v>
      </c>
      <c r="J74">
        <v>850</v>
      </c>
      <c r="K74">
        <v>9</v>
      </c>
      <c r="L74">
        <v>10</v>
      </c>
      <c r="M74">
        <v>5250</v>
      </c>
      <c r="N74" t="s">
        <v>30</v>
      </c>
      <c r="O74">
        <v>0</v>
      </c>
      <c r="P74">
        <v>0</v>
      </c>
      <c r="Q74">
        <v>0</v>
      </c>
      <c r="R74">
        <v>268</v>
      </c>
      <c r="S74">
        <v>266</v>
      </c>
      <c r="T74">
        <v>271</v>
      </c>
      <c r="U74">
        <v>10</v>
      </c>
      <c r="V74" t="s">
        <v>30</v>
      </c>
      <c r="W74" t="s">
        <v>65</v>
      </c>
      <c r="X74" t="s">
        <v>32</v>
      </c>
      <c r="Y74" t="s">
        <v>33</v>
      </c>
    </row>
    <row r="75" spans="1:25" x14ac:dyDescent="0.25">
      <c r="A75">
        <v>2025</v>
      </c>
      <c r="B75" t="s">
        <v>63</v>
      </c>
      <c r="C75" t="s">
        <v>63</v>
      </c>
      <c r="D75" t="s">
        <v>82</v>
      </c>
      <c r="E75" t="s">
        <v>28</v>
      </c>
      <c r="F75" t="s">
        <v>75</v>
      </c>
      <c r="G75">
        <v>93</v>
      </c>
      <c r="H75">
        <v>96</v>
      </c>
      <c r="I75">
        <v>94</v>
      </c>
      <c r="J75">
        <v>850</v>
      </c>
      <c r="K75">
        <v>9</v>
      </c>
      <c r="L75">
        <v>10</v>
      </c>
      <c r="M75">
        <v>5250</v>
      </c>
      <c r="N75" t="s">
        <v>30</v>
      </c>
      <c r="O75">
        <v>0</v>
      </c>
      <c r="P75">
        <v>0</v>
      </c>
      <c r="Q75">
        <v>0</v>
      </c>
      <c r="R75">
        <v>267</v>
      </c>
      <c r="S75">
        <v>263</v>
      </c>
      <c r="T75">
        <v>272</v>
      </c>
      <c r="U75">
        <v>10</v>
      </c>
      <c r="V75" t="s">
        <v>30</v>
      </c>
      <c r="W75" t="s">
        <v>65</v>
      </c>
      <c r="X75" t="s">
        <v>32</v>
      </c>
      <c r="Y75" t="s">
        <v>33</v>
      </c>
    </row>
    <row r="76" spans="1:25" x14ac:dyDescent="0.25">
      <c r="A76">
        <v>2025</v>
      </c>
      <c r="B76" t="s">
        <v>63</v>
      </c>
      <c r="C76" t="s">
        <v>63</v>
      </c>
      <c r="D76" t="s">
        <v>82</v>
      </c>
      <c r="E76" t="s">
        <v>28</v>
      </c>
      <c r="F76" t="s">
        <v>75</v>
      </c>
      <c r="G76">
        <v>36</v>
      </c>
      <c r="H76">
        <v>35</v>
      </c>
      <c r="I76">
        <v>36</v>
      </c>
      <c r="J76">
        <v>850</v>
      </c>
      <c r="K76">
        <v>9</v>
      </c>
      <c r="L76">
        <v>10</v>
      </c>
      <c r="M76">
        <v>5250</v>
      </c>
      <c r="N76" t="s">
        <v>30</v>
      </c>
      <c r="O76">
        <v>0</v>
      </c>
      <c r="P76">
        <v>0</v>
      </c>
      <c r="Q76">
        <v>0</v>
      </c>
      <c r="R76">
        <v>267</v>
      </c>
      <c r="S76">
        <v>263</v>
      </c>
      <c r="T76">
        <v>272</v>
      </c>
      <c r="U76">
        <v>10</v>
      </c>
      <c r="V76" t="s">
        <v>30</v>
      </c>
      <c r="W76" t="s">
        <v>65</v>
      </c>
      <c r="X76" t="s">
        <v>32</v>
      </c>
      <c r="Y76" t="s">
        <v>33</v>
      </c>
    </row>
    <row r="77" spans="1:25" x14ac:dyDescent="0.25">
      <c r="A77">
        <v>2025</v>
      </c>
      <c r="B77" t="s">
        <v>63</v>
      </c>
      <c r="C77" t="s">
        <v>63</v>
      </c>
      <c r="D77" t="s">
        <v>83</v>
      </c>
      <c r="E77" t="s">
        <v>28</v>
      </c>
      <c r="F77" t="s">
        <v>75</v>
      </c>
      <c r="G77">
        <v>80</v>
      </c>
      <c r="H77">
        <v>80</v>
      </c>
      <c r="I77">
        <v>80</v>
      </c>
      <c r="J77">
        <v>1000</v>
      </c>
      <c r="K77">
        <v>9</v>
      </c>
      <c r="L77">
        <v>10</v>
      </c>
      <c r="M77">
        <v>4500</v>
      </c>
      <c r="N77" t="s">
        <v>30</v>
      </c>
      <c r="O77">
        <v>0</v>
      </c>
      <c r="P77">
        <v>0</v>
      </c>
      <c r="Q77">
        <v>0</v>
      </c>
      <c r="R77">
        <v>227</v>
      </c>
      <c r="S77">
        <v>227</v>
      </c>
      <c r="T77">
        <v>228</v>
      </c>
      <c r="U77">
        <v>10</v>
      </c>
      <c r="V77" t="s">
        <v>30</v>
      </c>
      <c r="W77" t="s">
        <v>65</v>
      </c>
      <c r="X77" t="s">
        <v>32</v>
      </c>
      <c r="Y77" t="s">
        <v>33</v>
      </c>
    </row>
    <row r="78" spans="1:25" x14ac:dyDescent="0.25">
      <c r="A78">
        <v>2025</v>
      </c>
      <c r="B78" t="s">
        <v>63</v>
      </c>
      <c r="C78" t="s">
        <v>63</v>
      </c>
      <c r="D78" t="s">
        <v>83</v>
      </c>
      <c r="E78" t="s">
        <v>28</v>
      </c>
      <c r="F78" t="s">
        <v>75</v>
      </c>
      <c r="G78">
        <v>42</v>
      </c>
      <c r="H78">
        <v>42</v>
      </c>
      <c r="I78">
        <v>42</v>
      </c>
      <c r="J78">
        <v>1000</v>
      </c>
      <c r="K78">
        <v>9</v>
      </c>
      <c r="L78">
        <v>10</v>
      </c>
      <c r="M78">
        <v>4500</v>
      </c>
      <c r="N78" t="s">
        <v>30</v>
      </c>
      <c r="O78">
        <v>0</v>
      </c>
      <c r="P78">
        <v>0</v>
      </c>
      <c r="Q78">
        <v>0</v>
      </c>
      <c r="R78">
        <v>227</v>
      </c>
      <c r="S78">
        <v>227</v>
      </c>
      <c r="T78">
        <v>228</v>
      </c>
      <c r="U78">
        <v>10</v>
      </c>
      <c r="V78" t="s">
        <v>30</v>
      </c>
      <c r="W78" t="s">
        <v>65</v>
      </c>
      <c r="X78" t="s">
        <v>32</v>
      </c>
      <c r="Y78" t="s">
        <v>33</v>
      </c>
    </row>
    <row r="79" spans="1:25" x14ac:dyDescent="0.25">
      <c r="A79">
        <v>2025</v>
      </c>
      <c r="B79" t="s">
        <v>63</v>
      </c>
      <c r="C79" t="s">
        <v>63</v>
      </c>
      <c r="D79" t="s">
        <v>84</v>
      </c>
      <c r="E79" t="s">
        <v>46</v>
      </c>
      <c r="F79" t="s">
        <v>75</v>
      </c>
      <c r="G79">
        <v>104</v>
      </c>
      <c r="H79">
        <v>105</v>
      </c>
      <c r="I79">
        <v>105</v>
      </c>
      <c r="J79">
        <v>750</v>
      </c>
      <c r="K79">
        <v>9</v>
      </c>
      <c r="L79">
        <v>10</v>
      </c>
      <c r="M79">
        <v>5750</v>
      </c>
      <c r="N79" t="s">
        <v>30</v>
      </c>
      <c r="O79">
        <v>0</v>
      </c>
      <c r="P79">
        <v>0</v>
      </c>
      <c r="Q79">
        <v>0</v>
      </c>
      <c r="R79">
        <v>295</v>
      </c>
      <c r="S79">
        <v>294</v>
      </c>
      <c r="T79">
        <v>296</v>
      </c>
      <c r="U79">
        <v>10</v>
      </c>
      <c r="V79" t="s">
        <v>30</v>
      </c>
      <c r="W79" t="s">
        <v>76</v>
      </c>
      <c r="X79" t="s">
        <v>32</v>
      </c>
      <c r="Y79" t="s">
        <v>33</v>
      </c>
    </row>
    <row r="80" spans="1:25" x14ac:dyDescent="0.25">
      <c r="A80">
        <v>2025</v>
      </c>
      <c r="B80" t="s">
        <v>63</v>
      </c>
      <c r="C80" t="s">
        <v>63</v>
      </c>
      <c r="D80" t="s">
        <v>84</v>
      </c>
      <c r="E80" t="s">
        <v>46</v>
      </c>
      <c r="F80" t="s">
        <v>75</v>
      </c>
      <c r="G80">
        <v>32</v>
      </c>
      <c r="H80">
        <v>32</v>
      </c>
      <c r="I80">
        <v>32</v>
      </c>
      <c r="J80">
        <v>750</v>
      </c>
      <c r="K80">
        <v>9</v>
      </c>
      <c r="L80">
        <v>10</v>
      </c>
      <c r="M80">
        <v>5750</v>
      </c>
      <c r="N80" t="s">
        <v>30</v>
      </c>
      <c r="O80">
        <v>0</v>
      </c>
      <c r="P80">
        <v>0</v>
      </c>
      <c r="Q80">
        <v>0</v>
      </c>
      <c r="R80">
        <v>295</v>
      </c>
      <c r="S80">
        <v>294</v>
      </c>
      <c r="T80">
        <v>296</v>
      </c>
      <c r="U80">
        <v>10</v>
      </c>
      <c r="V80" t="s">
        <v>30</v>
      </c>
      <c r="W80" t="s">
        <v>76</v>
      </c>
      <c r="X80" t="s">
        <v>32</v>
      </c>
      <c r="Y80" t="s">
        <v>33</v>
      </c>
    </row>
    <row r="81" spans="1:25" x14ac:dyDescent="0.25">
      <c r="A81">
        <v>2025</v>
      </c>
      <c r="B81" t="s">
        <v>63</v>
      </c>
      <c r="C81" t="s">
        <v>63</v>
      </c>
      <c r="D81" t="s">
        <v>85</v>
      </c>
      <c r="E81" t="s">
        <v>46</v>
      </c>
      <c r="F81" t="s">
        <v>75</v>
      </c>
      <c r="G81">
        <v>99</v>
      </c>
      <c r="H81">
        <v>98</v>
      </c>
      <c r="I81">
        <v>99</v>
      </c>
      <c r="J81">
        <v>800</v>
      </c>
      <c r="K81">
        <v>9</v>
      </c>
      <c r="L81">
        <v>10</v>
      </c>
      <c r="M81">
        <v>5500</v>
      </c>
      <c r="N81" t="s">
        <v>30</v>
      </c>
      <c r="O81">
        <v>0</v>
      </c>
      <c r="P81">
        <v>0</v>
      </c>
      <c r="Q81">
        <v>0</v>
      </c>
      <c r="R81">
        <v>278</v>
      </c>
      <c r="S81">
        <v>280</v>
      </c>
      <c r="T81">
        <v>276</v>
      </c>
      <c r="U81">
        <v>10</v>
      </c>
      <c r="V81" t="s">
        <v>30</v>
      </c>
      <c r="W81" t="s">
        <v>76</v>
      </c>
      <c r="X81" t="s">
        <v>32</v>
      </c>
      <c r="Y81" t="s">
        <v>33</v>
      </c>
    </row>
    <row r="82" spans="1:25" x14ac:dyDescent="0.25">
      <c r="A82">
        <v>2025</v>
      </c>
      <c r="B82" t="s">
        <v>63</v>
      </c>
      <c r="C82" t="s">
        <v>63</v>
      </c>
      <c r="D82" t="s">
        <v>85</v>
      </c>
      <c r="E82" t="s">
        <v>46</v>
      </c>
      <c r="F82" t="s">
        <v>75</v>
      </c>
      <c r="G82">
        <v>34</v>
      </c>
      <c r="H82">
        <v>35</v>
      </c>
      <c r="I82">
        <v>34</v>
      </c>
      <c r="J82">
        <v>800</v>
      </c>
      <c r="K82">
        <v>9</v>
      </c>
      <c r="L82">
        <v>10</v>
      </c>
      <c r="M82">
        <v>5500</v>
      </c>
      <c r="N82" t="s">
        <v>30</v>
      </c>
      <c r="O82">
        <v>0</v>
      </c>
      <c r="P82">
        <v>0</v>
      </c>
      <c r="Q82">
        <v>0</v>
      </c>
      <c r="R82">
        <v>278</v>
      </c>
      <c r="S82">
        <v>280</v>
      </c>
      <c r="T82">
        <v>276</v>
      </c>
      <c r="U82">
        <v>10</v>
      </c>
      <c r="V82" t="s">
        <v>30</v>
      </c>
      <c r="W82" t="s">
        <v>76</v>
      </c>
      <c r="X82" t="s">
        <v>32</v>
      </c>
      <c r="Y82" t="s">
        <v>33</v>
      </c>
    </row>
    <row r="83" spans="1:25" x14ac:dyDescent="0.25">
      <c r="A83">
        <v>2025</v>
      </c>
      <c r="B83" t="s">
        <v>63</v>
      </c>
      <c r="C83" t="s">
        <v>63</v>
      </c>
      <c r="D83" t="s">
        <v>86</v>
      </c>
      <c r="E83" t="s">
        <v>46</v>
      </c>
      <c r="F83" t="s">
        <v>75</v>
      </c>
      <c r="G83">
        <v>97</v>
      </c>
      <c r="H83">
        <v>94</v>
      </c>
      <c r="I83">
        <v>96</v>
      </c>
      <c r="J83">
        <v>850</v>
      </c>
      <c r="K83">
        <v>9</v>
      </c>
      <c r="L83">
        <v>10</v>
      </c>
      <c r="M83">
        <v>5250</v>
      </c>
      <c r="N83" t="s">
        <v>30</v>
      </c>
      <c r="O83">
        <v>0</v>
      </c>
      <c r="P83">
        <v>0</v>
      </c>
      <c r="Q83">
        <v>0</v>
      </c>
      <c r="R83">
        <v>271</v>
      </c>
      <c r="S83">
        <v>275</v>
      </c>
      <c r="T83">
        <v>266</v>
      </c>
      <c r="U83">
        <v>10</v>
      </c>
      <c r="V83" t="s">
        <v>30</v>
      </c>
      <c r="W83" t="s">
        <v>76</v>
      </c>
      <c r="X83" t="s">
        <v>32</v>
      </c>
      <c r="Y83" t="s">
        <v>33</v>
      </c>
    </row>
    <row r="84" spans="1:25" x14ac:dyDescent="0.25">
      <c r="A84">
        <v>2025</v>
      </c>
      <c r="B84" t="s">
        <v>63</v>
      </c>
      <c r="C84" t="s">
        <v>63</v>
      </c>
      <c r="D84" t="s">
        <v>86</v>
      </c>
      <c r="E84" t="s">
        <v>46</v>
      </c>
      <c r="F84" t="s">
        <v>75</v>
      </c>
      <c r="G84">
        <v>35</v>
      </c>
      <c r="H84">
        <v>36</v>
      </c>
      <c r="I84">
        <v>35</v>
      </c>
      <c r="J84">
        <v>850</v>
      </c>
      <c r="K84">
        <v>9</v>
      </c>
      <c r="L84">
        <v>10</v>
      </c>
      <c r="M84">
        <v>5250</v>
      </c>
      <c r="N84" t="s">
        <v>30</v>
      </c>
      <c r="O84">
        <v>0</v>
      </c>
      <c r="P84">
        <v>0</v>
      </c>
      <c r="Q84">
        <v>0</v>
      </c>
      <c r="R84">
        <v>271</v>
      </c>
      <c r="S84">
        <v>275</v>
      </c>
      <c r="T84">
        <v>266</v>
      </c>
      <c r="U84">
        <v>10</v>
      </c>
      <c r="V84" t="s">
        <v>30</v>
      </c>
      <c r="W84" t="s">
        <v>76</v>
      </c>
      <c r="X84" t="s">
        <v>32</v>
      </c>
      <c r="Y84" t="s">
        <v>33</v>
      </c>
    </row>
    <row r="85" spans="1:25" x14ac:dyDescent="0.25">
      <c r="A85">
        <v>2025</v>
      </c>
      <c r="B85" t="s">
        <v>63</v>
      </c>
      <c r="C85" t="s">
        <v>63</v>
      </c>
      <c r="D85" t="s">
        <v>87</v>
      </c>
      <c r="E85" t="s">
        <v>28</v>
      </c>
      <c r="F85" t="s">
        <v>75</v>
      </c>
      <c r="G85">
        <v>92</v>
      </c>
      <c r="H85">
        <v>95</v>
      </c>
      <c r="I85">
        <v>93</v>
      </c>
      <c r="J85">
        <v>850</v>
      </c>
      <c r="K85">
        <v>9</v>
      </c>
      <c r="L85">
        <v>10</v>
      </c>
      <c r="M85">
        <v>5250</v>
      </c>
      <c r="N85" t="s">
        <v>30</v>
      </c>
      <c r="O85">
        <v>0</v>
      </c>
      <c r="P85">
        <v>0</v>
      </c>
      <c r="Q85">
        <v>0</v>
      </c>
      <c r="R85">
        <v>266</v>
      </c>
      <c r="S85">
        <v>263</v>
      </c>
      <c r="T85">
        <v>270</v>
      </c>
      <c r="U85">
        <v>10</v>
      </c>
      <c r="V85" t="s">
        <v>30</v>
      </c>
      <c r="W85" t="s">
        <v>65</v>
      </c>
      <c r="X85" t="s">
        <v>32</v>
      </c>
      <c r="Y85" t="s">
        <v>33</v>
      </c>
    </row>
    <row r="86" spans="1:25" x14ac:dyDescent="0.25">
      <c r="A86">
        <v>2025</v>
      </c>
      <c r="B86" t="s">
        <v>63</v>
      </c>
      <c r="C86" t="s">
        <v>63</v>
      </c>
      <c r="D86" t="s">
        <v>87</v>
      </c>
      <c r="E86" t="s">
        <v>28</v>
      </c>
      <c r="F86" t="s">
        <v>75</v>
      </c>
      <c r="G86">
        <v>37</v>
      </c>
      <c r="H86">
        <v>36</v>
      </c>
      <c r="I86">
        <v>36</v>
      </c>
      <c r="J86">
        <v>850</v>
      </c>
      <c r="K86">
        <v>9</v>
      </c>
      <c r="L86">
        <v>10</v>
      </c>
      <c r="M86">
        <v>5250</v>
      </c>
      <c r="N86" t="s">
        <v>30</v>
      </c>
      <c r="O86">
        <v>0</v>
      </c>
      <c r="P86">
        <v>0</v>
      </c>
      <c r="Q86">
        <v>0</v>
      </c>
      <c r="R86">
        <v>266</v>
      </c>
      <c r="S86">
        <v>263</v>
      </c>
      <c r="T86">
        <v>270</v>
      </c>
      <c r="U86">
        <v>10</v>
      </c>
      <c r="V86" t="s">
        <v>30</v>
      </c>
      <c r="W86" t="s">
        <v>65</v>
      </c>
      <c r="X86" t="s">
        <v>32</v>
      </c>
      <c r="Y86" t="s">
        <v>33</v>
      </c>
    </row>
    <row r="87" spans="1:25" x14ac:dyDescent="0.25">
      <c r="A87">
        <v>2025</v>
      </c>
      <c r="B87" t="s">
        <v>63</v>
      </c>
      <c r="C87" t="s">
        <v>63</v>
      </c>
      <c r="D87" t="s">
        <v>88</v>
      </c>
      <c r="E87" t="s">
        <v>28</v>
      </c>
      <c r="F87" t="s">
        <v>75</v>
      </c>
      <c r="G87">
        <v>92</v>
      </c>
      <c r="H87">
        <v>94</v>
      </c>
      <c r="I87">
        <v>93</v>
      </c>
      <c r="J87">
        <v>850</v>
      </c>
      <c r="K87">
        <v>9</v>
      </c>
      <c r="L87">
        <v>10</v>
      </c>
      <c r="M87">
        <v>5250</v>
      </c>
      <c r="N87" t="s">
        <v>30</v>
      </c>
      <c r="O87">
        <v>0</v>
      </c>
      <c r="P87">
        <v>0</v>
      </c>
      <c r="Q87">
        <v>0</v>
      </c>
      <c r="R87">
        <v>262</v>
      </c>
      <c r="S87">
        <v>259</v>
      </c>
      <c r="T87">
        <v>265</v>
      </c>
      <c r="U87">
        <v>10</v>
      </c>
      <c r="V87" t="s">
        <v>30</v>
      </c>
      <c r="W87" t="s">
        <v>89</v>
      </c>
      <c r="X87" t="s">
        <v>32</v>
      </c>
      <c r="Y87" t="s">
        <v>33</v>
      </c>
    </row>
    <row r="88" spans="1:25" x14ac:dyDescent="0.25">
      <c r="A88">
        <v>2025</v>
      </c>
      <c r="B88" t="s">
        <v>63</v>
      </c>
      <c r="C88" t="s">
        <v>63</v>
      </c>
      <c r="D88" t="s">
        <v>88</v>
      </c>
      <c r="E88" t="s">
        <v>28</v>
      </c>
      <c r="F88" t="s">
        <v>75</v>
      </c>
      <c r="G88">
        <v>37</v>
      </c>
      <c r="H88">
        <v>36</v>
      </c>
      <c r="I88">
        <v>36</v>
      </c>
      <c r="J88">
        <v>850</v>
      </c>
      <c r="K88">
        <v>9</v>
      </c>
      <c r="L88">
        <v>10</v>
      </c>
      <c r="M88">
        <v>5250</v>
      </c>
      <c r="N88" t="s">
        <v>30</v>
      </c>
      <c r="O88">
        <v>0</v>
      </c>
      <c r="P88">
        <v>0</v>
      </c>
      <c r="Q88">
        <v>0</v>
      </c>
      <c r="R88">
        <v>262</v>
      </c>
      <c r="S88">
        <v>259</v>
      </c>
      <c r="T88">
        <v>265</v>
      </c>
      <c r="U88">
        <v>10</v>
      </c>
      <c r="V88" t="s">
        <v>30</v>
      </c>
      <c r="W88" t="s">
        <v>89</v>
      </c>
      <c r="X88" t="s">
        <v>32</v>
      </c>
      <c r="Y88" t="s">
        <v>33</v>
      </c>
    </row>
    <row r="89" spans="1:25" x14ac:dyDescent="0.25">
      <c r="A89">
        <v>2025</v>
      </c>
      <c r="B89" t="s">
        <v>63</v>
      </c>
      <c r="C89" t="s">
        <v>63</v>
      </c>
      <c r="D89" t="s">
        <v>90</v>
      </c>
      <c r="E89" t="s">
        <v>28</v>
      </c>
      <c r="F89" t="s">
        <v>75</v>
      </c>
      <c r="G89">
        <v>86</v>
      </c>
      <c r="H89">
        <v>87</v>
      </c>
      <c r="I89">
        <v>87</v>
      </c>
      <c r="J89">
        <v>950</v>
      </c>
      <c r="K89">
        <v>9</v>
      </c>
      <c r="L89">
        <v>10</v>
      </c>
      <c r="M89">
        <v>4750</v>
      </c>
      <c r="N89" t="s">
        <v>30</v>
      </c>
      <c r="O89">
        <v>0</v>
      </c>
      <c r="P89">
        <v>0</v>
      </c>
      <c r="Q89">
        <v>0</v>
      </c>
      <c r="R89">
        <v>248</v>
      </c>
      <c r="S89">
        <v>247</v>
      </c>
      <c r="T89">
        <v>249</v>
      </c>
      <c r="U89">
        <v>10</v>
      </c>
      <c r="V89" t="s">
        <v>30</v>
      </c>
      <c r="W89" t="s">
        <v>89</v>
      </c>
      <c r="X89" t="s">
        <v>32</v>
      </c>
      <c r="Y89" t="s">
        <v>33</v>
      </c>
    </row>
    <row r="90" spans="1:25" x14ac:dyDescent="0.25">
      <c r="A90">
        <v>2025</v>
      </c>
      <c r="B90" t="s">
        <v>63</v>
      </c>
      <c r="C90" t="s">
        <v>63</v>
      </c>
      <c r="D90" t="s">
        <v>90</v>
      </c>
      <c r="E90" t="s">
        <v>28</v>
      </c>
      <c r="F90" t="s">
        <v>75</v>
      </c>
      <c r="G90">
        <v>39</v>
      </c>
      <c r="H90">
        <v>39</v>
      </c>
      <c r="I90">
        <v>39</v>
      </c>
      <c r="J90">
        <v>950</v>
      </c>
      <c r="K90">
        <v>9</v>
      </c>
      <c r="L90">
        <v>10</v>
      </c>
      <c r="M90">
        <v>4750</v>
      </c>
      <c r="N90" t="s">
        <v>30</v>
      </c>
      <c r="O90">
        <v>0</v>
      </c>
      <c r="P90">
        <v>0</v>
      </c>
      <c r="Q90">
        <v>0</v>
      </c>
      <c r="R90">
        <v>248</v>
      </c>
      <c r="S90">
        <v>247</v>
      </c>
      <c r="T90">
        <v>249</v>
      </c>
      <c r="U90">
        <v>10</v>
      </c>
      <c r="V90" t="s">
        <v>30</v>
      </c>
      <c r="W90" t="s">
        <v>89</v>
      </c>
      <c r="X90" t="s">
        <v>32</v>
      </c>
      <c r="Y90" t="s">
        <v>33</v>
      </c>
    </row>
    <row r="91" spans="1:25" x14ac:dyDescent="0.25">
      <c r="A91">
        <v>2025</v>
      </c>
      <c r="B91" t="s">
        <v>63</v>
      </c>
      <c r="C91" t="s">
        <v>63</v>
      </c>
      <c r="D91" t="s">
        <v>91</v>
      </c>
      <c r="E91" t="s">
        <v>28</v>
      </c>
      <c r="F91" t="s">
        <v>75</v>
      </c>
      <c r="G91">
        <v>89</v>
      </c>
      <c r="H91">
        <v>91</v>
      </c>
      <c r="I91">
        <v>90</v>
      </c>
      <c r="J91">
        <v>900</v>
      </c>
      <c r="K91">
        <v>9</v>
      </c>
      <c r="L91">
        <v>10</v>
      </c>
      <c r="M91">
        <v>5000</v>
      </c>
      <c r="N91" t="s">
        <v>30</v>
      </c>
      <c r="O91">
        <v>0</v>
      </c>
      <c r="P91">
        <v>0</v>
      </c>
      <c r="Q91">
        <v>0</v>
      </c>
      <c r="R91">
        <v>253</v>
      </c>
      <c r="S91">
        <v>249</v>
      </c>
      <c r="T91">
        <v>257</v>
      </c>
      <c r="U91">
        <v>10</v>
      </c>
      <c r="V91" t="s">
        <v>30</v>
      </c>
      <c r="W91" t="s">
        <v>65</v>
      </c>
      <c r="X91" t="s">
        <v>32</v>
      </c>
      <c r="Y91" t="s">
        <v>33</v>
      </c>
    </row>
    <row r="92" spans="1:25" x14ac:dyDescent="0.25">
      <c r="A92">
        <v>2025</v>
      </c>
      <c r="B92" t="s">
        <v>63</v>
      </c>
      <c r="C92" t="s">
        <v>63</v>
      </c>
      <c r="D92" t="s">
        <v>91</v>
      </c>
      <c r="E92" t="s">
        <v>28</v>
      </c>
      <c r="F92" t="s">
        <v>75</v>
      </c>
      <c r="G92">
        <v>38</v>
      </c>
      <c r="H92">
        <v>37</v>
      </c>
      <c r="I92">
        <v>38</v>
      </c>
      <c r="J92">
        <v>900</v>
      </c>
      <c r="K92">
        <v>9</v>
      </c>
      <c r="L92">
        <v>10</v>
      </c>
      <c r="M92">
        <v>5000</v>
      </c>
      <c r="N92" t="s">
        <v>30</v>
      </c>
      <c r="O92">
        <v>0</v>
      </c>
      <c r="P92">
        <v>0</v>
      </c>
      <c r="Q92">
        <v>0</v>
      </c>
      <c r="R92">
        <v>253</v>
      </c>
      <c r="S92">
        <v>249</v>
      </c>
      <c r="T92">
        <v>257</v>
      </c>
      <c r="U92">
        <v>10</v>
      </c>
      <c r="V92" t="s">
        <v>30</v>
      </c>
      <c r="W92" t="s">
        <v>65</v>
      </c>
      <c r="X92" t="s">
        <v>32</v>
      </c>
      <c r="Y92" t="s">
        <v>33</v>
      </c>
    </row>
    <row r="93" spans="1:25" x14ac:dyDescent="0.25">
      <c r="A93">
        <v>2025</v>
      </c>
      <c r="B93" t="s">
        <v>63</v>
      </c>
      <c r="C93" t="s">
        <v>63</v>
      </c>
      <c r="D93" t="s">
        <v>92</v>
      </c>
      <c r="E93" t="s">
        <v>28</v>
      </c>
      <c r="F93" t="s">
        <v>75</v>
      </c>
      <c r="G93">
        <v>88</v>
      </c>
      <c r="H93">
        <v>88</v>
      </c>
      <c r="I93">
        <v>88</v>
      </c>
      <c r="J93">
        <v>900</v>
      </c>
      <c r="K93">
        <v>9</v>
      </c>
      <c r="L93">
        <v>10</v>
      </c>
      <c r="M93">
        <v>5000</v>
      </c>
      <c r="N93" t="s">
        <v>30</v>
      </c>
      <c r="O93">
        <v>0</v>
      </c>
      <c r="P93">
        <v>0</v>
      </c>
      <c r="Q93">
        <v>0</v>
      </c>
      <c r="R93">
        <v>250</v>
      </c>
      <c r="S93">
        <v>249</v>
      </c>
      <c r="T93">
        <v>251</v>
      </c>
      <c r="U93">
        <v>10</v>
      </c>
      <c r="V93" t="s">
        <v>30</v>
      </c>
      <c r="W93" t="s">
        <v>65</v>
      </c>
      <c r="X93" t="s">
        <v>32</v>
      </c>
      <c r="Y93" t="s">
        <v>33</v>
      </c>
    </row>
    <row r="94" spans="1:25" x14ac:dyDescent="0.25">
      <c r="A94">
        <v>2025</v>
      </c>
      <c r="B94" t="s">
        <v>63</v>
      </c>
      <c r="C94" t="s">
        <v>63</v>
      </c>
      <c r="D94" t="s">
        <v>92</v>
      </c>
      <c r="E94" t="s">
        <v>28</v>
      </c>
      <c r="F94" t="s">
        <v>75</v>
      </c>
      <c r="G94">
        <v>38</v>
      </c>
      <c r="H94">
        <v>38</v>
      </c>
      <c r="I94">
        <v>38</v>
      </c>
      <c r="J94">
        <v>900</v>
      </c>
      <c r="K94">
        <v>9</v>
      </c>
      <c r="L94">
        <v>10</v>
      </c>
      <c r="M94">
        <v>5000</v>
      </c>
      <c r="N94" t="s">
        <v>30</v>
      </c>
      <c r="O94">
        <v>0</v>
      </c>
      <c r="P94">
        <v>0</v>
      </c>
      <c r="Q94">
        <v>0</v>
      </c>
      <c r="R94">
        <v>250</v>
      </c>
      <c r="S94">
        <v>249</v>
      </c>
      <c r="T94">
        <v>251</v>
      </c>
      <c r="U94">
        <v>10</v>
      </c>
      <c r="V94" t="s">
        <v>30</v>
      </c>
      <c r="W94" t="s">
        <v>65</v>
      </c>
      <c r="X94" t="s">
        <v>32</v>
      </c>
      <c r="Y94" t="s">
        <v>33</v>
      </c>
    </row>
    <row r="95" spans="1:25" x14ac:dyDescent="0.25">
      <c r="A95">
        <v>2025</v>
      </c>
      <c r="B95" t="s">
        <v>63</v>
      </c>
      <c r="C95" t="s">
        <v>63</v>
      </c>
      <c r="D95" t="s">
        <v>93</v>
      </c>
      <c r="E95" t="s">
        <v>28</v>
      </c>
      <c r="F95" t="s">
        <v>75</v>
      </c>
      <c r="G95">
        <v>83</v>
      </c>
      <c r="H95">
        <v>85</v>
      </c>
      <c r="I95">
        <v>84</v>
      </c>
      <c r="J95">
        <v>950</v>
      </c>
      <c r="K95">
        <v>9</v>
      </c>
      <c r="L95">
        <v>10</v>
      </c>
      <c r="M95">
        <v>4750</v>
      </c>
      <c r="N95" t="s">
        <v>30</v>
      </c>
      <c r="O95">
        <v>0</v>
      </c>
      <c r="P95">
        <v>0</v>
      </c>
      <c r="Q95">
        <v>0</v>
      </c>
      <c r="R95">
        <v>239</v>
      </c>
      <c r="S95">
        <v>237</v>
      </c>
      <c r="T95">
        <v>241</v>
      </c>
      <c r="U95">
        <v>10</v>
      </c>
      <c r="V95" t="s">
        <v>30</v>
      </c>
      <c r="W95" t="s">
        <v>65</v>
      </c>
      <c r="X95" t="s">
        <v>32</v>
      </c>
      <c r="Y95" t="s">
        <v>33</v>
      </c>
    </row>
    <row r="96" spans="1:25" x14ac:dyDescent="0.25">
      <c r="A96">
        <v>2025</v>
      </c>
      <c r="B96" t="s">
        <v>63</v>
      </c>
      <c r="C96" t="s">
        <v>63</v>
      </c>
      <c r="D96" t="s">
        <v>93</v>
      </c>
      <c r="E96" t="s">
        <v>28</v>
      </c>
      <c r="F96" t="s">
        <v>75</v>
      </c>
      <c r="G96">
        <v>40</v>
      </c>
      <c r="H96">
        <v>40</v>
      </c>
      <c r="I96">
        <v>40</v>
      </c>
      <c r="J96">
        <v>950</v>
      </c>
      <c r="K96">
        <v>9</v>
      </c>
      <c r="L96">
        <v>10</v>
      </c>
      <c r="M96">
        <v>4750</v>
      </c>
      <c r="N96" t="s">
        <v>30</v>
      </c>
      <c r="O96">
        <v>0</v>
      </c>
      <c r="P96">
        <v>0</v>
      </c>
      <c r="Q96">
        <v>0</v>
      </c>
      <c r="R96">
        <v>239</v>
      </c>
      <c r="S96">
        <v>237</v>
      </c>
      <c r="T96">
        <v>241</v>
      </c>
      <c r="U96">
        <v>10</v>
      </c>
      <c r="V96" t="s">
        <v>30</v>
      </c>
      <c r="W96" t="s">
        <v>65</v>
      </c>
      <c r="X96" t="s">
        <v>32</v>
      </c>
      <c r="Y96" t="s">
        <v>33</v>
      </c>
    </row>
    <row r="97" spans="1:25" x14ac:dyDescent="0.25">
      <c r="A97">
        <v>2025</v>
      </c>
      <c r="B97" t="s">
        <v>63</v>
      </c>
      <c r="C97" t="s">
        <v>63</v>
      </c>
      <c r="D97" t="s">
        <v>94</v>
      </c>
      <c r="E97" t="s">
        <v>46</v>
      </c>
      <c r="F97" t="s">
        <v>95</v>
      </c>
      <c r="G97">
        <v>85</v>
      </c>
      <c r="H97">
        <v>93</v>
      </c>
      <c r="I97">
        <v>88</v>
      </c>
      <c r="J97">
        <v>900</v>
      </c>
      <c r="K97">
        <v>9</v>
      </c>
      <c r="L97">
        <v>10</v>
      </c>
      <c r="M97">
        <v>5000</v>
      </c>
      <c r="N97" t="s">
        <v>30</v>
      </c>
      <c r="O97">
        <v>0</v>
      </c>
      <c r="P97">
        <v>0</v>
      </c>
      <c r="Q97">
        <v>0</v>
      </c>
      <c r="R97">
        <v>314</v>
      </c>
      <c r="S97">
        <v>300</v>
      </c>
      <c r="T97">
        <v>331</v>
      </c>
      <c r="U97">
        <v>12</v>
      </c>
      <c r="V97" t="s">
        <v>30</v>
      </c>
      <c r="W97" t="s">
        <v>96</v>
      </c>
      <c r="X97" t="s">
        <v>32</v>
      </c>
      <c r="Y97" t="s">
        <v>33</v>
      </c>
    </row>
    <row r="98" spans="1:25" x14ac:dyDescent="0.25">
      <c r="A98">
        <v>2025</v>
      </c>
      <c r="B98" t="s">
        <v>63</v>
      </c>
      <c r="C98" t="s">
        <v>63</v>
      </c>
      <c r="D98" t="s">
        <v>94</v>
      </c>
      <c r="E98" t="s">
        <v>46</v>
      </c>
      <c r="F98" t="s">
        <v>95</v>
      </c>
      <c r="G98">
        <v>40</v>
      </c>
      <c r="H98">
        <v>36</v>
      </c>
      <c r="I98">
        <v>38</v>
      </c>
      <c r="J98">
        <v>900</v>
      </c>
      <c r="K98">
        <v>9</v>
      </c>
      <c r="L98">
        <v>10</v>
      </c>
      <c r="M98">
        <v>5000</v>
      </c>
      <c r="N98" t="s">
        <v>30</v>
      </c>
      <c r="O98">
        <v>0</v>
      </c>
      <c r="P98">
        <v>0</v>
      </c>
      <c r="Q98">
        <v>0</v>
      </c>
      <c r="R98">
        <v>314</v>
      </c>
      <c r="S98">
        <v>300</v>
      </c>
      <c r="T98">
        <v>331</v>
      </c>
      <c r="U98">
        <v>12</v>
      </c>
      <c r="V98" t="s">
        <v>30</v>
      </c>
      <c r="W98" t="s">
        <v>96</v>
      </c>
      <c r="X98" t="s">
        <v>32</v>
      </c>
      <c r="Y98" t="s">
        <v>33</v>
      </c>
    </row>
    <row r="99" spans="1:25" x14ac:dyDescent="0.25">
      <c r="A99">
        <v>2025</v>
      </c>
      <c r="B99" t="s">
        <v>63</v>
      </c>
      <c r="C99" t="s">
        <v>63</v>
      </c>
      <c r="D99" t="s">
        <v>97</v>
      </c>
      <c r="E99" t="s">
        <v>46</v>
      </c>
      <c r="F99" t="s">
        <v>95</v>
      </c>
      <c r="G99">
        <v>82</v>
      </c>
      <c r="H99">
        <v>88</v>
      </c>
      <c r="I99">
        <v>85</v>
      </c>
      <c r="J99">
        <v>950</v>
      </c>
      <c r="K99">
        <v>9</v>
      </c>
      <c r="L99">
        <v>10</v>
      </c>
      <c r="M99">
        <v>4750</v>
      </c>
      <c r="N99" t="s">
        <v>30</v>
      </c>
      <c r="O99">
        <v>0</v>
      </c>
      <c r="P99">
        <v>0</v>
      </c>
      <c r="Q99">
        <v>0</v>
      </c>
      <c r="R99">
        <v>301</v>
      </c>
      <c r="S99">
        <v>290</v>
      </c>
      <c r="T99">
        <v>315</v>
      </c>
      <c r="U99">
        <v>12</v>
      </c>
      <c r="V99" t="s">
        <v>30</v>
      </c>
      <c r="W99" t="s">
        <v>96</v>
      </c>
      <c r="X99" t="s">
        <v>32</v>
      </c>
      <c r="Y99" t="s">
        <v>33</v>
      </c>
    </row>
    <row r="100" spans="1:25" x14ac:dyDescent="0.25">
      <c r="A100">
        <v>2025</v>
      </c>
      <c r="B100" t="s">
        <v>63</v>
      </c>
      <c r="C100" t="s">
        <v>63</v>
      </c>
      <c r="D100" t="s">
        <v>97</v>
      </c>
      <c r="E100" t="s">
        <v>46</v>
      </c>
      <c r="F100" t="s">
        <v>95</v>
      </c>
      <c r="G100">
        <v>41</v>
      </c>
      <c r="H100">
        <v>38</v>
      </c>
      <c r="I100">
        <v>40</v>
      </c>
      <c r="J100">
        <v>950</v>
      </c>
      <c r="K100">
        <v>9</v>
      </c>
      <c r="L100">
        <v>10</v>
      </c>
      <c r="M100">
        <v>4750</v>
      </c>
      <c r="N100" t="s">
        <v>30</v>
      </c>
      <c r="O100">
        <v>0</v>
      </c>
      <c r="P100">
        <v>0</v>
      </c>
      <c r="Q100">
        <v>0</v>
      </c>
      <c r="R100">
        <v>301</v>
      </c>
      <c r="S100">
        <v>290</v>
      </c>
      <c r="T100">
        <v>315</v>
      </c>
      <c r="U100">
        <v>12</v>
      </c>
      <c r="V100" t="s">
        <v>30</v>
      </c>
      <c r="W100" t="s">
        <v>96</v>
      </c>
      <c r="X100" t="s">
        <v>32</v>
      </c>
      <c r="Y100" t="s">
        <v>33</v>
      </c>
    </row>
    <row r="101" spans="1:25" x14ac:dyDescent="0.25">
      <c r="A101">
        <v>2025</v>
      </c>
      <c r="B101" t="s">
        <v>63</v>
      </c>
      <c r="C101" t="s">
        <v>63</v>
      </c>
      <c r="D101" t="s">
        <v>98</v>
      </c>
      <c r="E101" t="s">
        <v>46</v>
      </c>
      <c r="F101" t="s">
        <v>95</v>
      </c>
      <c r="G101">
        <v>84</v>
      </c>
      <c r="H101">
        <v>90</v>
      </c>
      <c r="I101">
        <v>87</v>
      </c>
      <c r="J101">
        <v>950</v>
      </c>
      <c r="K101">
        <v>9</v>
      </c>
      <c r="L101">
        <v>10</v>
      </c>
      <c r="M101">
        <v>4750</v>
      </c>
      <c r="N101" t="s">
        <v>30</v>
      </c>
      <c r="O101">
        <v>0</v>
      </c>
      <c r="P101">
        <v>0</v>
      </c>
      <c r="Q101">
        <v>0</v>
      </c>
      <c r="R101">
        <v>307</v>
      </c>
      <c r="S101">
        <v>297</v>
      </c>
      <c r="T101">
        <v>319</v>
      </c>
      <c r="U101">
        <v>12</v>
      </c>
      <c r="V101" t="s">
        <v>30</v>
      </c>
      <c r="W101" t="s">
        <v>96</v>
      </c>
      <c r="X101" t="s">
        <v>32</v>
      </c>
      <c r="Y101" t="s">
        <v>33</v>
      </c>
    </row>
    <row r="102" spans="1:25" x14ac:dyDescent="0.25">
      <c r="A102">
        <v>2025</v>
      </c>
      <c r="B102" t="s">
        <v>63</v>
      </c>
      <c r="C102" t="s">
        <v>63</v>
      </c>
      <c r="D102" t="s">
        <v>98</v>
      </c>
      <c r="E102" t="s">
        <v>46</v>
      </c>
      <c r="F102" t="s">
        <v>95</v>
      </c>
      <c r="G102">
        <v>40</v>
      </c>
      <c r="H102">
        <v>37</v>
      </c>
      <c r="I102">
        <v>39</v>
      </c>
      <c r="J102">
        <v>950</v>
      </c>
      <c r="K102">
        <v>9</v>
      </c>
      <c r="L102">
        <v>10</v>
      </c>
      <c r="M102">
        <v>4750</v>
      </c>
      <c r="N102" t="s">
        <v>30</v>
      </c>
      <c r="O102">
        <v>0</v>
      </c>
      <c r="P102">
        <v>0</v>
      </c>
      <c r="Q102">
        <v>0</v>
      </c>
      <c r="R102">
        <v>307</v>
      </c>
      <c r="S102">
        <v>297</v>
      </c>
      <c r="T102">
        <v>319</v>
      </c>
      <c r="U102">
        <v>12</v>
      </c>
      <c r="V102" t="s">
        <v>30</v>
      </c>
      <c r="W102" t="s">
        <v>96</v>
      </c>
      <c r="X102" t="s">
        <v>32</v>
      </c>
      <c r="Y102" t="s">
        <v>33</v>
      </c>
    </row>
    <row r="103" spans="1:25" x14ac:dyDescent="0.25">
      <c r="A103">
        <v>2025</v>
      </c>
      <c r="B103" t="s">
        <v>63</v>
      </c>
      <c r="C103" t="s">
        <v>63</v>
      </c>
      <c r="D103" t="s">
        <v>99</v>
      </c>
      <c r="E103" t="s">
        <v>28</v>
      </c>
      <c r="F103" t="s">
        <v>95</v>
      </c>
      <c r="G103">
        <v>85</v>
      </c>
      <c r="H103">
        <v>91</v>
      </c>
      <c r="I103">
        <v>88</v>
      </c>
      <c r="J103">
        <v>900</v>
      </c>
      <c r="K103">
        <v>9</v>
      </c>
      <c r="L103">
        <v>10</v>
      </c>
      <c r="M103">
        <v>5000</v>
      </c>
      <c r="N103" t="s">
        <v>30</v>
      </c>
      <c r="O103">
        <v>0</v>
      </c>
      <c r="P103">
        <v>0</v>
      </c>
      <c r="Q103">
        <v>0</v>
      </c>
      <c r="R103">
        <v>311</v>
      </c>
      <c r="S103">
        <v>302</v>
      </c>
      <c r="T103">
        <v>321</v>
      </c>
      <c r="U103">
        <v>12</v>
      </c>
      <c r="V103" t="s">
        <v>30</v>
      </c>
      <c r="W103" t="s">
        <v>65</v>
      </c>
      <c r="X103" t="s">
        <v>32</v>
      </c>
      <c r="Y103" t="s">
        <v>33</v>
      </c>
    </row>
    <row r="104" spans="1:25" x14ac:dyDescent="0.25">
      <c r="A104">
        <v>2025</v>
      </c>
      <c r="B104" t="s">
        <v>63</v>
      </c>
      <c r="C104" t="s">
        <v>63</v>
      </c>
      <c r="D104" t="s">
        <v>99</v>
      </c>
      <c r="E104" t="s">
        <v>28</v>
      </c>
      <c r="F104" t="s">
        <v>95</v>
      </c>
      <c r="G104">
        <v>39</v>
      </c>
      <c r="H104">
        <v>37</v>
      </c>
      <c r="I104">
        <v>38</v>
      </c>
      <c r="J104">
        <v>900</v>
      </c>
      <c r="K104">
        <v>9</v>
      </c>
      <c r="L104">
        <v>10</v>
      </c>
      <c r="M104">
        <v>5000</v>
      </c>
      <c r="N104" t="s">
        <v>30</v>
      </c>
      <c r="O104">
        <v>0</v>
      </c>
      <c r="P104">
        <v>0</v>
      </c>
      <c r="Q104">
        <v>0</v>
      </c>
      <c r="R104">
        <v>311</v>
      </c>
      <c r="S104">
        <v>302</v>
      </c>
      <c r="T104">
        <v>321</v>
      </c>
      <c r="U104">
        <v>12</v>
      </c>
      <c r="V104" t="s">
        <v>30</v>
      </c>
      <c r="W104" t="s">
        <v>65</v>
      </c>
      <c r="X104" t="s">
        <v>32</v>
      </c>
      <c r="Y104" t="s">
        <v>33</v>
      </c>
    </row>
    <row r="105" spans="1:25" x14ac:dyDescent="0.25">
      <c r="A105">
        <v>2025</v>
      </c>
      <c r="B105" t="s">
        <v>63</v>
      </c>
      <c r="C105" t="s">
        <v>63</v>
      </c>
      <c r="D105" t="s">
        <v>100</v>
      </c>
      <c r="E105" t="s">
        <v>28</v>
      </c>
      <c r="F105" t="s">
        <v>95</v>
      </c>
      <c r="G105">
        <v>81</v>
      </c>
      <c r="H105">
        <v>85</v>
      </c>
      <c r="I105">
        <v>83</v>
      </c>
      <c r="J105">
        <v>1000</v>
      </c>
      <c r="K105">
        <v>9</v>
      </c>
      <c r="L105">
        <v>10</v>
      </c>
      <c r="M105">
        <v>4500</v>
      </c>
      <c r="N105" t="s">
        <v>30</v>
      </c>
      <c r="O105">
        <v>0</v>
      </c>
      <c r="P105">
        <v>0</v>
      </c>
      <c r="Q105">
        <v>0</v>
      </c>
      <c r="R105">
        <v>296</v>
      </c>
      <c r="S105">
        <v>288</v>
      </c>
      <c r="T105">
        <v>306</v>
      </c>
      <c r="U105">
        <v>12</v>
      </c>
      <c r="V105" t="s">
        <v>30</v>
      </c>
      <c r="W105" t="s">
        <v>65</v>
      </c>
      <c r="X105" t="s">
        <v>32</v>
      </c>
      <c r="Y105" t="s">
        <v>33</v>
      </c>
    </row>
    <row r="106" spans="1:25" x14ac:dyDescent="0.25">
      <c r="A106">
        <v>2025</v>
      </c>
      <c r="B106" t="s">
        <v>63</v>
      </c>
      <c r="C106" t="s">
        <v>63</v>
      </c>
      <c r="D106" t="s">
        <v>100</v>
      </c>
      <c r="E106" t="s">
        <v>28</v>
      </c>
      <c r="F106" t="s">
        <v>95</v>
      </c>
      <c r="G106">
        <v>42</v>
      </c>
      <c r="H106">
        <v>39</v>
      </c>
      <c r="I106">
        <v>41</v>
      </c>
      <c r="J106">
        <v>1000</v>
      </c>
      <c r="K106">
        <v>9</v>
      </c>
      <c r="L106">
        <v>10</v>
      </c>
      <c r="M106">
        <v>4500</v>
      </c>
      <c r="N106" t="s">
        <v>30</v>
      </c>
      <c r="O106">
        <v>0</v>
      </c>
      <c r="P106">
        <v>0</v>
      </c>
      <c r="Q106">
        <v>0</v>
      </c>
      <c r="R106">
        <v>296</v>
      </c>
      <c r="S106">
        <v>288</v>
      </c>
      <c r="T106">
        <v>306</v>
      </c>
      <c r="U106">
        <v>12</v>
      </c>
      <c r="V106" t="s">
        <v>30</v>
      </c>
      <c r="W106" t="s">
        <v>65</v>
      </c>
      <c r="X106" t="s">
        <v>32</v>
      </c>
      <c r="Y106" t="s">
        <v>33</v>
      </c>
    </row>
    <row r="107" spans="1:25" x14ac:dyDescent="0.25">
      <c r="A107">
        <v>2025</v>
      </c>
      <c r="B107" t="s">
        <v>63</v>
      </c>
      <c r="C107" t="s">
        <v>63</v>
      </c>
      <c r="D107" t="s">
        <v>101</v>
      </c>
      <c r="E107" t="s">
        <v>28</v>
      </c>
      <c r="F107" t="s">
        <v>95</v>
      </c>
      <c r="G107">
        <v>85</v>
      </c>
      <c r="H107">
        <v>89</v>
      </c>
      <c r="I107">
        <v>87</v>
      </c>
      <c r="J107">
        <v>950</v>
      </c>
      <c r="K107">
        <v>9</v>
      </c>
      <c r="L107">
        <v>10</v>
      </c>
      <c r="M107">
        <v>4750</v>
      </c>
      <c r="N107" t="s">
        <v>30</v>
      </c>
      <c r="O107">
        <v>0</v>
      </c>
      <c r="P107">
        <v>0</v>
      </c>
      <c r="Q107">
        <v>0</v>
      </c>
      <c r="R107">
        <v>308</v>
      </c>
      <c r="S107">
        <v>301</v>
      </c>
      <c r="T107">
        <v>317</v>
      </c>
      <c r="U107">
        <v>12</v>
      </c>
      <c r="V107" t="s">
        <v>30</v>
      </c>
      <c r="W107" t="s">
        <v>65</v>
      </c>
      <c r="X107" t="s">
        <v>32</v>
      </c>
      <c r="Y107" t="s">
        <v>33</v>
      </c>
    </row>
    <row r="108" spans="1:25" x14ac:dyDescent="0.25">
      <c r="A108">
        <v>2025</v>
      </c>
      <c r="B108" t="s">
        <v>63</v>
      </c>
      <c r="C108" t="s">
        <v>63</v>
      </c>
      <c r="D108" t="s">
        <v>101</v>
      </c>
      <c r="E108" t="s">
        <v>28</v>
      </c>
      <c r="F108" t="s">
        <v>95</v>
      </c>
      <c r="G108">
        <v>40</v>
      </c>
      <c r="H108">
        <v>38</v>
      </c>
      <c r="I108">
        <v>39</v>
      </c>
      <c r="J108">
        <v>950</v>
      </c>
      <c r="K108">
        <v>9</v>
      </c>
      <c r="L108">
        <v>10</v>
      </c>
      <c r="M108">
        <v>4750</v>
      </c>
      <c r="N108" t="s">
        <v>30</v>
      </c>
      <c r="O108">
        <v>0</v>
      </c>
      <c r="P108">
        <v>0</v>
      </c>
      <c r="Q108">
        <v>0</v>
      </c>
      <c r="R108">
        <v>308</v>
      </c>
      <c r="S108">
        <v>301</v>
      </c>
      <c r="T108">
        <v>317</v>
      </c>
      <c r="U108">
        <v>12</v>
      </c>
      <c r="V108" t="s">
        <v>30</v>
      </c>
      <c r="W108" t="s">
        <v>65</v>
      </c>
      <c r="X108" t="s">
        <v>32</v>
      </c>
      <c r="Y108" t="s">
        <v>33</v>
      </c>
    </row>
    <row r="109" spans="1:25" x14ac:dyDescent="0.25">
      <c r="A109">
        <v>2025</v>
      </c>
      <c r="B109" t="s">
        <v>63</v>
      </c>
      <c r="C109" t="s">
        <v>63</v>
      </c>
      <c r="D109" t="s">
        <v>102</v>
      </c>
      <c r="E109" t="s">
        <v>28</v>
      </c>
      <c r="F109" t="s">
        <v>95</v>
      </c>
      <c r="G109">
        <v>72</v>
      </c>
      <c r="H109">
        <v>79</v>
      </c>
      <c r="I109">
        <v>75</v>
      </c>
      <c r="J109">
        <v>1100</v>
      </c>
      <c r="K109">
        <v>9</v>
      </c>
      <c r="L109">
        <v>10</v>
      </c>
      <c r="M109">
        <v>4000</v>
      </c>
      <c r="N109" t="s">
        <v>30</v>
      </c>
      <c r="O109">
        <v>0</v>
      </c>
      <c r="P109">
        <v>0</v>
      </c>
      <c r="Q109">
        <v>0</v>
      </c>
      <c r="R109">
        <v>268</v>
      </c>
      <c r="S109">
        <v>258</v>
      </c>
      <c r="T109">
        <v>281</v>
      </c>
      <c r="U109">
        <v>12</v>
      </c>
      <c r="V109" t="s">
        <v>30</v>
      </c>
      <c r="W109" t="s">
        <v>72</v>
      </c>
      <c r="X109" t="s">
        <v>32</v>
      </c>
      <c r="Y109" t="s">
        <v>33</v>
      </c>
    </row>
    <row r="110" spans="1:25" x14ac:dyDescent="0.25">
      <c r="A110">
        <v>2025</v>
      </c>
      <c r="B110" t="s">
        <v>63</v>
      </c>
      <c r="C110" t="s">
        <v>63</v>
      </c>
      <c r="D110" t="s">
        <v>102</v>
      </c>
      <c r="E110" t="s">
        <v>28</v>
      </c>
      <c r="F110" t="s">
        <v>95</v>
      </c>
      <c r="G110">
        <v>47</v>
      </c>
      <c r="H110">
        <v>43</v>
      </c>
      <c r="I110">
        <v>45</v>
      </c>
      <c r="J110">
        <v>1100</v>
      </c>
      <c r="K110">
        <v>9</v>
      </c>
      <c r="L110">
        <v>10</v>
      </c>
      <c r="M110">
        <v>4000</v>
      </c>
      <c r="N110" t="s">
        <v>30</v>
      </c>
      <c r="O110">
        <v>0</v>
      </c>
      <c r="P110">
        <v>0</v>
      </c>
      <c r="Q110">
        <v>0</v>
      </c>
      <c r="R110">
        <v>268</v>
      </c>
      <c r="S110">
        <v>258</v>
      </c>
      <c r="T110">
        <v>281</v>
      </c>
      <c r="U110">
        <v>12</v>
      </c>
      <c r="V110" t="s">
        <v>30</v>
      </c>
      <c r="W110" t="s">
        <v>72</v>
      </c>
      <c r="X110" t="s">
        <v>32</v>
      </c>
      <c r="Y110" t="s">
        <v>33</v>
      </c>
    </row>
    <row r="111" spans="1:25" x14ac:dyDescent="0.25">
      <c r="A111">
        <v>2025</v>
      </c>
      <c r="B111" t="s">
        <v>63</v>
      </c>
      <c r="C111" t="s">
        <v>63</v>
      </c>
      <c r="D111" t="s">
        <v>103</v>
      </c>
      <c r="E111" t="s">
        <v>28</v>
      </c>
      <c r="F111" t="s">
        <v>95</v>
      </c>
      <c r="G111">
        <v>77</v>
      </c>
      <c r="H111">
        <v>83</v>
      </c>
      <c r="I111">
        <v>79</v>
      </c>
      <c r="J111">
        <v>1000</v>
      </c>
      <c r="K111">
        <v>9</v>
      </c>
      <c r="L111">
        <v>10</v>
      </c>
      <c r="M111">
        <v>4500</v>
      </c>
      <c r="N111" t="s">
        <v>30</v>
      </c>
      <c r="O111">
        <v>0</v>
      </c>
      <c r="P111">
        <v>0</v>
      </c>
      <c r="Q111">
        <v>0</v>
      </c>
      <c r="R111">
        <v>285</v>
      </c>
      <c r="S111">
        <v>276</v>
      </c>
      <c r="T111">
        <v>297</v>
      </c>
      <c r="U111">
        <v>12</v>
      </c>
      <c r="V111" t="s">
        <v>30</v>
      </c>
      <c r="W111" t="s">
        <v>72</v>
      </c>
      <c r="X111" t="s">
        <v>32</v>
      </c>
      <c r="Y111" t="s">
        <v>33</v>
      </c>
    </row>
    <row r="112" spans="1:25" x14ac:dyDescent="0.25">
      <c r="A112">
        <v>2025</v>
      </c>
      <c r="B112" t="s">
        <v>63</v>
      </c>
      <c r="C112" t="s">
        <v>63</v>
      </c>
      <c r="D112" t="s">
        <v>103</v>
      </c>
      <c r="E112" t="s">
        <v>28</v>
      </c>
      <c r="F112" t="s">
        <v>95</v>
      </c>
      <c r="G112">
        <v>44</v>
      </c>
      <c r="H112">
        <v>41</v>
      </c>
      <c r="I112">
        <v>42</v>
      </c>
      <c r="J112">
        <v>1000</v>
      </c>
      <c r="K112">
        <v>9</v>
      </c>
      <c r="L112">
        <v>10</v>
      </c>
      <c r="M112">
        <v>4500</v>
      </c>
      <c r="N112" t="s">
        <v>30</v>
      </c>
      <c r="O112">
        <v>0</v>
      </c>
      <c r="P112">
        <v>0</v>
      </c>
      <c r="Q112">
        <v>0</v>
      </c>
      <c r="R112">
        <v>285</v>
      </c>
      <c r="S112">
        <v>276</v>
      </c>
      <c r="T112">
        <v>297</v>
      </c>
      <c r="U112">
        <v>12</v>
      </c>
      <c r="V112" t="s">
        <v>30</v>
      </c>
      <c r="W112" t="s">
        <v>72</v>
      </c>
      <c r="X112" t="s">
        <v>32</v>
      </c>
      <c r="Y112" t="s">
        <v>33</v>
      </c>
    </row>
    <row r="113" spans="1:25" x14ac:dyDescent="0.25">
      <c r="A113">
        <v>2025</v>
      </c>
      <c r="B113" t="s">
        <v>104</v>
      </c>
      <c r="C113" t="s">
        <v>105</v>
      </c>
      <c r="D113" t="s">
        <v>106</v>
      </c>
      <c r="E113" t="s">
        <v>107</v>
      </c>
      <c r="F113" t="s">
        <v>108</v>
      </c>
      <c r="G113">
        <v>50</v>
      </c>
      <c r="H113">
        <v>51</v>
      </c>
      <c r="I113">
        <v>51</v>
      </c>
      <c r="J113">
        <v>1600</v>
      </c>
      <c r="K113">
        <v>8</v>
      </c>
      <c r="L113">
        <v>10</v>
      </c>
      <c r="M113">
        <v>1500</v>
      </c>
      <c r="N113" t="s">
        <v>30</v>
      </c>
      <c r="O113">
        <v>0</v>
      </c>
      <c r="P113">
        <v>0</v>
      </c>
      <c r="Q113">
        <v>0</v>
      </c>
      <c r="R113">
        <v>174</v>
      </c>
      <c r="S113">
        <v>172</v>
      </c>
      <c r="T113">
        <v>176</v>
      </c>
      <c r="U113">
        <v>17.600000000000001</v>
      </c>
      <c r="V113" t="s">
        <v>30</v>
      </c>
      <c r="W113" t="s">
        <v>109</v>
      </c>
      <c r="X113" t="s">
        <v>32</v>
      </c>
      <c r="Y113" t="s">
        <v>33</v>
      </c>
    </row>
    <row r="114" spans="1:25" x14ac:dyDescent="0.25">
      <c r="A114">
        <v>2025</v>
      </c>
      <c r="B114" t="s">
        <v>104</v>
      </c>
      <c r="C114" t="s">
        <v>105</v>
      </c>
      <c r="D114" t="s">
        <v>106</v>
      </c>
      <c r="E114" t="s">
        <v>107</v>
      </c>
      <c r="F114" t="s">
        <v>108</v>
      </c>
      <c r="G114">
        <v>67</v>
      </c>
      <c r="H114">
        <v>66</v>
      </c>
      <c r="I114">
        <v>66</v>
      </c>
      <c r="J114">
        <v>1600</v>
      </c>
      <c r="K114">
        <v>8</v>
      </c>
      <c r="L114">
        <v>10</v>
      </c>
      <c r="M114">
        <v>1500</v>
      </c>
      <c r="N114" t="s">
        <v>30</v>
      </c>
      <c r="O114">
        <v>0</v>
      </c>
      <c r="P114">
        <v>0</v>
      </c>
      <c r="Q114">
        <v>0</v>
      </c>
      <c r="R114">
        <v>174</v>
      </c>
      <c r="S114">
        <v>172</v>
      </c>
      <c r="T114">
        <v>176</v>
      </c>
      <c r="U114">
        <v>17.600000000000001</v>
      </c>
      <c r="V114" t="s">
        <v>30</v>
      </c>
      <c r="W114" t="s">
        <v>109</v>
      </c>
      <c r="X114" t="s">
        <v>32</v>
      </c>
      <c r="Y114" t="s">
        <v>33</v>
      </c>
    </row>
    <row r="115" spans="1:25" x14ac:dyDescent="0.25">
      <c r="A115">
        <v>2025</v>
      </c>
      <c r="B115" t="s">
        <v>104</v>
      </c>
      <c r="C115" t="s">
        <v>105</v>
      </c>
      <c r="D115" t="s">
        <v>110</v>
      </c>
      <c r="E115" t="s">
        <v>107</v>
      </c>
      <c r="F115" t="s">
        <v>108</v>
      </c>
      <c r="G115">
        <v>52</v>
      </c>
      <c r="H115">
        <v>54</v>
      </c>
      <c r="I115">
        <v>53</v>
      </c>
      <c r="J115">
        <v>1500</v>
      </c>
      <c r="K115">
        <v>8</v>
      </c>
      <c r="L115">
        <v>10</v>
      </c>
      <c r="M115">
        <v>2000</v>
      </c>
      <c r="N115" t="s">
        <v>30</v>
      </c>
      <c r="O115">
        <v>0</v>
      </c>
      <c r="P115">
        <v>0</v>
      </c>
      <c r="Q115">
        <v>0</v>
      </c>
      <c r="R115">
        <v>204</v>
      </c>
      <c r="S115">
        <v>201</v>
      </c>
      <c r="T115">
        <v>208</v>
      </c>
      <c r="U115">
        <v>17.600000000000001</v>
      </c>
      <c r="V115" t="s">
        <v>30</v>
      </c>
      <c r="W115" t="s">
        <v>111</v>
      </c>
      <c r="X115" t="s">
        <v>32</v>
      </c>
      <c r="Y115" t="s">
        <v>33</v>
      </c>
    </row>
    <row r="116" spans="1:25" x14ac:dyDescent="0.25">
      <c r="A116">
        <v>2025</v>
      </c>
      <c r="B116" t="s">
        <v>104</v>
      </c>
      <c r="C116" t="s">
        <v>105</v>
      </c>
      <c r="D116" t="s">
        <v>110</v>
      </c>
      <c r="E116" t="s">
        <v>107</v>
      </c>
      <c r="F116" t="s">
        <v>108</v>
      </c>
      <c r="G116">
        <v>64</v>
      </c>
      <c r="H116">
        <v>62</v>
      </c>
      <c r="I116">
        <v>63</v>
      </c>
      <c r="J116">
        <v>1500</v>
      </c>
      <c r="K116">
        <v>8</v>
      </c>
      <c r="L116">
        <v>10</v>
      </c>
      <c r="M116">
        <v>2000</v>
      </c>
      <c r="N116" t="s">
        <v>30</v>
      </c>
      <c r="O116">
        <v>0</v>
      </c>
      <c r="P116">
        <v>0</v>
      </c>
      <c r="Q116">
        <v>0</v>
      </c>
      <c r="R116">
        <v>204</v>
      </c>
      <c r="S116">
        <v>201</v>
      </c>
      <c r="T116">
        <v>208</v>
      </c>
      <c r="U116">
        <v>17.600000000000001</v>
      </c>
      <c r="V116" t="s">
        <v>30</v>
      </c>
      <c r="W116" t="s">
        <v>111</v>
      </c>
      <c r="X116" t="s">
        <v>32</v>
      </c>
      <c r="Y116" t="s">
        <v>33</v>
      </c>
    </row>
    <row r="117" spans="1:25" x14ac:dyDescent="0.25">
      <c r="A117">
        <v>2025</v>
      </c>
      <c r="B117" t="s">
        <v>112</v>
      </c>
      <c r="C117" t="s">
        <v>113</v>
      </c>
      <c r="D117" t="s">
        <v>114</v>
      </c>
      <c r="E117" t="s">
        <v>46</v>
      </c>
      <c r="F117" t="s">
        <v>115</v>
      </c>
      <c r="G117">
        <v>100</v>
      </c>
      <c r="H117">
        <v>83</v>
      </c>
      <c r="I117">
        <v>92</v>
      </c>
      <c r="J117">
        <v>850</v>
      </c>
      <c r="K117">
        <v>9</v>
      </c>
      <c r="L117">
        <v>10</v>
      </c>
      <c r="M117">
        <v>5250</v>
      </c>
      <c r="N117" t="s">
        <v>30</v>
      </c>
      <c r="O117">
        <v>0</v>
      </c>
      <c r="P117">
        <v>0</v>
      </c>
      <c r="Q117">
        <v>0</v>
      </c>
      <c r="R117">
        <v>326</v>
      </c>
      <c r="S117">
        <v>350</v>
      </c>
      <c r="T117">
        <v>297</v>
      </c>
      <c r="U117">
        <v>11.2</v>
      </c>
      <c r="V117" t="s">
        <v>30</v>
      </c>
      <c r="W117" t="s">
        <v>116</v>
      </c>
      <c r="X117" t="s">
        <v>32</v>
      </c>
      <c r="Y117" t="s">
        <v>33</v>
      </c>
    </row>
    <row r="118" spans="1:25" x14ac:dyDescent="0.25">
      <c r="A118">
        <v>2025</v>
      </c>
      <c r="B118" t="s">
        <v>112</v>
      </c>
      <c r="C118" t="s">
        <v>113</v>
      </c>
      <c r="D118" t="s">
        <v>114</v>
      </c>
      <c r="E118" t="s">
        <v>46</v>
      </c>
      <c r="F118" t="s">
        <v>115</v>
      </c>
      <c r="G118">
        <v>33</v>
      </c>
      <c r="H118">
        <v>39</v>
      </c>
      <c r="I118">
        <v>36</v>
      </c>
      <c r="J118">
        <v>850</v>
      </c>
      <c r="K118">
        <v>9</v>
      </c>
      <c r="L118">
        <v>10</v>
      </c>
      <c r="M118">
        <v>5250</v>
      </c>
      <c r="N118" t="s">
        <v>30</v>
      </c>
      <c r="O118">
        <v>0</v>
      </c>
      <c r="P118">
        <v>0</v>
      </c>
      <c r="Q118">
        <v>0</v>
      </c>
      <c r="R118">
        <v>326</v>
      </c>
      <c r="S118">
        <v>350</v>
      </c>
      <c r="T118">
        <v>297</v>
      </c>
      <c r="U118">
        <v>11.2</v>
      </c>
      <c r="V118" t="s">
        <v>30</v>
      </c>
      <c r="W118" t="s">
        <v>116</v>
      </c>
      <c r="X118" t="s">
        <v>32</v>
      </c>
      <c r="Y118" t="s">
        <v>33</v>
      </c>
    </row>
    <row r="119" spans="1:25" x14ac:dyDescent="0.25">
      <c r="A119">
        <v>2025</v>
      </c>
      <c r="B119" t="s">
        <v>112</v>
      </c>
      <c r="C119" t="s">
        <v>113</v>
      </c>
      <c r="D119" t="s">
        <v>117</v>
      </c>
      <c r="E119" t="s">
        <v>28</v>
      </c>
      <c r="F119" t="s">
        <v>118</v>
      </c>
      <c r="G119">
        <v>98</v>
      </c>
      <c r="H119">
        <v>80</v>
      </c>
      <c r="I119">
        <v>89</v>
      </c>
      <c r="J119">
        <v>900</v>
      </c>
      <c r="K119">
        <v>9</v>
      </c>
      <c r="L119">
        <v>10</v>
      </c>
      <c r="M119">
        <v>5000</v>
      </c>
      <c r="N119" t="s">
        <v>30</v>
      </c>
      <c r="O119">
        <v>0</v>
      </c>
      <c r="P119">
        <v>0</v>
      </c>
      <c r="Q119">
        <v>0</v>
      </c>
      <c r="R119">
        <v>319</v>
      </c>
      <c r="S119">
        <v>348</v>
      </c>
      <c r="T119">
        <v>284</v>
      </c>
      <c r="U119">
        <v>11.2</v>
      </c>
      <c r="V119" t="s">
        <v>30</v>
      </c>
      <c r="W119" t="s">
        <v>119</v>
      </c>
      <c r="X119" t="s">
        <v>32</v>
      </c>
      <c r="Y119" t="s">
        <v>33</v>
      </c>
    </row>
    <row r="120" spans="1:25" x14ac:dyDescent="0.25">
      <c r="A120">
        <v>2025</v>
      </c>
      <c r="B120" t="s">
        <v>112</v>
      </c>
      <c r="C120" t="s">
        <v>113</v>
      </c>
      <c r="D120" t="s">
        <v>117</v>
      </c>
      <c r="E120" t="s">
        <v>28</v>
      </c>
      <c r="F120" t="s">
        <v>118</v>
      </c>
      <c r="G120">
        <v>34</v>
      </c>
      <c r="H120">
        <v>42</v>
      </c>
      <c r="I120">
        <v>38</v>
      </c>
      <c r="J120">
        <v>900</v>
      </c>
      <c r="K120">
        <v>9</v>
      </c>
      <c r="L120">
        <v>10</v>
      </c>
      <c r="M120">
        <v>5000</v>
      </c>
      <c r="N120" t="s">
        <v>30</v>
      </c>
      <c r="O120">
        <v>0</v>
      </c>
      <c r="P120">
        <v>0</v>
      </c>
      <c r="Q120">
        <v>0</v>
      </c>
      <c r="R120">
        <v>319</v>
      </c>
      <c r="S120">
        <v>348</v>
      </c>
      <c r="T120">
        <v>284</v>
      </c>
      <c r="U120">
        <v>11.2</v>
      </c>
      <c r="V120" t="s">
        <v>30</v>
      </c>
      <c r="W120" t="s">
        <v>119</v>
      </c>
      <c r="X120" t="s">
        <v>32</v>
      </c>
      <c r="Y120" t="s">
        <v>33</v>
      </c>
    </row>
    <row r="121" spans="1:25" x14ac:dyDescent="0.25">
      <c r="A121">
        <v>2025</v>
      </c>
      <c r="B121" t="s">
        <v>112</v>
      </c>
      <c r="C121" t="s">
        <v>113</v>
      </c>
      <c r="D121" t="s">
        <v>120</v>
      </c>
      <c r="E121" t="s">
        <v>28</v>
      </c>
      <c r="F121" t="s">
        <v>118</v>
      </c>
      <c r="G121">
        <v>93</v>
      </c>
      <c r="H121">
        <v>77</v>
      </c>
      <c r="I121">
        <v>86</v>
      </c>
      <c r="J121">
        <v>950</v>
      </c>
      <c r="K121">
        <v>9</v>
      </c>
      <c r="L121">
        <v>10</v>
      </c>
      <c r="M121">
        <v>4750</v>
      </c>
      <c r="N121" t="s">
        <v>30</v>
      </c>
      <c r="O121">
        <v>0</v>
      </c>
      <c r="P121">
        <v>0</v>
      </c>
      <c r="Q121">
        <v>0</v>
      </c>
      <c r="R121">
        <v>303</v>
      </c>
      <c r="S121">
        <v>530</v>
      </c>
      <c r="T121">
        <v>26</v>
      </c>
      <c r="U121">
        <v>7</v>
      </c>
      <c r="V121" t="s">
        <v>30</v>
      </c>
      <c r="W121" t="s">
        <v>119</v>
      </c>
      <c r="X121" t="s">
        <v>32</v>
      </c>
      <c r="Y121" t="s">
        <v>33</v>
      </c>
    </row>
    <row r="122" spans="1:25" x14ac:dyDescent="0.25">
      <c r="A122">
        <v>2025</v>
      </c>
      <c r="B122" t="s">
        <v>112</v>
      </c>
      <c r="C122" t="s">
        <v>113</v>
      </c>
      <c r="D122" t="s">
        <v>120</v>
      </c>
      <c r="E122" t="s">
        <v>28</v>
      </c>
      <c r="F122" t="s">
        <v>118</v>
      </c>
      <c r="G122">
        <v>36</v>
      </c>
      <c r="H122">
        <v>44</v>
      </c>
      <c r="I122">
        <v>40</v>
      </c>
      <c r="J122">
        <v>950</v>
      </c>
      <c r="K122">
        <v>9</v>
      </c>
      <c r="L122">
        <v>10</v>
      </c>
      <c r="M122">
        <v>4750</v>
      </c>
      <c r="N122" t="s">
        <v>30</v>
      </c>
      <c r="O122">
        <v>0</v>
      </c>
      <c r="P122">
        <v>0</v>
      </c>
      <c r="Q122">
        <v>0</v>
      </c>
      <c r="R122">
        <v>303</v>
      </c>
      <c r="S122">
        <v>530</v>
      </c>
      <c r="T122">
        <v>26</v>
      </c>
      <c r="U122">
        <v>7</v>
      </c>
      <c r="V122" t="s">
        <v>30</v>
      </c>
      <c r="W122" t="s">
        <v>119</v>
      </c>
      <c r="X122" t="s">
        <v>32</v>
      </c>
      <c r="Y122" t="s">
        <v>33</v>
      </c>
    </row>
    <row r="123" spans="1:25" x14ac:dyDescent="0.25">
      <c r="A123">
        <v>2025</v>
      </c>
      <c r="B123" t="s">
        <v>112</v>
      </c>
      <c r="C123" t="s">
        <v>113</v>
      </c>
      <c r="D123" t="s">
        <v>121</v>
      </c>
      <c r="E123" t="s">
        <v>28</v>
      </c>
      <c r="F123" t="s">
        <v>122</v>
      </c>
      <c r="G123">
        <v>84</v>
      </c>
      <c r="H123">
        <v>77</v>
      </c>
      <c r="I123">
        <v>81</v>
      </c>
      <c r="J123">
        <v>1000</v>
      </c>
      <c r="K123">
        <v>9</v>
      </c>
      <c r="L123">
        <v>10</v>
      </c>
      <c r="M123">
        <v>4500</v>
      </c>
      <c r="N123" t="s">
        <v>30</v>
      </c>
      <c r="O123">
        <v>0</v>
      </c>
      <c r="P123">
        <v>0</v>
      </c>
      <c r="Q123">
        <v>0</v>
      </c>
      <c r="R123">
        <v>303</v>
      </c>
      <c r="S123">
        <v>316</v>
      </c>
      <c r="T123">
        <v>287</v>
      </c>
      <c r="U123">
        <v>8</v>
      </c>
      <c r="V123" t="s">
        <v>30</v>
      </c>
      <c r="W123" t="s">
        <v>119</v>
      </c>
      <c r="X123" t="s">
        <v>32</v>
      </c>
      <c r="Y123" t="s">
        <v>33</v>
      </c>
    </row>
    <row r="124" spans="1:25" x14ac:dyDescent="0.25">
      <c r="A124">
        <v>2025</v>
      </c>
      <c r="B124" t="s">
        <v>112</v>
      </c>
      <c r="C124" t="s">
        <v>113</v>
      </c>
      <c r="D124" t="s">
        <v>121</v>
      </c>
      <c r="E124" t="s">
        <v>28</v>
      </c>
      <c r="F124" t="s">
        <v>122</v>
      </c>
      <c r="G124">
        <v>40</v>
      </c>
      <c r="H124">
        <v>44</v>
      </c>
      <c r="I124">
        <v>42</v>
      </c>
      <c r="J124">
        <v>1000</v>
      </c>
      <c r="K124">
        <v>9</v>
      </c>
      <c r="L124">
        <v>10</v>
      </c>
      <c r="M124">
        <v>4500</v>
      </c>
      <c r="N124" t="s">
        <v>30</v>
      </c>
      <c r="O124">
        <v>0</v>
      </c>
      <c r="P124">
        <v>0</v>
      </c>
      <c r="Q124">
        <v>0</v>
      </c>
      <c r="R124">
        <v>303</v>
      </c>
      <c r="S124">
        <v>316</v>
      </c>
      <c r="T124">
        <v>287</v>
      </c>
      <c r="U124">
        <v>8</v>
      </c>
      <c r="V124" t="s">
        <v>30</v>
      </c>
      <c r="W124" t="s">
        <v>119</v>
      </c>
      <c r="X124" t="s">
        <v>32</v>
      </c>
      <c r="Y124" t="s">
        <v>33</v>
      </c>
    </row>
    <row r="125" spans="1:25" x14ac:dyDescent="0.25">
      <c r="A125">
        <v>2025</v>
      </c>
      <c r="B125" t="s">
        <v>112</v>
      </c>
      <c r="C125" t="s">
        <v>123</v>
      </c>
      <c r="D125" t="s">
        <v>124</v>
      </c>
      <c r="E125" t="s">
        <v>46</v>
      </c>
      <c r="F125" t="s">
        <v>115</v>
      </c>
      <c r="G125">
        <v>106</v>
      </c>
      <c r="H125">
        <v>85</v>
      </c>
      <c r="I125">
        <v>95</v>
      </c>
      <c r="J125">
        <v>850</v>
      </c>
      <c r="K125">
        <v>9</v>
      </c>
      <c r="L125">
        <v>10</v>
      </c>
      <c r="M125">
        <v>5250</v>
      </c>
      <c r="N125" t="s">
        <v>30</v>
      </c>
      <c r="O125">
        <v>0</v>
      </c>
      <c r="P125">
        <v>0</v>
      </c>
      <c r="Q125">
        <v>0</v>
      </c>
      <c r="R125">
        <v>334</v>
      </c>
      <c r="S125">
        <v>366</v>
      </c>
      <c r="T125">
        <v>295</v>
      </c>
      <c r="U125">
        <v>11.2</v>
      </c>
      <c r="V125" t="s">
        <v>30</v>
      </c>
      <c r="W125" t="s">
        <v>116</v>
      </c>
      <c r="X125" t="s">
        <v>32</v>
      </c>
      <c r="Y125" t="s">
        <v>33</v>
      </c>
    </row>
    <row r="126" spans="1:25" x14ac:dyDescent="0.25">
      <c r="A126">
        <v>2025</v>
      </c>
      <c r="B126" t="s">
        <v>112</v>
      </c>
      <c r="C126" t="s">
        <v>123</v>
      </c>
      <c r="D126" t="s">
        <v>124</v>
      </c>
      <c r="E126" t="s">
        <v>46</v>
      </c>
      <c r="F126" t="s">
        <v>115</v>
      </c>
      <c r="G126">
        <v>32</v>
      </c>
      <c r="H126">
        <v>40</v>
      </c>
      <c r="I126">
        <v>35</v>
      </c>
      <c r="J126">
        <v>850</v>
      </c>
      <c r="K126">
        <v>9</v>
      </c>
      <c r="L126">
        <v>10</v>
      </c>
      <c r="M126">
        <v>5250</v>
      </c>
      <c r="N126" t="s">
        <v>30</v>
      </c>
      <c r="O126">
        <v>0</v>
      </c>
      <c r="P126">
        <v>0</v>
      </c>
      <c r="Q126">
        <v>0</v>
      </c>
      <c r="R126">
        <v>334</v>
      </c>
      <c r="S126">
        <v>366</v>
      </c>
      <c r="T126">
        <v>295</v>
      </c>
      <c r="U126">
        <v>11.2</v>
      </c>
      <c r="V126" t="s">
        <v>30</v>
      </c>
      <c r="W126" t="s">
        <v>116</v>
      </c>
      <c r="X126" t="s">
        <v>32</v>
      </c>
      <c r="Y126" t="s">
        <v>33</v>
      </c>
    </row>
    <row r="127" spans="1:25" x14ac:dyDescent="0.25">
      <c r="A127">
        <v>2025</v>
      </c>
      <c r="B127" t="s">
        <v>112</v>
      </c>
      <c r="C127" t="s">
        <v>123</v>
      </c>
      <c r="D127" t="s">
        <v>125</v>
      </c>
      <c r="E127" t="s">
        <v>28</v>
      </c>
      <c r="F127" t="s">
        <v>118</v>
      </c>
      <c r="G127">
        <v>102</v>
      </c>
      <c r="H127">
        <v>87</v>
      </c>
      <c r="I127">
        <v>95</v>
      </c>
      <c r="J127">
        <v>850</v>
      </c>
      <c r="K127">
        <v>9</v>
      </c>
      <c r="L127">
        <v>10</v>
      </c>
      <c r="M127">
        <v>5250</v>
      </c>
      <c r="N127" t="s">
        <v>30</v>
      </c>
      <c r="O127">
        <v>0</v>
      </c>
      <c r="P127">
        <v>0</v>
      </c>
      <c r="Q127">
        <v>0</v>
      </c>
      <c r="R127">
        <v>283</v>
      </c>
      <c r="S127">
        <v>304</v>
      </c>
      <c r="T127">
        <v>258</v>
      </c>
      <c r="U127">
        <v>9.5</v>
      </c>
      <c r="V127" t="s">
        <v>30</v>
      </c>
      <c r="W127" t="s">
        <v>126</v>
      </c>
      <c r="X127" t="s">
        <v>32</v>
      </c>
      <c r="Y127" t="s">
        <v>33</v>
      </c>
    </row>
    <row r="128" spans="1:25" x14ac:dyDescent="0.25">
      <c r="A128">
        <v>2025</v>
      </c>
      <c r="B128" t="s">
        <v>112</v>
      </c>
      <c r="C128" t="s">
        <v>123</v>
      </c>
      <c r="D128" t="s">
        <v>125</v>
      </c>
      <c r="E128" t="s">
        <v>28</v>
      </c>
      <c r="F128" t="s">
        <v>118</v>
      </c>
      <c r="G128">
        <v>33</v>
      </c>
      <c r="H128">
        <v>39</v>
      </c>
      <c r="I128">
        <v>36</v>
      </c>
      <c r="J128">
        <v>850</v>
      </c>
      <c r="K128">
        <v>9</v>
      </c>
      <c r="L128">
        <v>10</v>
      </c>
      <c r="M128">
        <v>5250</v>
      </c>
      <c r="N128" t="s">
        <v>30</v>
      </c>
      <c r="O128">
        <v>0</v>
      </c>
      <c r="P128">
        <v>0</v>
      </c>
      <c r="Q128">
        <v>0</v>
      </c>
      <c r="R128">
        <v>283</v>
      </c>
      <c r="S128">
        <v>304</v>
      </c>
      <c r="T128">
        <v>258</v>
      </c>
      <c r="U128">
        <v>9.5</v>
      </c>
      <c r="V128" t="s">
        <v>30</v>
      </c>
      <c r="W128" t="s">
        <v>126</v>
      </c>
      <c r="X128" t="s">
        <v>32</v>
      </c>
      <c r="Y128" t="s">
        <v>33</v>
      </c>
    </row>
    <row r="129" spans="1:25" x14ac:dyDescent="0.25">
      <c r="A129">
        <v>2025</v>
      </c>
      <c r="B129" t="s">
        <v>112</v>
      </c>
      <c r="C129" t="s">
        <v>123</v>
      </c>
      <c r="D129" t="s">
        <v>127</v>
      </c>
      <c r="E129" t="s">
        <v>128</v>
      </c>
      <c r="F129" t="s">
        <v>115</v>
      </c>
      <c r="G129">
        <v>114</v>
      </c>
      <c r="H129">
        <v>95</v>
      </c>
      <c r="I129">
        <v>104</v>
      </c>
      <c r="J129">
        <v>750</v>
      </c>
      <c r="K129">
        <v>9</v>
      </c>
      <c r="L129">
        <v>10</v>
      </c>
      <c r="M129">
        <v>5750</v>
      </c>
      <c r="N129" t="s">
        <v>30</v>
      </c>
      <c r="O129">
        <v>0</v>
      </c>
      <c r="P129">
        <v>0</v>
      </c>
      <c r="Q129">
        <v>0</v>
      </c>
      <c r="R129">
        <v>312</v>
      </c>
      <c r="S129">
        <v>337</v>
      </c>
      <c r="T129">
        <v>281</v>
      </c>
      <c r="U129">
        <v>9.5</v>
      </c>
      <c r="V129" t="s">
        <v>30</v>
      </c>
      <c r="W129" t="s">
        <v>129</v>
      </c>
      <c r="X129" t="s">
        <v>32</v>
      </c>
      <c r="Y129" t="s">
        <v>33</v>
      </c>
    </row>
    <row r="130" spans="1:25" x14ac:dyDescent="0.25">
      <c r="A130">
        <v>2025</v>
      </c>
      <c r="B130" t="s">
        <v>112</v>
      </c>
      <c r="C130" t="s">
        <v>123</v>
      </c>
      <c r="D130" t="s">
        <v>127</v>
      </c>
      <c r="E130" t="s">
        <v>128</v>
      </c>
      <c r="F130" t="s">
        <v>115</v>
      </c>
      <c r="G130">
        <v>30</v>
      </c>
      <c r="H130">
        <v>36</v>
      </c>
      <c r="I130">
        <v>32</v>
      </c>
      <c r="J130">
        <v>750</v>
      </c>
      <c r="K130">
        <v>9</v>
      </c>
      <c r="L130">
        <v>10</v>
      </c>
      <c r="M130">
        <v>5750</v>
      </c>
      <c r="N130" t="s">
        <v>30</v>
      </c>
      <c r="O130">
        <v>0</v>
      </c>
      <c r="P130">
        <v>0</v>
      </c>
      <c r="Q130">
        <v>0</v>
      </c>
      <c r="R130">
        <v>312</v>
      </c>
      <c r="S130">
        <v>337</v>
      </c>
      <c r="T130">
        <v>281</v>
      </c>
      <c r="U130">
        <v>9.5</v>
      </c>
      <c r="V130" t="s">
        <v>30</v>
      </c>
      <c r="W130" t="s">
        <v>129</v>
      </c>
      <c r="X130" t="s">
        <v>32</v>
      </c>
      <c r="Y130" t="s">
        <v>33</v>
      </c>
    </row>
    <row r="131" spans="1:25" x14ac:dyDescent="0.25">
      <c r="A131">
        <v>2025</v>
      </c>
      <c r="B131" t="s">
        <v>112</v>
      </c>
      <c r="C131" t="s">
        <v>123</v>
      </c>
      <c r="D131" t="s">
        <v>130</v>
      </c>
      <c r="E131" t="s">
        <v>128</v>
      </c>
      <c r="F131" t="s">
        <v>115</v>
      </c>
      <c r="G131">
        <v>103</v>
      </c>
      <c r="H131">
        <v>86</v>
      </c>
      <c r="I131">
        <v>95</v>
      </c>
      <c r="J131">
        <v>850</v>
      </c>
      <c r="K131">
        <v>9</v>
      </c>
      <c r="L131">
        <v>10</v>
      </c>
      <c r="M131">
        <v>5250</v>
      </c>
      <c r="N131" t="s">
        <v>30</v>
      </c>
      <c r="O131">
        <v>0</v>
      </c>
      <c r="P131">
        <v>0</v>
      </c>
      <c r="Q131">
        <v>0</v>
      </c>
      <c r="R131">
        <v>283</v>
      </c>
      <c r="S131">
        <v>307</v>
      </c>
      <c r="T131">
        <v>254</v>
      </c>
      <c r="U131">
        <v>9.5</v>
      </c>
      <c r="V131" t="s">
        <v>30</v>
      </c>
      <c r="W131" t="s">
        <v>129</v>
      </c>
      <c r="X131" t="s">
        <v>32</v>
      </c>
      <c r="Y131" t="s">
        <v>33</v>
      </c>
    </row>
    <row r="132" spans="1:25" x14ac:dyDescent="0.25">
      <c r="A132">
        <v>2025</v>
      </c>
      <c r="B132" t="s">
        <v>112</v>
      </c>
      <c r="C132" t="s">
        <v>123</v>
      </c>
      <c r="D132" t="s">
        <v>130</v>
      </c>
      <c r="E132" t="s">
        <v>128</v>
      </c>
      <c r="F132" t="s">
        <v>115</v>
      </c>
      <c r="G132">
        <v>33</v>
      </c>
      <c r="H132">
        <v>39</v>
      </c>
      <c r="I132">
        <v>36</v>
      </c>
      <c r="J132">
        <v>850</v>
      </c>
      <c r="K132">
        <v>9</v>
      </c>
      <c r="L132">
        <v>10</v>
      </c>
      <c r="M132">
        <v>5250</v>
      </c>
      <c r="N132" t="s">
        <v>30</v>
      </c>
      <c r="O132">
        <v>0</v>
      </c>
      <c r="P132">
        <v>0</v>
      </c>
      <c r="Q132">
        <v>0</v>
      </c>
      <c r="R132">
        <v>283</v>
      </c>
      <c r="S132">
        <v>307</v>
      </c>
      <c r="T132">
        <v>254</v>
      </c>
      <c r="U132">
        <v>9.5</v>
      </c>
      <c r="V132" t="s">
        <v>30</v>
      </c>
      <c r="W132" t="s">
        <v>129</v>
      </c>
      <c r="X132" t="s">
        <v>32</v>
      </c>
      <c r="Y132" t="s">
        <v>33</v>
      </c>
    </row>
    <row r="133" spans="1:25" x14ac:dyDescent="0.25">
      <c r="A133">
        <v>2025</v>
      </c>
      <c r="B133" t="s">
        <v>112</v>
      </c>
      <c r="C133" t="s">
        <v>123</v>
      </c>
      <c r="D133" t="s">
        <v>131</v>
      </c>
      <c r="E133" t="s">
        <v>28</v>
      </c>
      <c r="F133" t="s">
        <v>118</v>
      </c>
      <c r="G133">
        <v>92</v>
      </c>
      <c r="H133">
        <v>77</v>
      </c>
      <c r="I133">
        <v>85</v>
      </c>
      <c r="J133">
        <v>950</v>
      </c>
      <c r="K133">
        <v>9</v>
      </c>
      <c r="L133">
        <v>10</v>
      </c>
      <c r="M133">
        <v>4750</v>
      </c>
      <c r="N133" t="s">
        <v>30</v>
      </c>
      <c r="O133">
        <v>0</v>
      </c>
      <c r="P133">
        <v>0</v>
      </c>
      <c r="Q133">
        <v>0</v>
      </c>
      <c r="R133">
        <v>303</v>
      </c>
      <c r="S133">
        <v>327</v>
      </c>
      <c r="T133">
        <v>274</v>
      </c>
      <c r="U133">
        <v>11.2</v>
      </c>
      <c r="V133" t="s">
        <v>30</v>
      </c>
      <c r="W133" t="s">
        <v>119</v>
      </c>
      <c r="X133" t="s">
        <v>32</v>
      </c>
      <c r="Y133" t="s">
        <v>33</v>
      </c>
    </row>
    <row r="134" spans="1:25" x14ac:dyDescent="0.25">
      <c r="A134">
        <v>2025</v>
      </c>
      <c r="B134" t="s">
        <v>112</v>
      </c>
      <c r="C134" t="s">
        <v>123</v>
      </c>
      <c r="D134" t="s">
        <v>131</v>
      </c>
      <c r="E134" t="s">
        <v>28</v>
      </c>
      <c r="F134" t="s">
        <v>118</v>
      </c>
      <c r="G134">
        <v>36</v>
      </c>
      <c r="H134">
        <v>44</v>
      </c>
      <c r="I134">
        <v>40</v>
      </c>
      <c r="J134">
        <v>950</v>
      </c>
      <c r="K134">
        <v>9</v>
      </c>
      <c r="L134">
        <v>10</v>
      </c>
      <c r="M134">
        <v>4750</v>
      </c>
      <c r="N134" t="s">
        <v>30</v>
      </c>
      <c r="O134">
        <v>0</v>
      </c>
      <c r="P134">
        <v>0</v>
      </c>
      <c r="Q134">
        <v>0</v>
      </c>
      <c r="R134">
        <v>303</v>
      </c>
      <c r="S134">
        <v>327</v>
      </c>
      <c r="T134">
        <v>274</v>
      </c>
      <c r="U134">
        <v>11.2</v>
      </c>
      <c r="V134" t="s">
        <v>30</v>
      </c>
      <c r="W134" t="s">
        <v>119</v>
      </c>
      <c r="X134" t="s">
        <v>32</v>
      </c>
      <c r="Y134" t="s">
        <v>33</v>
      </c>
    </row>
    <row r="135" spans="1:25" x14ac:dyDescent="0.25">
      <c r="A135">
        <v>2025</v>
      </c>
      <c r="B135" t="s">
        <v>112</v>
      </c>
      <c r="C135" t="s">
        <v>123</v>
      </c>
      <c r="D135" t="s">
        <v>132</v>
      </c>
      <c r="E135" t="s">
        <v>128</v>
      </c>
      <c r="F135" t="s">
        <v>115</v>
      </c>
      <c r="G135">
        <v>117</v>
      </c>
      <c r="H135">
        <v>100</v>
      </c>
      <c r="I135">
        <v>109</v>
      </c>
      <c r="J135">
        <v>650</v>
      </c>
      <c r="K135">
        <v>10</v>
      </c>
      <c r="L135">
        <v>10</v>
      </c>
      <c r="M135">
        <v>3750</v>
      </c>
      <c r="N135" t="s">
        <v>30</v>
      </c>
      <c r="O135">
        <v>0</v>
      </c>
      <c r="P135">
        <v>0</v>
      </c>
      <c r="Q135">
        <v>0</v>
      </c>
      <c r="R135">
        <v>319</v>
      </c>
      <c r="S135">
        <v>342</v>
      </c>
      <c r="T135">
        <v>291</v>
      </c>
      <c r="U135">
        <v>9.5</v>
      </c>
      <c r="V135" t="s">
        <v>30</v>
      </c>
      <c r="W135" t="s">
        <v>126</v>
      </c>
      <c r="X135" t="s">
        <v>32</v>
      </c>
      <c r="Y135" t="s">
        <v>33</v>
      </c>
    </row>
    <row r="136" spans="1:25" x14ac:dyDescent="0.25">
      <c r="A136">
        <v>2025</v>
      </c>
      <c r="B136" t="s">
        <v>112</v>
      </c>
      <c r="C136" t="s">
        <v>123</v>
      </c>
      <c r="D136" t="s">
        <v>132</v>
      </c>
      <c r="E136" t="s">
        <v>128</v>
      </c>
      <c r="F136" t="s">
        <v>115</v>
      </c>
      <c r="G136">
        <v>29</v>
      </c>
      <c r="H136">
        <v>34</v>
      </c>
      <c r="I136">
        <v>31</v>
      </c>
      <c r="J136">
        <v>650</v>
      </c>
      <c r="K136">
        <v>10</v>
      </c>
      <c r="L136">
        <v>10</v>
      </c>
      <c r="M136">
        <v>3750</v>
      </c>
      <c r="N136" t="s">
        <v>30</v>
      </c>
      <c r="O136">
        <v>0</v>
      </c>
      <c r="P136">
        <v>0</v>
      </c>
      <c r="Q136">
        <v>0</v>
      </c>
      <c r="R136">
        <v>319</v>
      </c>
      <c r="S136">
        <v>342</v>
      </c>
      <c r="T136">
        <v>291</v>
      </c>
      <c r="U136">
        <v>9.5</v>
      </c>
      <c r="V136" t="s">
        <v>30</v>
      </c>
      <c r="W136" t="s">
        <v>126</v>
      </c>
      <c r="X136" t="s">
        <v>32</v>
      </c>
      <c r="Y136" t="s">
        <v>33</v>
      </c>
    </row>
    <row r="137" spans="1:25" x14ac:dyDescent="0.25">
      <c r="A137">
        <v>2025</v>
      </c>
      <c r="B137" t="s">
        <v>112</v>
      </c>
      <c r="C137" t="s">
        <v>123</v>
      </c>
      <c r="D137" t="s">
        <v>133</v>
      </c>
      <c r="E137" t="s">
        <v>28</v>
      </c>
      <c r="F137" t="s">
        <v>118</v>
      </c>
      <c r="G137">
        <v>112</v>
      </c>
      <c r="H137">
        <v>95</v>
      </c>
      <c r="I137">
        <v>103</v>
      </c>
      <c r="J137">
        <v>800</v>
      </c>
      <c r="K137">
        <v>9</v>
      </c>
      <c r="L137">
        <v>10</v>
      </c>
      <c r="M137">
        <v>5500</v>
      </c>
      <c r="N137" t="s">
        <v>30</v>
      </c>
      <c r="O137">
        <v>0</v>
      </c>
      <c r="P137">
        <v>0</v>
      </c>
      <c r="Q137">
        <v>0</v>
      </c>
      <c r="R137">
        <v>307</v>
      </c>
      <c r="S137">
        <v>329</v>
      </c>
      <c r="T137">
        <v>280</v>
      </c>
      <c r="U137">
        <v>9.5</v>
      </c>
      <c r="V137" t="s">
        <v>30</v>
      </c>
      <c r="W137" t="s">
        <v>129</v>
      </c>
      <c r="X137" t="s">
        <v>32</v>
      </c>
      <c r="Y137" t="s">
        <v>33</v>
      </c>
    </row>
    <row r="138" spans="1:25" x14ac:dyDescent="0.25">
      <c r="A138">
        <v>2025</v>
      </c>
      <c r="B138" t="s">
        <v>112</v>
      </c>
      <c r="C138" t="s">
        <v>123</v>
      </c>
      <c r="D138" t="s">
        <v>133</v>
      </c>
      <c r="E138" t="s">
        <v>28</v>
      </c>
      <c r="F138" t="s">
        <v>118</v>
      </c>
      <c r="G138">
        <v>30</v>
      </c>
      <c r="H138">
        <v>36</v>
      </c>
      <c r="I138">
        <v>33</v>
      </c>
      <c r="J138">
        <v>800</v>
      </c>
      <c r="K138">
        <v>9</v>
      </c>
      <c r="L138">
        <v>10</v>
      </c>
      <c r="M138">
        <v>5500</v>
      </c>
      <c r="N138" t="s">
        <v>30</v>
      </c>
      <c r="O138">
        <v>0</v>
      </c>
      <c r="P138">
        <v>0</v>
      </c>
      <c r="Q138">
        <v>0</v>
      </c>
      <c r="R138">
        <v>307</v>
      </c>
      <c r="S138">
        <v>329</v>
      </c>
      <c r="T138">
        <v>280</v>
      </c>
      <c r="U138">
        <v>9.5</v>
      </c>
      <c r="V138" t="s">
        <v>30</v>
      </c>
      <c r="W138" t="s">
        <v>129</v>
      </c>
      <c r="X138" t="s">
        <v>32</v>
      </c>
      <c r="Y138" t="s">
        <v>33</v>
      </c>
    </row>
    <row r="139" spans="1:25" x14ac:dyDescent="0.25">
      <c r="A139">
        <v>2025</v>
      </c>
      <c r="B139" t="s">
        <v>112</v>
      </c>
      <c r="C139" t="s">
        <v>123</v>
      </c>
      <c r="D139" t="s">
        <v>133</v>
      </c>
      <c r="E139" t="s">
        <v>28</v>
      </c>
      <c r="F139" t="s">
        <v>118</v>
      </c>
      <c r="G139">
        <v>103</v>
      </c>
      <c r="H139">
        <v>88</v>
      </c>
      <c r="I139">
        <v>96</v>
      </c>
      <c r="J139">
        <v>800</v>
      </c>
      <c r="K139">
        <v>9</v>
      </c>
      <c r="L139">
        <v>10</v>
      </c>
      <c r="M139">
        <v>5500</v>
      </c>
      <c r="N139" t="s">
        <v>30</v>
      </c>
      <c r="O139">
        <v>0</v>
      </c>
      <c r="P139">
        <v>0</v>
      </c>
      <c r="Q139">
        <v>0</v>
      </c>
      <c r="R139">
        <v>307</v>
      </c>
      <c r="S139">
        <v>329</v>
      </c>
      <c r="T139">
        <v>280</v>
      </c>
      <c r="U139">
        <v>9.5</v>
      </c>
      <c r="V139" t="s">
        <v>30</v>
      </c>
      <c r="W139" t="s">
        <v>126</v>
      </c>
      <c r="X139" t="s">
        <v>32</v>
      </c>
      <c r="Y139" t="s">
        <v>33</v>
      </c>
    </row>
    <row r="140" spans="1:25" x14ac:dyDescent="0.25">
      <c r="A140">
        <v>2025</v>
      </c>
      <c r="B140" t="s">
        <v>112</v>
      </c>
      <c r="C140" t="s">
        <v>123</v>
      </c>
      <c r="D140" t="s">
        <v>133</v>
      </c>
      <c r="E140" t="s">
        <v>28</v>
      </c>
      <c r="F140" t="s">
        <v>118</v>
      </c>
      <c r="G140">
        <v>33</v>
      </c>
      <c r="H140">
        <v>38</v>
      </c>
      <c r="I140">
        <v>35</v>
      </c>
      <c r="J140">
        <v>800</v>
      </c>
      <c r="K140">
        <v>9</v>
      </c>
      <c r="L140">
        <v>10</v>
      </c>
      <c r="M140">
        <v>5500</v>
      </c>
      <c r="N140" t="s">
        <v>30</v>
      </c>
      <c r="O140">
        <v>0</v>
      </c>
      <c r="P140">
        <v>0</v>
      </c>
      <c r="Q140">
        <v>0</v>
      </c>
      <c r="R140">
        <v>307</v>
      </c>
      <c r="S140">
        <v>329</v>
      </c>
      <c r="T140">
        <v>280</v>
      </c>
      <c r="U140">
        <v>9.5</v>
      </c>
      <c r="V140" t="s">
        <v>30</v>
      </c>
      <c r="W140" t="s">
        <v>126</v>
      </c>
      <c r="X140" t="s">
        <v>32</v>
      </c>
      <c r="Y140" t="s">
        <v>33</v>
      </c>
    </row>
    <row r="141" spans="1:25" x14ac:dyDescent="0.25">
      <c r="A141">
        <v>2025</v>
      </c>
      <c r="B141" t="s">
        <v>112</v>
      </c>
      <c r="C141" t="s">
        <v>123</v>
      </c>
      <c r="D141" t="s">
        <v>134</v>
      </c>
      <c r="E141" t="s">
        <v>107</v>
      </c>
      <c r="F141" t="s">
        <v>135</v>
      </c>
      <c r="G141">
        <v>74</v>
      </c>
      <c r="H141">
        <v>61</v>
      </c>
      <c r="I141">
        <v>68</v>
      </c>
      <c r="J141">
        <v>1200</v>
      </c>
      <c r="K141">
        <v>9</v>
      </c>
      <c r="L141">
        <v>10</v>
      </c>
      <c r="M141">
        <v>3500</v>
      </c>
      <c r="N141" t="s">
        <v>30</v>
      </c>
      <c r="O141">
        <v>0</v>
      </c>
      <c r="P141">
        <v>0</v>
      </c>
      <c r="Q141">
        <v>0</v>
      </c>
      <c r="R141">
        <v>492</v>
      </c>
      <c r="S141">
        <v>531</v>
      </c>
      <c r="T141">
        <v>444</v>
      </c>
      <c r="U141">
        <v>13.3</v>
      </c>
      <c r="V141" t="s">
        <v>30</v>
      </c>
      <c r="W141" t="s">
        <v>136</v>
      </c>
      <c r="X141" t="s">
        <v>32</v>
      </c>
      <c r="Y141" t="s">
        <v>33</v>
      </c>
    </row>
    <row r="142" spans="1:25" x14ac:dyDescent="0.25">
      <c r="A142">
        <v>2025</v>
      </c>
      <c r="B142" t="s">
        <v>112</v>
      </c>
      <c r="C142" t="s">
        <v>123</v>
      </c>
      <c r="D142" t="s">
        <v>134</v>
      </c>
      <c r="E142" t="s">
        <v>107</v>
      </c>
      <c r="F142" t="s">
        <v>135</v>
      </c>
      <c r="G142">
        <v>46</v>
      </c>
      <c r="H142">
        <v>55</v>
      </c>
      <c r="I142">
        <v>50</v>
      </c>
      <c r="J142">
        <v>1200</v>
      </c>
      <c r="K142">
        <v>9</v>
      </c>
      <c r="L142">
        <v>10</v>
      </c>
      <c r="M142">
        <v>3500</v>
      </c>
      <c r="N142" t="s">
        <v>30</v>
      </c>
      <c r="O142">
        <v>0</v>
      </c>
      <c r="P142">
        <v>0</v>
      </c>
      <c r="Q142">
        <v>0</v>
      </c>
      <c r="R142">
        <v>492</v>
      </c>
      <c r="S142">
        <v>531</v>
      </c>
      <c r="T142">
        <v>444</v>
      </c>
      <c r="U142">
        <v>13.3</v>
      </c>
      <c r="V142" t="s">
        <v>30</v>
      </c>
      <c r="W142" t="s">
        <v>136</v>
      </c>
      <c r="X142" t="s">
        <v>32</v>
      </c>
      <c r="Y142" t="s">
        <v>33</v>
      </c>
    </row>
    <row r="143" spans="1:25" x14ac:dyDescent="0.25">
      <c r="A143">
        <v>2025</v>
      </c>
      <c r="B143" t="s">
        <v>112</v>
      </c>
      <c r="C143" t="s">
        <v>123</v>
      </c>
      <c r="D143" t="s">
        <v>137</v>
      </c>
      <c r="E143" t="s">
        <v>107</v>
      </c>
      <c r="F143" t="s">
        <v>135</v>
      </c>
      <c r="G143">
        <v>77</v>
      </c>
      <c r="H143">
        <v>63</v>
      </c>
      <c r="I143">
        <v>70</v>
      </c>
      <c r="J143">
        <v>1150</v>
      </c>
      <c r="K143">
        <v>9</v>
      </c>
      <c r="L143">
        <v>10</v>
      </c>
      <c r="M143">
        <v>3750</v>
      </c>
      <c r="N143" t="s">
        <v>30</v>
      </c>
      <c r="O143">
        <v>0</v>
      </c>
      <c r="P143">
        <v>0</v>
      </c>
      <c r="Q143">
        <v>0</v>
      </c>
      <c r="R143">
        <v>422</v>
      </c>
      <c r="S143">
        <v>460</v>
      </c>
      <c r="T143">
        <v>375</v>
      </c>
      <c r="U143">
        <v>18.600000000000001</v>
      </c>
      <c r="V143" t="s">
        <v>30</v>
      </c>
      <c r="W143" t="s">
        <v>136</v>
      </c>
      <c r="X143" t="s">
        <v>32</v>
      </c>
      <c r="Y143" t="s">
        <v>33</v>
      </c>
    </row>
    <row r="144" spans="1:25" x14ac:dyDescent="0.25">
      <c r="A144">
        <v>2025</v>
      </c>
      <c r="B144" t="s">
        <v>112</v>
      </c>
      <c r="C144" t="s">
        <v>123</v>
      </c>
      <c r="D144" t="s">
        <v>137</v>
      </c>
      <c r="E144" t="s">
        <v>107</v>
      </c>
      <c r="F144" t="s">
        <v>135</v>
      </c>
      <c r="G144">
        <v>44</v>
      </c>
      <c r="H144">
        <v>54</v>
      </c>
      <c r="I144">
        <v>48</v>
      </c>
      <c r="J144">
        <v>1150</v>
      </c>
      <c r="K144">
        <v>9</v>
      </c>
      <c r="L144">
        <v>10</v>
      </c>
      <c r="M144">
        <v>3750</v>
      </c>
      <c r="N144" t="s">
        <v>30</v>
      </c>
      <c r="O144">
        <v>0</v>
      </c>
      <c r="P144">
        <v>0</v>
      </c>
      <c r="Q144">
        <v>0</v>
      </c>
      <c r="R144">
        <v>422</v>
      </c>
      <c r="S144">
        <v>460</v>
      </c>
      <c r="T144">
        <v>375</v>
      </c>
      <c r="U144">
        <v>18.600000000000001</v>
      </c>
      <c r="V144" t="s">
        <v>30</v>
      </c>
      <c r="W144" t="s">
        <v>136</v>
      </c>
      <c r="X144" t="s">
        <v>32</v>
      </c>
      <c r="Y144" t="s">
        <v>33</v>
      </c>
    </row>
    <row r="145" spans="1:25" x14ac:dyDescent="0.25">
      <c r="A145">
        <v>2025</v>
      </c>
      <c r="B145" t="s">
        <v>112</v>
      </c>
      <c r="C145" t="s">
        <v>123</v>
      </c>
      <c r="D145" t="s">
        <v>138</v>
      </c>
      <c r="E145" t="s">
        <v>107</v>
      </c>
      <c r="F145" t="s">
        <v>135</v>
      </c>
      <c r="G145">
        <v>74</v>
      </c>
      <c r="H145">
        <v>61</v>
      </c>
      <c r="I145">
        <v>68</v>
      </c>
      <c r="J145">
        <v>1200</v>
      </c>
      <c r="K145">
        <v>9</v>
      </c>
      <c r="L145">
        <v>10</v>
      </c>
      <c r="M145">
        <v>3500</v>
      </c>
      <c r="N145" t="s">
        <v>30</v>
      </c>
      <c r="O145">
        <v>0</v>
      </c>
      <c r="P145">
        <v>0</v>
      </c>
      <c r="Q145">
        <v>0</v>
      </c>
      <c r="R145">
        <v>408</v>
      </c>
      <c r="S145">
        <v>442</v>
      </c>
      <c r="T145">
        <v>367</v>
      </c>
      <c r="U145">
        <v>18.600000000000001</v>
      </c>
      <c r="V145" t="s">
        <v>30</v>
      </c>
      <c r="W145" t="s">
        <v>139</v>
      </c>
      <c r="X145" t="s">
        <v>32</v>
      </c>
      <c r="Y145" t="s">
        <v>33</v>
      </c>
    </row>
    <row r="146" spans="1:25" x14ac:dyDescent="0.25">
      <c r="A146">
        <v>2025</v>
      </c>
      <c r="B146" t="s">
        <v>112</v>
      </c>
      <c r="C146" t="s">
        <v>123</v>
      </c>
      <c r="D146" t="s">
        <v>138</v>
      </c>
      <c r="E146" t="s">
        <v>107</v>
      </c>
      <c r="F146" t="s">
        <v>135</v>
      </c>
      <c r="G146">
        <v>46</v>
      </c>
      <c r="H146">
        <v>55</v>
      </c>
      <c r="I146">
        <v>50</v>
      </c>
      <c r="J146">
        <v>1200</v>
      </c>
      <c r="K146">
        <v>9</v>
      </c>
      <c r="L146">
        <v>10</v>
      </c>
      <c r="M146">
        <v>3500</v>
      </c>
      <c r="N146" t="s">
        <v>30</v>
      </c>
      <c r="O146">
        <v>0</v>
      </c>
      <c r="P146">
        <v>0</v>
      </c>
      <c r="Q146">
        <v>0</v>
      </c>
      <c r="R146">
        <v>408</v>
      </c>
      <c r="S146">
        <v>442</v>
      </c>
      <c r="T146">
        <v>367</v>
      </c>
      <c r="U146">
        <v>18.600000000000001</v>
      </c>
      <c r="V146" t="s">
        <v>30</v>
      </c>
      <c r="W146" t="s">
        <v>139</v>
      </c>
      <c r="X146" t="s">
        <v>32</v>
      </c>
      <c r="Y146" t="s">
        <v>33</v>
      </c>
    </row>
    <row r="147" spans="1:25" x14ac:dyDescent="0.25">
      <c r="A147">
        <v>2025</v>
      </c>
      <c r="B147" t="s">
        <v>112</v>
      </c>
      <c r="C147" t="s">
        <v>123</v>
      </c>
      <c r="D147" t="s">
        <v>140</v>
      </c>
      <c r="E147" t="s">
        <v>107</v>
      </c>
      <c r="F147" t="s">
        <v>135</v>
      </c>
      <c r="G147">
        <v>70</v>
      </c>
      <c r="H147">
        <v>59</v>
      </c>
      <c r="I147">
        <v>64</v>
      </c>
      <c r="J147">
        <v>1250</v>
      </c>
      <c r="K147">
        <v>8</v>
      </c>
      <c r="L147">
        <v>10</v>
      </c>
      <c r="M147">
        <v>3250</v>
      </c>
      <c r="N147" t="s">
        <v>30</v>
      </c>
      <c r="O147">
        <v>0</v>
      </c>
      <c r="P147">
        <v>0</v>
      </c>
      <c r="Q147">
        <v>0</v>
      </c>
      <c r="R147">
        <v>390</v>
      </c>
      <c r="S147">
        <v>419</v>
      </c>
      <c r="T147">
        <v>354</v>
      </c>
      <c r="U147">
        <v>11.5</v>
      </c>
      <c r="V147" t="s">
        <v>30</v>
      </c>
      <c r="W147" t="s">
        <v>139</v>
      </c>
      <c r="X147" t="s">
        <v>32</v>
      </c>
      <c r="Y147" t="s">
        <v>33</v>
      </c>
    </row>
    <row r="148" spans="1:25" x14ac:dyDescent="0.25">
      <c r="A148">
        <v>2025</v>
      </c>
      <c r="B148" t="s">
        <v>112</v>
      </c>
      <c r="C148" t="s">
        <v>123</v>
      </c>
      <c r="D148" t="s">
        <v>140</v>
      </c>
      <c r="E148" t="s">
        <v>107</v>
      </c>
      <c r="F148" t="s">
        <v>135</v>
      </c>
      <c r="G148">
        <v>48</v>
      </c>
      <c r="H148">
        <v>57</v>
      </c>
      <c r="I148">
        <v>52</v>
      </c>
      <c r="J148">
        <v>1250</v>
      </c>
      <c r="K148">
        <v>8</v>
      </c>
      <c r="L148">
        <v>10</v>
      </c>
      <c r="M148">
        <v>3250</v>
      </c>
      <c r="N148" t="s">
        <v>30</v>
      </c>
      <c r="O148">
        <v>0</v>
      </c>
      <c r="P148">
        <v>0</v>
      </c>
      <c r="Q148">
        <v>0</v>
      </c>
      <c r="R148">
        <v>390</v>
      </c>
      <c r="S148">
        <v>419</v>
      </c>
      <c r="T148">
        <v>354</v>
      </c>
      <c r="U148">
        <v>11.5</v>
      </c>
      <c r="V148" t="s">
        <v>30</v>
      </c>
      <c r="W148" t="s">
        <v>139</v>
      </c>
      <c r="X148" t="s">
        <v>32</v>
      </c>
      <c r="Y148" t="s">
        <v>33</v>
      </c>
    </row>
    <row r="149" spans="1:25" x14ac:dyDescent="0.25">
      <c r="A149">
        <v>2025</v>
      </c>
      <c r="B149" t="s">
        <v>112</v>
      </c>
      <c r="C149" t="s">
        <v>123</v>
      </c>
      <c r="D149" t="s">
        <v>141</v>
      </c>
      <c r="E149" t="s">
        <v>107</v>
      </c>
      <c r="F149" t="s">
        <v>135</v>
      </c>
      <c r="G149">
        <v>77</v>
      </c>
      <c r="H149">
        <v>63</v>
      </c>
      <c r="I149">
        <v>70</v>
      </c>
      <c r="J149">
        <v>1150</v>
      </c>
      <c r="K149">
        <v>9</v>
      </c>
      <c r="L149">
        <v>10</v>
      </c>
      <c r="M149">
        <v>3750</v>
      </c>
      <c r="N149" t="s">
        <v>30</v>
      </c>
      <c r="O149">
        <v>0</v>
      </c>
      <c r="P149">
        <v>0</v>
      </c>
      <c r="Q149">
        <v>0</v>
      </c>
      <c r="R149">
        <v>422</v>
      </c>
      <c r="S149">
        <v>460</v>
      </c>
      <c r="T149">
        <v>375</v>
      </c>
      <c r="U149">
        <v>11.5</v>
      </c>
      <c r="V149" t="s">
        <v>30</v>
      </c>
      <c r="W149" t="s">
        <v>136</v>
      </c>
      <c r="X149" t="s">
        <v>32</v>
      </c>
      <c r="Y149" t="s">
        <v>33</v>
      </c>
    </row>
    <row r="150" spans="1:25" x14ac:dyDescent="0.25">
      <c r="A150">
        <v>2025</v>
      </c>
      <c r="B150" t="s">
        <v>112</v>
      </c>
      <c r="C150" t="s">
        <v>123</v>
      </c>
      <c r="D150" t="s">
        <v>141</v>
      </c>
      <c r="E150" t="s">
        <v>107</v>
      </c>
      <c r="F150" t="s">
        <v>135</v>
      </c>
      <c r="G150">
        <v>44</v>
      </c>
      <c r="H150">
        <v>54</v>
      </c>
      <c r="I150">
        <v>48</v>
      </c>
      <c r="J150">
        <v>1150</v>
      </c>
      <c r="K150">
        <v>9</v>
      </c>
      <c r="L150">
        <v>10</v>
      </c>
      <c r="M150">
        <v>3750</v>
      </c>
      <c r="N150" t="s">
        <v>30</v>
      </c>
      <c r="O150">
        <v>0</v>
      </c>
      <c r="P150">
        <v>0</v>
      </c>
      <c r="Q150">
        <v>0</v>
      </c>
      <c r="R150">
        <v>422</v>
      </c>
      <c r="S150">
        <v>460</v>
      </c>
      <c r="T150">
        <v>375</v>
      </c>
      <c r="U150">
        <v>11.5</v>
      </c>
      <c r="V150" t="s">
        <v>30</v>
      </c>
      <c r="W150" t="s">
        <v>136</v>
      </c>
      <c r="X150" t="s">
        <v>32</v>
      </c>
      <c r="Y150" t="s">
        <v>33</v>
      </c>
    </row>
    <row r="151" spans="1:25" x14ac:dyDescent="0.25">
      <c r="A151">
        <v>2025</v>
      </c>
      <c r="B151" t="s">
        <v>112</v>
      </c>
      <c r="C151" t="s">
        <v>123</v>
      </c>
      <c r="D151" t="s">
        <v>142</v>
      </c>
      <c r="E151" t="s">
        <v>107</v>
      </c>
      <c r="F151" t="s">
        <v>135</v>
      </c>
      <c r="G151">
        <v>73</v>
      </c>
      <c r="H151">
        <v>60</v>
      </c>
      <c r="I151">
        <v>66</v>
      </c>
      <c r="J151">
        <v>1200</v>
      </c>
      <c r="K151">
        <v>9</v>
      </c>
      <c r="L151">
        <v>10</v>
      </c>
      <c r="M151">
        <v>3500</v>
      </c>
      <c r="N151" t="s">
        <v>30</v>
      </c>
      <c r="O151">
        <v>0</v>
      </c>
      <c r="P151">
        <v>0</v>
      </c>
      <c r="Q151">
        <v>0</v>
      </c>
      <c r="R151">
        <v>282</v>
      </c>
      <c r="S151">
        <v>307</v>
      </c>
      <c r="T151">
        <v>251</v>
      </c>
      <c r="U151">
        <v>13.3</v>
      </c>
      <c r="V151" t="s">
        <v>30</v>
      </c>
      <c r="W151" t="s">
        <v>136</v>
      </c>
      <c r="X151" t="s">
        <v>32</v>
      </c>
      <c r="Y151" t="s">
        <v>33</v>
      </c>
    </row>
    <row r="152" spans="1:25" x14ac:dyDescent="0.25">
      <c r="A152">
        <v>2025</v>
      </c>
      <c r="B152" t="s">
        <v>112</v>
      </c>
      <c r="C152" t="s">
        <v>123</v>
      </c>
      <c r="D152" t="s">
        <v>142</v>
      </c>
      <c r="E152" t="s">
        <v>107</v>
      </c>
      <c r="F152" t="s">
        <v>135</v>
      </c>
      <c r="G152">
        <v>46</v>
      </c>
      <c r="H152">
        <v>56</v>
      </c>
      <c r="I152">
        <v>51</v>
      </c>
      <c r="J152">
        <v>1200</v>
      </c>
      <c r="K152">
        <v>9</v>
      </c>
      <c r="L152">
        <v>10</v>
      </c>
      <c r="M152">
        <v>3500</v>
      </c>
      <c r="N152" t="s">
        <v>30</v>
      </c>
      <c r="O152">
        <v>0</v>
      </c>
      <c r="P152">
        <v>0</v>
      </c>
      <c r="Q152">
        <v>0</v>
      </c>
      <c r="R152">
        <v>282</v>
      </c>
      <c r="S152">
        <v>307</v>
      </c>
      <c r="T152">
        <v>251</v>
      </c>
      <c r="U152">
        <v>13.3</v>
      </c>
      <c r="V152" t="s">
        <v>30</v>
      </c>
      <c r="W152" t="s">
        <v>136</v>
      </c>
      <c r="X152" t="s">
        <v>32</v>
      </c>
      <c r="Y152" t="s">
        <v>33</v>
      </c>
    </row>
    <row r="153" spans="1:25" x14ac:dyDescent="0.25">
      <c r="A153">
        <v>2025</v>
      </c>
      <c r="B153" t="s">
        <v>143</v>
      </c>
      <c r="C153" t="s">
        <v>144</v>
      </c>
      <c r="D153" t="s">
        <v>145</v>
      </c>
      <c r="E153" t="s">
        <v>28</v>
      </c>
      <c r="F153" t="s">
        <v>95</v>
      </c>
      <c r="G153">
        <v>92</v>
      </c>
      <c r="H153">
        <v>81</v>
      </c>
      <c r="I153">
        <v>87</v>
      </c>
      <c r="J153">
        <v>950</v>
      </c>
      <c r="K153">
        <v>9</v>
      </c>
      <c r="L153">
        <v>10</v>
      </c>
      <c r="M153">
        <v>4750</v>
      </c>
      <c r="N153" t="s">
        <v>30</v>
      </c>
      <c r="O153">
        <v>0</v>
      </c>
      <c r="P153">
        <v>0</v>
      </c>
      <c r="Q153">
        <v>0</v>
      </c>
      <c r="R153">
        <v>274</v>
      </c>
      <c r="S153">
        <v>293</v>
      </c>
      <c r="T153">
        <v>251</v>
      </c>
      <c r="U153">
        <v>9.9</v>
      </c>
      <c r="V153" t="s">
        <v>30</v>
      </c>
      <c r="W153" t="s">
        <v>146</v>
      </c>
      <c r="X153" t="s">
        <v>32</v>
      </c>
      <c r="Y153" t="s">
        <v>33</v>
      </c>
    </row>
    <row r="154" spans="1:25" x14ac:dyDescent="0.25">
      <c r="A154">
        <v>2025</v>
      </c>
      <c r="B154" t="s">
        <v>143</v>
      </c>
      <c r="C154" t="s">
        <v>144</v>
      </c>
      <c r="D154" t="s">
        <v>145</v>
      </c>
      <c r="E154" t="s">
        <v>28</v>
      </c>
      <c r="F154" t="s">
        <v>95</v>
      </c>
      <c r="G154">
        <v>32</v>
      </c>
      <c r="H154">
        <v>37</v>
      </c>
      <c r="I154">
        <v>35</v>
      </c>
      <c r="J154">
        <v>950</v>
      </c>
      <c r="K154">
        <v>9</v>
      </c>
      <c r="L154">
        <v>10</v>
      </c>
      <c r="M154">
        <v>4750</v>
      </c>
      <c r="N154" t="s">
        <v>30</v>
      </c>
      <c r="O154">
        <v>0</v>
      </c>
      <c r="P154">
        <v>0</v>
      </c>
      <c r="Q154">
        <v>0</v>
      </c>
      <c r="R154">
        <v>274</v>
      </c>
      <c r="S154">
        <v>293</v>
      </c>
      <c r="T154">
        <v>251</v>
      </c>
      <c r="U154">
        <v>9.9</v>
      </c>
      <c r="V154" t="s">
        <v>30</v>
      </c>
      <c r="W154" t="s">
        <v>146</v>
      </c>
      <c r="X154" t="s">
        <v>32</v>
      </c>
      <c r="Y154" t="s">
        <v>33</v>
      </c>
    </row>
    <row r="155" spans="1:25" x14ac:dyDescent="0.25">
      <c r="A155">
        <v>2025</v>
      </c>
      <c r="B155" t="s">
        <v>143</v>
      </c>
      <c r="C155" t="s">
        <v>144</v>
      </c>
      <c r="D155" t="s">
        <v>147</v>
      </c>
      <c r="E155" t="s">
        <v>28</v>
      </c>
      <c r="F155" t="s">
        <v>95</v>
      </c>
      <c r="G155">
        <v>104</v>
      </c>
      <c r="H155">
        <v>91</v>
      </c>
      <c r="I155">
        <v>98</v>
      </c>
      <c r="J155">
        <v>850</v>
      </c>
      <c r="K155">
        <v>9</v>
      </c>
      <c r="L155">
        <v>10</v>
      </c>
      <c r="M155">
        <v>5250</v>
      </c>
      <c r="N155" t="s">
        <v>30</v>
      </c>
      <c r="O155">
        <v>0</v>
      </c>
      <c r="P155">
        <v>0</v>
      </c>
      <c r="Q155">
        <v>0</v>
      </c>
      <c r="R155">
        <v>308</v>
      </c>
      <c r="S155">
        <v>326</v>
      </c>
      <c r="T155">
        <v>286</v>
      </c>
      <c r="U155">
        <v>9.9</v>
      </c>
      <c r="V155" t="s">
        <v>30</v>
      </c>
      <c r="W155" t="s">
        <v>76</v>
      </c>
      <c r="X155" t="s">
        <v>32</v>
      </c>
      <c r="Y155" t="s">
        <v>33</v>
      </c>
    </row>
    <row r="156" spans="1:25" x14ac:dyDescent="0.25">
      <c r="A156">
        <v>2025</v>
      </c>
      <c r="B156" t="s">
        <v>143</v>
      </c>
      <c r="C156" t="s">
        <v>144</v>
      </c>
      <c r="D156" t="s">
        <v>147</v>
      </c>
      <c r="E156" t="s">
        <v>28</v>
      </c>
      <c r="F156" t="s">
        <v>95</v>
      </c>
      <c r="G156">
        <v>32</v>
      </c>
      <c r="H156">
        <v>37</v>
      </c>
      <c r="I156">
        <v>35</v>
      </c>
      <c r="J156">
        <v>850</v>
      </c>
      <c r="K156">
        <v>9</v>
      </c>
      <c r="L156">
        <v>10</v>
      </c>
      <c r="M156">
        <v>5250</v>
      </c>
      <c r="N156" t="s">
        <v>30</v>
      </c>
      <c r="O156">
        <v>0</v>
      </c>
      <c r="P156">
        <v>0</v>
      </c>
      <c r="Q156">
        <v>0</v>
      </c>
      <c r="R156">
        <v>308</v>
      </c>
      <c r="S156">
        <v>326</v>
      </c>
      <c r="T156">
        <v>286</v>
      </c>
      <c r="U156">
        <v>9.9</v>
      </c>
      <c r="V156" t="s">
        <v>30</v>
      </c>
      <c r="W156" t="s">
        <v>76</v>
      </c>
      <c r="X156" t="s">
        <v>32</v>
      </c>
      <c r="Y156" t="s">
        <v>33</v>
      </c>
    </row>
    <row r="157" spans="1:25" x14ac:dyDescent="0.25">
      <c r="A157">
        <v>2025</v>
      </c>
      <c r="B157" t="s">
        <v>143</v>
      </c>
      <c r="C157" t="s">
        <v>144</v>
      </c>
      <c r="D157" t="s">
        <v>148</v>
      </c>
      <c r="E157" t="s">
        <v>28</v>
      </c>
      <c r="F157" t="s">
        <v>95</v>
      </c>
      <c r="G157">
        <v>90</v>
      </c>
      <c r="H157">
        <v>79</v>
      </c>
      <c r="I157">
        <v>85</v>
      </c>
      <c r="J157">
        <v>950</v>
      </c>
      <c r="K157">
        <v>9</v>
      </c>
      <c r="L157">
        <v>10</v>
      </c>
      <c r="M157">
        <v>4750</v>
      </c>
      <c r="N157" t="s">
        <v>30</v>
      </c>
      <c r="O157">
        <v>0</v>
      </c>
      <c r="P157">
        <v>0</v>
      </c>
      <c r="Q157">
        <v>0</v>
      </c>
      <c r="R157">
        <v>268</v>
      </c>
      <c r="S157">
        <v>286</v>
      </c>
      <c r="T157">
        <v>246</v>
      </c>
      <c r="U157">
        <v>9.9</v>
      </c>
      <c r="V157" t="s">
        <v>30</v>
      </c>
      <c r="W157" t="s">
        <v>146</v>
      </c>
      <c r="X157" t="s">
        <v>32</v>
      </c>
      <c r="Y157" t="s">
        <v>33</v>
      </c>
    </row>
    <row r="158" spans="1:25" x14ac:dyDescent="0.25">
      <c r="A158">
        <v>2025</v>
      </c>
      <c r="B158" t="s">
        <v>143</v>
      </c>
      <c r="C158" t="s">
        <v>144</v>
      </c>
      <c r="D158" t="s">
        <v>148</v>
      </c>
      <c r="E158" t="s">
        <v>28</v>
      </c>
      <c r="F158" t="s">
        <v>95</v>
      </c>
      <c r="G158">
        <v>32</v>
      </c>
      <c r="H158">
        <v>37</v>
      </c>
      <c r="I158">
        <v>35</v>
      </c>
      <c r="J158">
        <v>950</v>
      </c>
      <c r="K158">
        <v>9</v>
      </c>
      <c r="L158">
        <v>10</v>
      </c>
      <c r="M158">
        <v>4750</v>
      </c>
      <c r="N158" t="s">
        <v>30</v>
      </c>
      <c r="O158">
        <v>0</v>
      </c>
      <c r="P158">
        <v>0</v>
      </c>
      <c r="Q158">
        <v>0</v>
      </c>
      <c r="R158">
        <v>268</v>
      </c>
      <c r="S158">
        <v>286</v>
      </c>
      <c r="T158">
        <v>246</v>
      </c>
      <c r="U158">
        <v>9.9</v>
      </c>
      <c r="V158" t="s">
        <v>30</v>
      </c>
      <c r="W158" t="s">
        <v>146</v>
      </c>
      <c r="X158" t="s">
        <v>32</v>
      </c>
      <c r="Y158" t="s">
        <v>33</v>
      </c>
    </row>
    <row r="159" spans="1:25" x14ac:dyDescent="0.25">
      <c r="A159">
        <v>2025</v>
      </c>
      <c r="B159" t="s">
        <v>143</v>
      </c>
      <c r="C159" t="s">
        <v>144</v>
      </c>
      <c r="D159" t="s">
        <v>149</v>
      </c>
      <c r="E159" t="s">
        <v>28</v>
      </c>
      <c r="F159" t="s">
        <v>95</v>
      </c>
      <c r="G159">
        <v>94</v>
      </c>
      <c r="H159">
        <v>82</v>
      </c>
      <c r="I159">
        <v>88</v>
      </c>
      <c r="J159">
        <v>900</v>
      </c>
      <c r="K159">
        <v>9</v>
      </c>
      <c r="L159">
        <v>10</v>
      </c>
      <c r="M159">
        <v>5000</v>
      </c>
      <c r="N159" t="s">
        <v>30</v>
      </c>
      <c r="O159">
        <v>0</v>
      </c>
      <c r="P159">
        <v>0</v>
      </c>
      <c r="Q159">
        <v>0</v>
      </c>
      <c r="R159">
        <v>279</v>
      </c>
      <c r="S159">
        <v>295</v>
      </c>
      <c r="T159">
        <v>259</v>
      </c>
      <c r="U159">
        <v>9.9</v>
      </c>
      <c r="V159" t="s">
        <v>30</v>
      </c>
      <c r="W159" t="s">
        <v>146</v>
      </c>
      <c r="X159" t="s">
        <v>32</v>
      </c>
      <c r="Y159" t="s">
        <v>33</v>
      </c>
    </row>
    <row r="160" spans="1:25" x14ac:dyDescent="0.25">
      <c r="A160">
        <v>2025</v>
      </c>
      <c r="B160" t="s">
        <v>143</v>
      </c>
      <c r="C160" t="s">
        <v>144</v>
      </c>
      <c r="D160" t="s">
        <v>149</v>
      </c>
      <c r="E160" t="s">
        <v>28</v>
      </c>
      <c r="F160" t="s">
        <v>95</v>
      </c>
      <c r="G160">
        <v>32</v>
      </c>
      <c r="H160">
        <v>37</v>
      </c>
      <c r="I160">
        <v>35</v>
      </c>
      <c r="J160">
        <v>900</v>
      </c>
      <c r="K160">
        <v>9</v>
      </c>
      <c r="L160">
        <v>10</v>
      </c>
      <c r="M160">
        <v>5000</v>
      </c>
      <c r="N160" t="s">
        <v>30</v>
      </c>
      <c r="O160">
        <v>0</v>
      </c>
      <c r="P160">
        <v>0</v>
      </c>
      <c r="Q160">
        <v>0</v>
      </c>
      <c r="R160">
        <v>279</v>
      </c>
      <c r="S160">
        <v>295</v>
      </c>
      <c r="T160">
        <v>259</v>
      </c>
      <c r="U160">
        <v>9.9</v>
      </c>
      <c r="V160" t="s">
        <v>30</v>
      </c>
      <c r="W160" t="s">
        <v>146</v>
      </c>
      <c r="X160" t="s">
        <v>32</v>
      </c>
      <c r="Y160" t="s">
        <v>33</v>
      </c>
    </row>
    <row r="161" spans="1:25" x14ac:dyDescent="0.25">
      <c r="A161">
        <v>2025</v>
      </c>
      <c r="B161" t="s">
        <v>143</v>
      </c>
      <c r="C161" t="s">
        <v>144</v>
      </c>
      <c r="D161" t="s">
        <v>150</v>
      </c>
      <c r="E161" t="s">
        <v>28</v>
      </c>
      <c r="F161" t="s">
        <v>95</v>
      </c>
      <c r="G161">
        <v>94</v>
      </c>
      <c r="H161">
        <v>82</v>
      </c>
      <c r="I161">
        <v>88</v>
      </c>
      <c r="J161">
        <v>900</v>
      </c>
      <c r="K161">
        <v>9</v>
      </c>
      <c r="L161">
        <v>10</v>
      </c>
      <c r="M161">
        <v>5000</v>
      </c>
      <c r="N161" t="s">
        <v>30</v>
      </c>
      <c r="O161">
        <v>0</v>
      </c>
      <c r="P161">
        <v>0</v>
      </c>
      <c r="Q161">
        <v>0</v>
      </c>
      <c r="R161">
        <v>279</v>
      </c>
      <c r="S161">
        <v>295</v>
      </c>
      <c r="T161">
        <v>259</v>
      </c>
      <c r="U161">
        <v>9.9</v>
      </c>
      <c r="V161" t="s">
        <v>30</v>
      </c>
      <c r="W161" t="s">
        <v>146</v>
      </c>
      <c r="X161" t="s">
        <v>32</v>
      </c>
      <c r="Y161" t="s">
        <v>33</v>
      </c>
    </row>
    <row r="162" spans="1:25" x14ac:dyDescent="0.25">
      <c r="A162">
        <v>2025</v>
      </c>
      <c r="B162" t="s">
        <v>143</v>
      </c>
      <c r="C162" t="s">
        <v>144</v>
      </c>
      <c r="D162" t="s">
        <v>150</v>
      </c>
      <c r="E162" t="s">
        <v>28</v>
      </c>
      <c r="F162" t="s">
        <v>95</v>
      </c>
      <c r="G162">
        <v>32</v>
      </c>
      <c r="H162">
        <v>37</v>
      </c>
      <c r="I162">
        <v>35</v>
      </c>
      <c r="J162">
        <v>900</v>
      </c>
      <c r="K162">
        <v>9</v>
      </c>
      <c r="L162">
        <v>10</v>
      </c>
      <c r="M162">
        <v>5000</v>
      </c>
      <c r="N162" t="s">
        <v>30</v>
      </c>
      <c r="O162">
        <v>0</v>
      </c>
      <c r="P162">
        <v>0</v>
      </c>
      <c r="Q162">
        <v>0</v>
      </c>
      <c r="R162">
        <v>279</v>
      </c>
      <c r="S162">
        <v>295</v>
      </c>
      <c r="T162">
        <v>259</v>
      </c>
      <c r="U162">
        <v>9.9</v>
      </c>
      <c r="V162" t="s">
        <v>30</v>
      </c>
      <c r="W162" t="s">
        <v>146</v>
      </c>
      <c r="X162" t="s">
        <v>32</v>
      </c>
      <c r="Y162" t="s">
        <v>33</v>
      </c>
    </row>
    <row r="163" spans="1:25" x14ac:dyDescent="0.25">
      <c r="A163">
        <v>2025</v>
      </c>
      <c r="B163" t="s">
        <v>143</v>
      </c>
      <c r="C163" t="s">
        <v>144</v>
      </c>
      <c r="D163" t="s">
        <v>151</v>
      </c>
      <c r="E163" t="s">
        <v>28</v>
      </c>
      <c r="F163" t="s">
        <v>95</v>
      </c>
      <c r="G163">
        <v>74</v>
      </c>
      <c r="H163">
        <v>66</v>
      </c>
      <c r="I163">
        <v>70</v>
      </c>
      <c r="J163">
        <v>1150</v>
      </c>
      <c r="K163">
        <v>9</v>
      </c>
      <c r="L163">
        <v>10</v>
      </c>
      <c r="M163">
        <v>3750</v>
      </c>
      <c r="N163" t="s">
        <v>30</v>
      </c>
      <c r="O163">
        <v>0</v>
      </c>
      <c r="P163">
        <v>0</v>
      </c>
      <c r="Q163">
        <v>0</v>
      </c>
      <c r="R163">
        <v>216</v>
      </c>
      <c r="S163">
        <v>228</v>
      </c>
      <c r="T163">
        <v>201</v>
      </c>
      <c r="U163">
        <v>9.9</v>
      </c>
      <c r="V163" t="s">
        <v>30</v>
      </c>
      <c r="W163" t="s">
        <v>146</v>
      </c>
      <c r="X163" t="s">
        <v>32</v>
      </c>
      <c r="Y163" t="s">
        <v>33</v>
      </c>
    </row>
    <row r="164" spans="1:25" x14ac:dyDescent="0.25">
      <c r="A164">
        <v>2025</v>
      </c>
      <c r="B164" t="s">
        <v>143</v>
      </c>
      <c r="C164" t="s">
        <v>144</v>
      </c>
      <c r="D164" t="s">
        <v>151</v>
      </c>
      <c r="E164" t="s">
        <v>28</v>
      </c>
      <c r="F164" t="s">
        <v>95</v>
      </c>
      <c r="G164">
        <v>41</v>
      </c>
      <c r="H164">
        <v>46</v>
      </c>
      <c r="I164">
        <v>43</v>
      </c>
      <c r="J164">
        <v>1150</v>
      </c>
      <c r="K164">
        <v>9</v>
      </c>
      <c r="L164">
        <v>10</v>
      </c>
      <c r="M164">
        <v>3750</v>
      </c>
      <c r="N164" t="s">
        <v>30</v>
      </c>
      <c r="O164">
        <v>0</v>
      </c>
      <c r="P164">
        <v>0</v>
      </c>
      <c r="Q164">
        <v>0</v>
      </c>
      <c r="R164">
        <v>216</v>
      </c>
      <c r="S164">
        <v>228</v>
      </c>
      <c r="T164">
        <v>201</v>
      </c>
      <c r="U164">
        <v>9.9</v>
      </c>
      <c r="V164" t="s">
        <v>30</v>
      </c>
      <c r="W164" t="s">
        <v>146</v>
      </c>
      <c r="X164" t="s">
        <v>32</v>
      </c>
      <c r="Y164" t="s">
        <v>33</v>
      </c>
    </row>
    <row r="165" spans="1:25" x14ac:dyDescent="0.25">
      <c r="A165">
        <v>2025</v>
      </c>
      <c r="B165" t="s">
        <v>143</v>
      </c>
      <c r="C165" t="s">
        <v>144</v>
      </c>
      <c r="D165" t="s">
        <v>152</v>
      </c>
      <c r="E165" t="s">
        <v>28</v>
      </c>
      <c r="F165" t="s">
        <v>95</v>
      </c>
      <c r="G165">
        <v>82</v>
      </c>
      <c r="H165">
        <v>73</v>
      </c>
      <c r="I165">
        <v>78</v>
      </c>
      <c r="J165">
        <v>1050</v>
      </c>
      <c r="K165">
        <v>9</v>
      </c>
      <c r="L165">
        <v>10</v>
      </c>
      <c r="M165">
        <v>4250</v>
      </c>
      <c r="N165" t="s">
        <v>30</v>
      </c>
      <c r="O165">
        <v>0</v>
      </c>
      <c r="P165">
        <v>0</v>
      </c>
      <c r="Q165">
        <v>0</v>
      </c>
      <c r="R165">
        <v>241</v>
      </c>
      <c r="S165">
        <v>254</v>
      </c>
      <c r="T165">
        <v>225</v>
      </c>
      <c r="U165">
        <v>9.9</v>
      </c>
      <c r="V165" t="s">
        <v>30</v>
      </c>
      <c r="W165" t="s">
        <v>146</v>
      </c>
      <c r="X165" t="s">
        <v>32</v>
      </c>
      <c r="Y165" t="s">
        <v>33</v>
      </c>
    </row>
    <row r="166" spans="1:25" x14ac:dyDescent="0.25">
      <c r="A166">
        <v>2025</v>
      </c>
      <c r="B166" t="s">
        <v>143</v>
      </c>
      <c r="C166" t="s">
        <v>144</v>
      </c>
      <c r="D166" t="s">
        <v>152</v>
      </c>
      <c r="E166" t="s">
        <v>28</v>
      </c>
      <c r="F166" t="s">
        <v>95</v>
      </c>
      <c r="G166">
        <v>41</v>
      </c>
      <c r="H166">
        <v>46</v>
      </c>
      <c r="I166">
        <v>43</v>
      </c>
      <c r="J166">
        <v>1050</v>
      </c>
      <c r="K166">
        <v>9</v>
      </c>
      <c r="L166">
        <v>10</v>
      </c>
      <c r="M166">
        <v>4250</v>
      </c>
      <c r="N166" t="s">
        <v>30</v>
      </c>
      <c r="O166">
        <v>0</v>
      </c>
      <c r="P166">
        <v>0</v>
      </c>
      <c r="Q166">
        <v>0</v>
      </c>
      <c r="R166">
        <v>241</v>
      </c>
      <c r="S166">
        <v>254</v>
      </c>
      <c r="T166">
        <v>225</v>
      </c>
      <c r="U166">
        <v>9.9</v>
      </c>
      <c r="V166" t="s">
        <v>30</v>
      </c>
      <c r="W166" t="s">
        <v>146</v>
      </c>
      <c r="X166" t="s">
        <v>32</v>
      </c>
      <c r="Y166" t="s">
        <v>33</v>
      </c>
    </row>
    <row r="167" spans="1:25" x14ac:dyDescent="0.25">
      <c r="A167">
        <v>2025</v>
      </c>
      <c r="B167" t="s">
        <v>143</v>
      </c>
      <c r="C167" t="s">
        <v>153</v>
      </c>
      <c r="D167" t="s">
        <v>154</v>
      </c>
      <c r="E167" t="s">
        <v>128</v>
      </c>
      <c r="F167" t="s">
        <v>155</v>
      </c>
      <c r="G167">
        <v>127</v>
      </c>
      <c r="H167">
        <v>104</v>
      </c>
      <c r="I167">
        <v>116</v>
      </c>
      <c r="J167">
        <v>700</v>
      </c>
      <c r="K167">
        <v>9</v>
      </c>
      <c r="L167">
        <v>10</v>
      </c>
      <c r="M167">
        <v>6000</v>
      </c>
      <c r="N167" t="s">
        <v>30</v>
      </c>
      <c r="O167">
        <v>0</v>
      </c>
      <c r="P167">
        <v>0</v>
      </c>
      <c r="Q167">
        <v>0</v>
      </c>
      <c r="R167">
        <v>149</v>
      </c>
      <c r="S167">
        <v>162</v>
      </c>
      <c r="T167">
        <v>133</v>
      </c>
      <c r="U167">
        <v>6.2</v>
      </c>
      <c r="V167" t="s">
        <v>30</v>
      </c>
      <c r="W167" t="s">
        <v>156</v>
      </c>
      <c r="X167" t="s">
        <v>32</v>
      </c>
      <c r="Y167" t="s">
        <v>33</v>
      </c>
    </row>
    <row r="168" spans="1:25" x14ac:dyDescent="0.25">
      <c r="A168">
        <v>2025</v>
      </c>
      <c r="B168" t="s">
        <v>143</v>
      </c>
      <c r="C168" t="s">
        <v>153</v>
      </c>
      <c r="D168" t="s">
        <v>154</v>
      </c>
      <c r="E168" t="s">
        <v>128</v>
      </c>
      <c r="F168" t="s">
        <v>155</v>
      </c>
      <c r="G168">
        <v>27</v>
      </c>
      <c r="H168">
        <v>32</v>
      </c>
      <c r="I168">
        <v>29</v>
      </c>
      <c r="J168">
        <v>700</v>
      </c>
      <c r="K168">
        <v>9</v>
      </c>
      <c r="L168">
        <v>10</v>
      </c>
      <c r="M168">
        <v>6000</v>
      </c>
      <c r="N168" t="s">
        <v>30</v>
      </c>
      <c r="O168">
        <v>0</v>
      </c>
      <c r="P168">
        <v>0</v>
      </c>
      <c r="Q168">
        <v>0</v>
      </c>
      <c r="R168">
        <v>149</v>
      </c>
      <c r="S168">
        <v>162</v>
      </c>
      <c r="T168">
        <v>133</v>
      </c>
      <c r="U168">
        <v>6.2</v>
      </c>
      <c r="V168" t="s">
        <v>30</v>
      </c>
      <c r="W168" t="s">
        <v>156</v>
      </c>
      <c r="X168" t="s">
        <v>32</v>
      </c>
      <c r="Y168" t="s">
        <v>33</v>
      </c>
    </row>
    <row r="169" spans="1:25" x14ac:dyDescent="0.25">
      <c r="A169">
        <v>2025</v>
      </c>
      <c r="B169" t="s">
        <v>143</v>
      </c>
      <c r="C169" t="s">
        <v>153</v>
      </c>
      <c r="D169" t="s">
        <v>157</v>
      </c>
      <c r="E169" t="s">
        <v>128</v>
      </c>
      <c r="F169" t="s">
        <v>155</v>
      </c>
      <c r="G169">
        <v>121</v>
      </c>
      <c r="H169">
        <v>100</v>
      </c>
      <c r="I169">
        <v>110</v>
      </c>
      <c r="J169">
        <v>750</v>
      </c>
      <c r="K169">
        <v>9</v>
      </c>
      <c r="L169">
        <v>10</v>
      </c>
      <c r="M169">
        <v>5750</v>
      </c>
      <c r="N169" t="s">
        <v>30</v>
      </c>
      <c r="O169">
        <v>0</v>
      </c>
      <c r="P169">
        <v>0</v>
      </c>
      <c r="Q169">
        <v>0</v>
      </c>
      <c r="R169">
        <v>141</v>
      </c>
      <c r="S169">
        <v>153</v>
      </c>
      <c r="T169">
        <v>127</v>
      </c>
      <c r="U169">
        <v>6.2</v>
      </c>
      <c r="V169" t="s">
        <v>30</v>
      </c>
      <c r="W169" t="s">
        <v>156</v>
      </c>
      <c r="X169" t="s">
        <v>32</v>
      </c>
      <c r="Y169" t="s">
        <v>33</v>
      </c>
    </row>
    <row r="170" spans="1:25" x14ac:dyDescent="0.25">
      <c r="A170">
        <v>2025</v>
      </c>
      <c r="B170" t="s">
        <v>143</v>
      </c>
      <c r="C170" t="s">
        <v>153</v>
      </c>
      <c r="D170" t="s">
        <v>157</v>
      </c>
      <c r="E170" t="s">
        <v>128</v>
      </c>
      <c r="F170" t="s">
        <v>155</v>
      </c>
      <c r="G170">
        <v>28</v>
      </c>
      <c r="H170">
        <v>34</v>
      </c>
      <c r="I170">
        <v>31</v>
      </c>
      <c r="J170">
        <v>750</v>
      </c>
      <c r="K170">
        <v>9</v>
      </c>
      <c r="L170">
        <v>10</v>
      </c>
      <c r="M170">
        <v>5750</v>
      </c>
      <c r="N170" t="s">
        <v>30</v>
      </c>
      <c r="O170">
        <v>0</v>
      </c>
      <c r="P170">
        <v>0</v>
      </c>
      <c r="Q170">
        <v>0</v>
      </c>
      <c r="R170">
        <v>141</v>
      </c>
      <c r="S170">
        <v>153</v>
      </c>
      <c r="T170">
        <v>127</v>
      </c>
      <c r="U170">
        <v>6.2</v>
      </c>
      <c r="V170" t="s">
        <v>30</v>
      </c>
      <c r="W170" t="s">
        <v>156</v>
      </c>
      <c r="X170" t="s">
        <v>32</v>
      </c>
      <c r="Y170" t="s">
        <v>33</v>
      </c>
    </row>
    <row r="171" spans="1:25" x14ac:dyDescent="0.25">
      <c r="A171">
        <v>2025</v>
      </c>
      <c r="B171" t="s">
        <v>158</v>
      </c>
      <c r="C171" t="s">
        <v>159</v>
      </c>
      <c r="D171" t="s">
        <v>160</v>
      </c>
      <c r="E171" t="s">
        <v>28</v>
      </c>
      <c r="F171" t="s">
        <v>135</v>
      </c>
      <c r="G171">
        <v>78</v>
      </c>
      <c r="H171">
        <v>63</v>
      </c>
      <c r="I171">
        <v>70</v>
      </c>
      <c r="J171">
        <v>1150</v>
      </c>
      <c r="K171">
        <v>9</v>
      </c>
      <c r="L171">
        <v>9</v>
      </c>
      <c r="M171">
        <v>3750</v>
      </c>
      <c r="N171" t="s">
        <v>30</v>
      </c>
      <c r="O171">
        <v>0</v>
      </c>
      <c r="P171">
        <v>0</v>
      </c>
      <c r="Q171">
        <v>0</v>
      </c>
      <c r="R171">
        <v>320</v>
      </c>
      <c r="S171">
        <v>350</v>
      </c>
      <c r="T171">
        <v>283</v>
      </c>
      <c r="U171">
        <v>14.6</v>
      </c>
      <c r="V171" t="s">
        <v>30</v>
      </c>
      <c r="W171" t="s">
        <v>161</v>
      </c>
      <c r="X171" t="s">
        <v>32</v>
      </c>
      <c r="Y171" t="s">
        <v>33</v>
      </c>
    </row>
    <row r="172" spans="1:25" x14ac:dyDescent="0.25">
      <c r="A172">
        <v>2025</v>
      </c>
      <c r="B172" t="s">
        <v>158</v>
      </c>
      <c r="C172" t="s">
        <v>159</v>
      </c>
      <c r="D172" t="s">
        <v>160</v>
      </c>
      <c r="E172" t="s">
        <v>28</v>
      </c>
      <c r="F172" t="s">
        <v>135</v>
      </c>
      <c r="G172">
        <v>43</v>
      </c>
      <c r="H172">
        <v>54</v>
      </c>
      <c r="I172">
        <v>48</v>
      </c>
      <c r="J172">
        <v>1150</v>
      </c>
      <c r="K172">
        <v>9</v>
      </c>
      <c r="L172">
        <v>9</v>
      </c>
      <c r="M172">
        <v>3750</v>
      </c>
      <c r="N172" t="s">
        <v>30</v>
      </c>
      <c r="O172">
        <v>0</v>
      </c>
      <c r="P172">
        <v>0</v>
      </c>
      <c r="Q172">
        <v>0</v>
      </c>
      <c r="R172">
        <v>320</v>
      </c>
      <c r="S172">
        <v>350</v>
      </c>
      <c r="T172">
        <v>283</v>
      </c>
      <c r="U172">
        <v>14.6</v>
      </c>
      <c r="V172" t="s">
        <v>30</v>
      </c>
      <c r="W172" t="s">
        <v>161</v>
      </c>
      <c r="X172" t="s">
        <v>32</v>
      </c>
      <c r="Y172" t="s">
        <v>33</v>
      </c>
    </row>
    <row r="173" spans="1:25" x14ac:dyDescent="0.25">
      <c r="A173">
        <v>2025</v>
      </c>
      <c r="B173" t="s">
        <v>158</v>
      </c>
      <c r="C173" t="s">
        <v>159</v>
      </c>
      <c r="D173" t="s">
        <v>162</v>
      </c>
      <c r="E173" t="s">
        <v>28</v>
      </c>
      <c r="F173" t="s">
        <v>135</v>
      </c>
      <c r="G173">
        <v>78</v>
      </c>
      <c r="H173">
        <v>63</v>
      </c>
      <c r="I173">
        <v>70</v>
      </c>
      <c r="J173">
        <v>1150</v>
      </c>
      <c r="K173">
        <v>9</v>
      </c>
      <c r="L173">
        <v>9</v>
      </c>
      <c r="M173">
        <v>3750</v>
      </c>
      <c r="N173" t="s">
        <v>30</v>
      </c>
      <c r="O173">
        <v>0</v>
      </c>
      <c r="P173">
        <v>0</v>
      </c>
      <c r="Q173">
        <v>0</v>
      </c>
      <c r="R173">
        <v>320</v>
      </c>
      <c r="S173">
        <v>350</v>
      </c>
      <c r="T173">
        <v>283</v>
      </c>
      <c r="U173">
        <v>10.1</v>
      </c>
      <c r="V173" t="s">
        <v>30</v>
      </c>
      <c r="W173" t="s">
        <v>161</v>
      </c>
      <c r="X173" t="s">
        <v>32</v>
      </c>
      <c r="Y173" t="s">
        <v>33</v>
      </c>
    </row>
    <row r="174" spans="1:25" x14ac:dyDescent="0.25">
      <c r="A174">
        <v>2025</v>
      </c>
      <c r="B174" t="s">
        <v>158</v>
      </c>
      <c r="C174" t="s">
        <v>159</v>
      </c>
      <c r="D174" t="s">
        <v>162</v>
      </c>
      <c r="E174" t="s">
        <v>28</v>
      </c>
      <c r="F174" t="s">
        <v>135</v>
      </c>
      <c r="G174">
        <v>43</v>
      </c>
      <c r="H174">
        <v>54</v>
      </c>
      <c r="I174">
        <v>48</v>
      </c>
      <c r="J174">
        <v>1150</v>
      </c>
      <c r="K174">
        <v>9</v>
      </c>
      <c r="L174">
        <v>9</v>
      </c>
      <c r="M174">
        <v>3750</v>
      </c>
      <c r="N174" t="s">
        <v>30</v>
      </c>
      <c r="O174">
        <v>0</v>
      </c>
      <c r="P174">
        <v>0</v>
      </c>
      <c r="Q174">
        <v>0</v>
      </c>
      <c r="R174">
        <v>320</v>
      </c>
      <c r="S174">
        <v>350</v>
      </c>
      <c r="T174">
        <v>283</v>
      </c>
      <c r="U174">
        <v>10.1</v>
      </c>
      <c r="V174" t="s">
        <v>30</v>
      </c>
      <c r="W174" t="s">
        <v>161</v>
      </c>
      <c r="X174" t="s">
        <v>32</v>
      </c>
      <c r="Y174" t="s">
        <v>33</v>
      </c>
    </row>
    <row r="175" spans="1:25" x14ac:dyDescent="0.25">
      <c r="A175">
        <v>2025</v>
      </c>
      <c r="B175" t="s">
        <v>158</v>
      </c>
      <c r="C175" t="s">
        <v>159</v>
      </c>
      <c r="D175" t="s">
        <v>163</v>
      </c>
      <c r="E175" t="s">
        <v>28</v>
      </c>
      <c r="F175" t="s">
        <v>135</v>
      </c>
      <c r="G175">
        <v>73</v>
      </c>
      <c r="H175">
        <v>60</v>
      </c>
      <c r="I175">
        <v>66</v>
      </c>
      <c r="J175">
        <v>1200</v>
      </c>
      <c r="K175">
        <v>9</v>
      </c>
      <c r="L175">
        <v>9</v>
      </c>
      <c r="M175">
        <v>3500</v>
      </c>
      <c r="N175" t="s">
        <v>30</v>
      </c>
      <c r="O175">
        <v>0</v>
      </c>
      <c r="P175">
        <v>0</v>
      </c>
      <c r="Q175">
        <v>0</v>
      </c>
      <c r="R175">
        <v>300</v>
      </c>
      <c r="S175">
        <v>326</v>
      </c>
      <c r="T175">
        <v>268</v>
      </c>
      <c r="U175">
        <v>14.6</v>
      </c>
      <c r="V175" t="s">
        <v>30</v>
      </c>
      <c r="W175" t="s">
        <v>161</v>
      </c>
      <c r="X175" t="s">
        <v>32</v>
      </c>
      <c r="Y175" t="s">
        <v>33</v>
      </c>
    </row>
    <row r="176" spans="1:25" x14ac:dyDescent="0.25">
      <c r="A176">
        <v>2025</v>
      </c>
      <c r="B176" t="s">
        <v>158</v>
      </c>
      <c r="C176" t="s">
        <v>159</v>
      </c>
      <c r="D176" t="s">
        <v>163</v>
      </c>
      <c r="E176" t="s">
        <v>28</v>
      </c>
      <c r="F176" t="s">
        <v>135</v>
      </c>
      <c r="G176">
        <v>46</v>
      </c>
      <c r="H176">
        <v>56</v>
      </c>
      <c r="I176">
        <v>51</v>
      </c>
      <c r="J176">
        <v>1200</v>
      </c>
      <c r="K176">
        <v>9</v>
      </c>
      <c r="L176">
        <v>9</v>
      </c>
      <c r="M176">
        <v>3500</v>
      </c>
      <c r="N176" t="s">
        <v>30</v>
      </c>
      <c r="O176">
        <v>0</v>
      </c>
      <c r="P176">
        <v>0</v>
      </c>
      <c r="Q176">
        <v>0</v>
      </c>
      <c r="R176">
        <v>300</v>
      </c>
      <c r="S176">
        <v>326</v>
      </c>
      <c r="T176">
        <v>268</v>
      </c>
      <c r="U176">
        <v>14.6</v>
      </c>
      <c r="V176" t="s">
        <v>30</v>
      </c>
      <c r="W176" t="s">
        <v>161</v>
      </c>
      <c r="X176" t="s">
        <v>32</v>
      </c>
      <c r="Y176" t="s">
        <v>33</v>
      </c>
    </row>
    <row r="177" spans="1:25" x14ac:dyDescent="0.25">
      <c r="A177">
        <v>2025</v>
      </c>
      <c r="B177" t="s">
        <v>158</v>
      </c>
      <c r="C177" t="s">
        <v>159</v>
      </c>
      <c r="D177" t="s">
        <v>164</v>
      </c>
      <c r="E177" t="s">
        <v>28</v>
      </c>
      <c r="F177" t="s">
        <v>135</v>
      </c>
      <c r="G177">
        <v>76</v>
      </c>
      <c r="H177">
        <v>61</v>
      </c>
      <c r="I177">
        <v>68</v>
      </c>
      <c r="J177">
        <v>1200</v>
      </c>
      <c r="K177">
        <v>9</v>
      </c>
      <c r="L177">
        <v>9</v>
      </c>
      <c r="M177">
        <v>3500</v>
      </c>
      <c r="N177" t="s">
        <v>30</v>
      </c>
      <c r="O177">
        <v>0</v>
      </c>
      <c r="P177">
        <v>0</v>
      </c>
      <c r="Q177">
        <v>0</v>
      </c>
      <c r="R177">
        <v>240</v>
      </c>
      <c r="S177">
        <v>264</v>
      </c>
      <c r="T177">
        <v>210</v>
      </c>
      <c r="U177">
        <v>11.9</v>
      </c>
      <c r="V177" t="s">
        <v>30</v>
      </c>
      <c r="W177" t="s">
        <v>165</v>
      </c>
      <c r="X177" t="s">
        <v>32</v>
      </c>
      <c r="Y177" t="s">
        <v>33</v>
      </c>
    </row>
    <row r="178" spans="1:25" x14ac:dyDescent="0.25">
      <c r="A178">
        <v>2025</v>
      </c>
      <c r="B178" t="s">
        <v>158</v>
      </c>
      <c r="C178" t="s">
        <v>159</v>
      </c>
      <c r="D178" t="s">
        <v>164</v>
      </c>
      <c r="E178" t="s">
        <v>28</v>
      </c>
      <c r="F178" t="s">
        <v>135</v>
      </c>
      <c r="G178">
        <v>44</v>
      </c>
      <c r="H178">
        <v>56</v>
      </c>
      <c r="I178">
        <v>49</v>
      </c>
      <c r="J178">
        <v>1200</v>
      </c>
      <c r="K178">
        <v>9</v>
      </c>
      <c r="L178">
        <v>9</v>
      </c>
      <c r="M178">
        <v>3500</v>
      </c>
      <c r="N178" t="s">
        <v>30</v>
      </c>
      <c r="O178">
        <v>0</v>
      </c>
      <c r="P178">
        <v>0</v>
      </c>
      <c r="Q178">
        <v>0</v>
      </c>
      <c r="R178">
        <v>240</v>
      </c>
      <c r="S178">
        <v>264</v>
      </c>
      <c r="T178">
        <v>210</v>
      </c>
      <c r="U178">
        <v>11.9</v>
      </c>
      <c r="V178" t="s">
        <v>30</v>
      </c>
      <c r="W178" t="s">
        <v>165</v>
      </c>
      <c r="X178" t="s">
        <v>32</v>
      </c>
      <c r="Y178" t="s">
        <v>33</v>
      </c>
    </row>
    <row r="179" spans="1:25" x14ac:dyDescent="0.25">
      <c r="A179">
        <v>2025</v>
      </c>
      <c r="B179" t="s">
        <v>158</v>
      </c>
      <c r="C179" t="s">
        <v>159</v>
      </c>
      <c r="D179" t="s">
        <v>166</v>
      </c>
      <c r="E179" t="s">
        <v>28</v>
      </c>
      <c r="F179" t="s">
        <v>118</v>
      </c>
      <c r="G179">
        <v>95</v>
      </c>
      <c r="H179">
        <v>85</v>
      </c>
      <c r="I179">
        <v>90</v>
      </c>
      <c r="J179">
        <v>900</v>
      </c>
      <c r="K179">
        <v>9</v>
      </c>
      <c r="L179">
        <v>10</v>
      </c>
      <c r="M179">
        <v>5000</v>
      </c>
      <c r="N179" t="s">
        <v>30</v>
      </c>
      <c r="O179">
        <v>0</v>
      </c>
      <c r="P179">
        <v>0</v>
      </c>
      <c r="Q179">
        <v>0</v>
      </c>
      <c r="R179">
        <v>280</v>
      </c>
      <c r="S179">
        <v>294</v>
      </c>
      <c r="T179">
        <v>263</v>
      </c>
      <c r="U179">
        <v>9.9</v>
      </c>
      <c r="V179" t="s">
        <v>30</v>
      </c>
      <c r="W179" t="s">
        <v>48</v>
      </c>
      <c r="X179" t="s">
        <v>32</v>
      </c>
      <c r="Y179" t="s">
        <v>33</v>
      </c>
    </row>
    <row r="180" spans="1:25" x14ac:dyDescent="0.25">
      <c r="A180">
        <v>2025</v>
      </c>
      <c r="B180" t="s">
        <v>158</v>
      </c>
      <c r="C180" t="s">
        <v>159</v>
      </c>
      <c r="D180" t="s">
        <v>166</v>
      </c>
      <c r="E180" t="s">
        <v>28</v>
      </c>
      <c r="F180" t="s">
        <v>118</v>
      </c>
      <c r="G180">
        <v>35</v>
      </c>
      <c r="H180">
        <v>40</v>
      </c>
      <c r="I180">
        <v>37</v>
      </c>
      <c r="J180">
        <v>900</v>
      </c>
      <c r="K180">
        <v>9</v>
      </c>
      <c r="L180">
        <v>10</v>
      </c>
      <c r="M180">
        <v>5000</v>
      </c>
      <c r="N180" t="s">
        <v>30</v>
      </c>
      <c r="O180">
        <v>0</v>
      </c>
      <c r="P180">
        <v>0</v>
      </c>
      <c r="Q180">
        <v>0</v>
      </c>
      <c r="R180">
        <v>280</v>
      </c>
      <c r="S180">
        <v>294</v>
      </c>
      <c r="T180">
        <v>263</v>
      </c>
      <c r="U180">
        <v>9.9</v>
      </c>
      <c r="V180" t="s">
        <v>30</v>
      </c>
      <c r="W180" t="s">
        <v>48</v>
      </c>
      <c r="X180" t="s">
        <v>32</v>
      </c>
      <c r="Y180" t="s">
        <v>33</v>
      </c>
    </row>
    <row r="181" spans="1:25" x14ac:dyDescent="0.25">
      <c r="A181">
        <v>2025</v>
      </c>
      <c r="B181" t="s">
        <v>158</v>
      </c>
      <c r="C181" t="s">
        <v>159</v>
      </c>
      <c r="D181" t="s">
        <v>167</v>
      </c>
      <c r="E181" t="s">
        <v>28</v>
      </c>
      <c r="F181" t="s">
        <v>118</v>
      </c>
      <c r="G181">
        <v>110</v>
      </c>
      <c r="H181">
        <v>98</v>
      </c>
      <c r="I181">
        <v>104</v>
      </c>
      <c r="J181">
        <v>750</v>
      </c>
      <c r="K181">
        <v>9</v>
      </c>
      <c r="L181">
        <v>10</v>
      </c>
      <c r="M181">
        <v>5750</v>
      </c>
      <c r="N181" t="s">
        <v>30</v>
      </c>
      <c r="O181">
        <v>0</v>
      </c>
      <c r="P181">
        <v>0</v>
      </c>
      <c r="Q181">
        <v>0</v>
      </c>
      <c r="R181">
        <v>300</v>
      </c>
      <c r="S181">
        <v>315</v>
      </c>
      <c r="T181">
        <v>281</v>
      </c>
      <c r="U181">
        <v>10.199999999999999</v>
      </c>
      <c r="V181" t="s">
        <v>30</v>
      </c>
      <c r="W181" t="s">
        <v>168</v>
      </c>
      <c r="X181" t="s">
        <v>32</v>
      </c>
      <c r="Y181" t="s">
        <v>33</v>
      </c>
    </row>
    <row r="182" spans="1:25" x14ac:dyDescent="0.25">
      <c r="A182">
        <v>2025</v>
      </c>
      <c r="B182" t="s">
        <v>158</v>
      </c>
      <c r="C182" t="s">
        <v>159</v>
      </c>
      <c r="D182" t="s">
        <v>167</v>
      </c>
      <c r="E182" t="s">
        <v>28</v>
      </c>
      <c r="F182" t="s">
        <v>118</v>
      </c>
      <c r="G182">
        <v>31</v>
      </c>
      <c r="H182">
        <v>34</v>
      </c>
      <c r="I182">
        <v>32</v>
      </c>
      <c r="J182">
        <v>750</v>
      </c>
      <c r="K182">
        <v>9</v>
      </c>
      <c r="L182">
        <v>10</v>
      </c>
      <c r="M182">
        <v>5750</v>
      </c>
      <c r="N182" t="s">
        <v>30</v>
      </c>
      <c r="O182">
        <v>0</v>
      </c>
      <c r="P182">
        <v>0</v>
      </c>
      <c r="Q182">
        <v>0</v>
      </c>
      <c r="R182">
        <v>300</v>
      </c>
      <c r="S182">
        <v>315</v>
      </c>
      <c r="T182">
        <v>281</v>
      </c>
      <c r="U182">
        <v>10.199999999999999</v>
      </c>
      <c r="V182" t="s">
        <v>30</v>
      </c>
      <c r="W182" t="s">
        <v>168</v>
      </c>
      <c r="X182" t="s">
        <v>32</v>
      </c>
      <c r="Y182" t="s">
        <v>33</v>
      </c>
    </row>
    <row r="183" spans="1:25" x14ac:dyDescent="0.25">
      <c r="A183">
        <v>2025</v>
      </c>
      <c r="B183" t="s">
        <v>158</v>
      </c>
      <c r="C183" t="s">
        <v>159</v>
      </c>
      <c r="D183" t="s">
        <v>169</v>
      </c>
      <c r="E183" t="s">
        <v>28</v>
      </c>
      <c r="F183" t="s">
        <v>118</v>
      </c>
      <c r="G183">
        <v>104</v>
      </c>
      <c r="H183">
        <v>96</v>
      </c>
      <c r="I183">
        <v>100</v>
      </c>
      <c r="J183">
        <v>800</v>
      </c>
      <c r="K183">
        <v>9</v>
      </c>
      <c r="L183">
        <v>10</v>
      </c>
      <c r="M183">
        <v>5500</v>
      </c>
      <c r="N183" t="s">
        <v>30</v>
      </c>
      <c r="O183">
        <v>0</v>
      </c>
      <c r="P183">
        <v>0</v>
      </c>
      <c r="Q183">
        <v>0</v>
      </c>
      <c r="R183">
        <v>240</v>
      </c>
      <c r="S183">
        <v>249</v>
      </c>
      <c r="T183">
        <v>228</v>
      </c>
      <c r="U183">
        <v>7.7</v>
      </c>
      <c r="V183" t="s">
        <v>30</v>
      </c>
      <c r="W183" t="s">
        <v>170</v>
      </c>
      <c r="X183" t="s">
        <v>32</v>
      </c>
      <c r="Y183" t="s">
        <v>33</v>
      </c>
    </row>
    <row r="184" spans="1:25" x14ac:dyDescent="0.25">
      <c r="A184">
        <v>2025</v>
      </c>
      <c r="B184" t="s">
        <v>158</v>
      </c>
      <c r="C184" t="s">
        <v>159</v>
      </c>
      <c r="D184" t="s">
        <v>169</v>
      </c>
      <c r="E184" t="s">
        <v>28</v>
      </c>
      <c r="F184" t="s">
        <v>118</v>
      </c>
      <c r="G184">
        <v>32</v>
      </c>
      <c r="H184">
        <v>35</v>
      </c>
      <c r="I184">
        <v>34</v>
      </c>
      <c r="J184">
        <v>800</v>
      </c>
      <c r="K184">
        <v>9</v>
      </c>
      <c r="L184">
        <v>10</v>
      </c>
      <c r="M184">
        <v>5500</v>
      </c>
      <c r="N184" t="s">
        <v>30</v>
      </c>
      <c r="O184">
        <v>0</v>
      </c>
      <c r="P184">
        <v>0</v>
      </c>
      <c r="Q184">
        <v>0</v>
      </c>
      <c r="R184">
        <v>240</v>
      </c>
      <c r="S184">
        <v>249</v>
      </c>
      <c r="T184">
        <v>228</v>
      </c>
      <c r="U184">
        <v>7.7</v>
      </c>
      <c r="V184" t="s">
        <v>30</v>
      </c>
      <c r="W184" t="s">
        <v>170</v>
      </c>
      <c r="X184" t="s">
        <v>32</v>
      </c>
      <c r="Y184" t="s">
        <v>33</v>
      </c>
    </row>
    <row r="185" spans="1:25" x14ac:dyDescent="0.25">
      <c r="A185">
        <v>2025</v>
      </c>
      <c r="B185" t="s">
        <v>158</v>
      </c>
      <c r="C185" t="s">
        <v>159</v>
      </c>
      <c r="D185" t="s">
        <v>171</v>
      </c>
      <c r="E185" t="s">
        <v>46</v>
      </c>
      <c r="F185" t="s">
        <v>115</v>
      </c>
      <c r="G185">
        <v>111</v>
      </c>
      <c r="H185">
        <v>103</v>
      </c>
      <c r="I185">
        <v>107</v>
      </c>
      <c r="J185">
        <v>750</v>
      </c>
      <c r="K185">
        <v>9</v>
      </c>
      <c r="L185">
        <v>10</v>
      </c>
      <c r="M185">
        <v>5750</v>
      </c>
      <c r="N185" t="s">
        <v>30</v>
      </c>
      <c r="O185">
        <v>0</v>
      </c>
      <c r="P185">
        <v>0</v>
      </c>
      <c r="Q185">
        <v>0</v>
      </c>
      <c r="R185">
        <v>260</v>
      </c>
      <c r="S185">
        <v>269</v>
      </c>
      <c r="T185">
        <v>249</v>
      </c>
      <c r="U185">
        <v>7.8</v>
      </c>
      <c r="V185" t="s">
        <v>30</v>
      </c>
      <c r="W185" t="s">
        <v>172</v>
      </c>
      <c r="X185" t="s">
        <v>32</v>
      </c>
      <c r="Y185" t="s">
        <v>33</v>
      </c>
    </row>
    <row r="186" spans="1:25" x14ac:dyDescent="0.25">
      <c r="A186">
        <v>2025</v>
      </c>
      <c r="B186" t="s">
        <v>158</v>
      </c>
      <c r="C186" t="s">
        <v>159</v>
      </c>
      <c r="D186" t="s">
        <v>171</v>
      </c>
      <c r="E186" t="s">
        <v>46</v>
      </c>
      <c r="F186" t="s">
        <v>115</v>
      </c>
      <c r="G186">
        <v>30</v>
      </c>
      <c r="H186">
        <v>33</v>
      </c>
      <c r="I186">
        <v>31</v>
      </c>
      <c r="J186">
        <v>750</v>
      </c>
      <c r="K186">
        <v>9</v>
      </c>
      <c r="L186">
        <v>10</v>
      </c>
      <c r="M186">
        <v>5750</v>
      </c>
      <c r="N186" t="s">
        <v>30</v>
      </c>
      <c r="O186">
        <v>0</v>
      </c>
      <c r="P186">
        <v>0</v>
      </c>
      <c r="Q186">
        <v>0</v>
      </c>
      <c r="R186">
        <v>260</v>
      </c>
      <c r="S186">
        <v>269</v>
      </c>
      <c r="T186">
        <v>249</v>
      </c>
      <c r="U186">
        <v>7.8</v>
      </c>
      <c r="V186" t="s">
        <v>30</v>
      </c>
      <c r="W186" t="s">
        <v>172</v>
      </c>
      <c r="X186" t="s">
        <v>32</v>
      </c>
      <c r="Y186" t="s">
        <v>33</v>
      </c>
    </row>
    <row r="187" spans="1:25" x14ac:dyDescent="0.25">
      <c r="A187">
        <v>2025</v>
      </c>
      <c r="B187" t="s">
        <v>158</v>
      </c>
      <c r="C187" t="s">
        <v>159</v>
      </c>
      <c r="D187" t="s">
        <v>173</v>
      </c>
      <c r="E187" t="s">
        <v>46</v>
      </c>
      <c r="F187" t="s">
        <v>115</v>
      </c>
      <c r="G187">
        <v>115</v>
      </c>
      <c r="H187">
        <v>104</v>
      </c>
      <c r="I187">
        <v>110</v>
      </c>
      <c r="J187">
        <v>750</v>
      </c>
      <c r="K187">
        <v>9</v>
      </c>
      <c r="L187">
        <v>10</v>
      </c>
      <c r="M187">
        <v>5750</v>
      </c>
      <c r="N187" t="s">
        <v>30</v>
      </c>
      <c r="O187">
        <v>0</v>
      </c>
      <c r="P187">
        <v>0</v>
      </c>
      <c r="Q187">
        <v>0</v>
      </c>
      <c r="R187">
        <v>320</v>
      </c>
      <c r="S187">
        <v>335</v>
      </c>
      <c r="T187">
        <v>302</v>
      </c>
      <c r="U187">
        <v>9.6</v>
      </c>
      <c r="V187" t="s">
        <v>30</v>
      </c>
      <c r="W187" t="s">
        <v>174</v>
      </c>
      <c r="X187" t="s">
        <v>32</v>
      </c>
      <c r="Y187" t="s">
        <v>33</v>
      </c>
    </row>
    <row r="188" spans="1:25" x14ac:dyDescent="0.25">
      <c r="A188">
        <v>2025</v>
      </c>
      <c r="B188" t="s">
        <v>158</v>
      </c>
      <c r="C188" t="s">
        <v>159</v>
      </c>
      <c r="D188" t="s">
        <v>173</v>
      </c>
      <c r="E188" t="s">
        <v>46</v>
      </c>
      <c r="F188" t="s">
        <v>115</v>
      </c>
      <c r="G188">
        <v>29</v>
      </c>
      <c r="H188">
        <v>32</v>
      </c>
      <c r="I188">
        <v>31</v>
      </c>
      <c r="J188">
        <v>750</v>
      </c>
      <c r="K188">
        <v>9</v>
      </c>
      <c r="L188">
        <v>10</v>
      </c>
      <c r="M188">
        <v>5750</v>
      </c>
      <c r="N188" t="s">
        <v>30</v>
      </c>
      <c r="O188">
        <v>0</v>
      </c>
      <c r="P188">
        <v>0</v>
      </c>
      <c r="Q188">
        <v>0</v>
      </c>
      <c r="R188">
        <v>320</v>
      </c>
      <c r="S188">
        <v>335</v>
      </c>
      <c r="T188">
        <v>302</v>
      </c>
      <c r="U188">
        <v>9.6</v>
      </c>
      <c r="V188" t="s">
        <v>30</v>
      </c>
      <c r="W188" t="s">
        <v>174</v>
      </c>
      <c r="X188" t="s">
        <v>32</v>
      </c>
      <c r="Y188" t="s">
        <v>33</v>
      </c>
    </row>
    <row r="189" spans="1:25" x14ac:dyDescent="0.25">
      <c r="A189">
        <v>2025</v>
      </c>
      <c r="B189" t="s">
        <v>158</v>
      </c>
      <c r="C189" t="s">
        <v>159</v>
      </c>
      <c r="D189" t="s">
        <v>175</v>
      </c>
      <c r="E189" t="s">
        <v>28</v>
      </c>
      <c r="F189" t="s">
        <v>118</v>
      </c>
      <c r="G189">
        <v>90</v>
      </c>
      <c r="H189">
        <v>81</v>
      </c>
      <c r="I189">
        <v>86</v>
      </c>
      <c r="J189">
        <v>950</v>
      </c>
      <c r="K189">
        <v>9</v>
      </c>
      <c r="L189">
        <v>10</v>
      </c>
      <c r="M189">
        <v>4750</v>
      </c>
      <c r="N189" t="s">
        <v>30</v>
      </c>
      <c r="O189">
        <v>0</v>
      </c>
      <c r="P189">
        <v>0</v>
      </c>
      <c r="Q189">
        <v>0</v>
      </c>
      <c r="R189">
        <v>265</v>
      </c>
      <c r="S189">
        <v>278</v>
      </c>
      <c r="T189">
        <v>250</v>
      </c>
      <c r="U189">
        <v>10.199999999999999</v>
      </c>
      <c r="V189" t="s">
        <v>30</v>
      </c>
      <c r="W189" t="s">
        <v>48</v>
      </c>
      <c r="X189" t="s">
        <v>32</v>
      </c>
      <c r="Y189" t="s">
        <v>33</v>
      </c>
    </row>
    <row r="190" spans="1:25" x14ac:dyDescent="0.25">
      <c r="A190">
        <v>2025</v>
      </c>
      <c r="B190" t="s">
        <v>158</v>
      </c>
      <c r="C190" t="s">
        <v>159</v>
      </c>
      <c r="D190" t="s">
        <v>175</v>
      </c>
      <c r="E190" t="s">
        <v>28</v>
      </c>
      <c r="F190" t="s">
        <v>118</v>
      </c>
      <c r="G190">
        <v>38</v>
      </c>
      <c r="H190">
        <v>42</v>
      </c>
      <c r="I190">
        <v>39</v>
      </c>
      <c r="J190">
        <v>950</v>
      </c>
      <c r="K190">
        <v>9</v>
      </c>
      <c r="L190">
        <v>10</v>
      </c>
      <c r="M190">
        <v>4750</v>
      </c>
      <c r="N190" t="s">
        <v>30</v>
      </c>
      <c r="O190">
        <v>0</v>
      </c>
      <c r="P190">
        <v>0</v>
      </c>
      <c r="Q190">
        <v>0</v>
      </c>
      <c r="R190">
        <v>265</v>
      </c>
      <c r="S190">
        <v>278</v>
      </c>
      <c r="T190">
        <v>250</v>
      </c>
      <c r="U190">
        <v>10.199999999999999</v>
      </c>
      <c r="V190" t="s">
        <v>30</v>
      </c>
      <c r="W190" t="s">
        <v>48</v>
      </c>
      <c r="X190" t="s">
        <v>32</v>
      </c>
      <c r="Y190" t="s">
        <v>33</v>
      </c>
    </row>
    <row r="191" spans="1:25" x14ac:dyDescent="0.25">
      <c r="A191">
        <v>2025</v>
      </c>
      <c r="B191" t="s">
        <v>158</v>
      </c>
      <c r="C191" t="s">
        <v>159</v>
      </c>
      <c r="D191" t="s">
        <v>176</v>
      </c>
      <c r="E191" t="s">
        <v>107</v>
      </c>
      <c r="F191" t="s">
        <v>135</v>
      </c>
      <c r="G191">
        <v>79</v>
      </c>
      <c r="H191">
        <v>65</v>
      </c>
      <c r="I191">
        <v>72</v>
      </c>
      <c r="J191">
        <v>1150</v>
      </c>
      <c r="K191">
        <v>9</v>
      </c>
      <c r="L191">
        <v>10</v>
      </c>
      <c r="M191">
        <v>3750</v>
      </c>
      <c r="N191" t="s">
        <v>30</v>
      </c>
      <c r="O191">
        <v>0</v>
      </c>
      <c r="P191">
        <v>0</v>
      </c>
      <c r="Q191">
        <v>0</v>
      </c>
      <c r="R191">
        <v>300</v>
      </c>
      <c r="S191">
        <v>326</v>
      </c>
      <c r="T191">
        <v>268</v>
      </c>
      <c r="U191">
        <v>13.7</v>
      </c>
      <c r="V191" t="s">
        <v>30</v>
      </c>
      <c r="W191" t="s">
        <v>161</v>
      </c>
      <c r="X191" t="s">
        <v>32</v>
      </c>
      <c r="Y191" t="s">
        <v>33</v>
      </c>
    </row>
    <row r="192" spans="1:25" x14ac:dyDescent="0.25">
      <c r="A192">
        <v>2025</v>
      </c>
      <c r="B192" t="s">
        <v>158</v>
      </c>
      <c r="C192" t="s">
        <v>159</v>
      </c>
      <c r="D192" t="s">
        <v>176</v>
      </c>
      <c r="E192" t="s">
        <v>107</v>
      </c>
      <c r="F192" t="s">
        <v>135</v>
      </c>
      <c r="G192">
        <v>43</v>
      </c>
      <c r="H192">
        <v>52</v>
      </c>
      <c r="I192">
        <v>47</v>
      </c>
      <c r="J192">
        <v>1150</v>
      </c>
      <c r="K192">
        <v>9</v>
      </c>
      <c r="L192">
        <v>10</v>
      </c>
      <c r="M192">
        <v>3750</v>
      </c>
      <c r="N192" t="s">
        <v>30</v>
      </c>
      <c r="O192">
        <v>0</v>
      </c>
      <c r="P192">
        <v>0</v>
      </c>
      <c r="Q192">
        <v>0</v>
      </c>
      <c r="R192">
        <v>300</v>
      </c>
      <c r="S192">
        <v>326</v>
      </c>
      <c r="T192">
        <v>268</v>
      </c>
      <c r="U192">
        <v>13.7</v>
      </c>
      <c r="V192" t="s">
        <v>30</v>
      </c>
      <c r="W192" t="s">
        <v>161</v>
      </c>
      <c r="X192" t="s">
        <v>32</v>
      </c>
      <c r="Y192" t="s">
        <v>33</v>
      </c>
    </row>
    <row r="193" spans="1:25" x14ac:dyDescent="0.25">
      <c r="A193">
        <v>2025</v>
      </c>
      <c r="B193" t="s">
        <v>177</v>
      </c>
      <c r="C193" t="s">
        <v>178</v>
      </c>
      <c r="D193" t="s">
        <v>179</v>
      </c>
      <c r="E193" t="s">
        <v>46</v>
      </c>
      <c r="F193" t="s">
        <v>115</v>
      </c>
      <c r="G193">
        <v>125</v>
      </c>
      <c r="H193">
        <v>99</v>
      </c>
      <c r="I193">
        <v>112</v>
      </c>
      <c r="J193">
        <v>700</v>
      </c>
      <c r="K193">
        <v>9</v>
      </c>
      <c r="L193">
        <v>10</v>
      </c>
      <c r="M193">
        <v>6000</v>
      </c>
      <c r="N193" t="s">
        <v>30</v>
      </c>
      <c r="O193">
        <v>0</v>
      </c>
      <c r="P193">
        <v>0</v>
      </c>
      <c r="Q193">
        <v>0</v>
      </c>
      <c r="R193">
        <v>294</v>
      </c>
      <c r="S193">
        <v>324</v>
      </c>
      <c r="T193">
        <v>257</v>
      </c>
      <c r="U193">
        <v>7.2</v>
      </c>
      <c r="V193" t="s">
        <v>30</v>
      </c>
      <c r="W193" t="s">
        <v>180</v>
      </c>
      <c r="X193" t="s">
        <v>32</v>
      </c>
      <c r="Y193" t="s">
        <v>33</v>
      </c>
    </row>
    <row r="194" spans="1:25" x14ac:dyDescent="0.25">
      <c r="A194">
        <v>2025</v>
      </c>
      <c r="B194" t="s">
        <v>177</v>
      </c>
      <c r="C194" t="s">
        <v>178</v>
      </c>
      <c r="D194" t="s">
        <v>179</v>
      </c>
      <c r="E194" t="s">
        <v>46</v>
      </c>
      <c r="F194" t="s">
        <v>115</v>
      </c>
      <c r="G194">
        <v>27</v>
      </c>
      <c r="H194">
        <v>34</v>
      </c>
      <c r="I194">
        <v>30</v>
      </c>
      <c r="J194">
        <v>700</v>
      </c>
      <c r="K194">
        <v>9</v>
      </c>
      <c r="L194">
        <v>10</v>
      </c>
      <c r="M194">
        <v>6000</v>
      </c>
      <c r="N194" t="s">
        <v>30</v>
      </c>
      <c r="O194">
        <v>0</v>
      </c>
      <c r="P194">
        <v>0</v>
      </c>
      <c r="Q194">
        <v>0</v>
      </c>
      <c r="R194">
        <v>294</v>
      </c>
      <c r="S194">
        <v>324</v>
      </c>
      <c r="T194">
        <v>257</v>
      </c>
      <c r="U194">
        <v>7.2</v>
      </c>
      <c r="V194" t="s">
        <v>30</v>
      </c>
      <c r="W194" t="s">
        <v>180</v>
      </c>
      <c r="X194" t="s">
        <v>32</v>
      </c>
      <c r="Y194" t="s">
        <v>33</v>
      </c>
    </row>
    <row r="195" spans="1:25" x14ac:dyDescent="0.25">
      <c r="A195">
        <v>2025</v>
      </c>
      <c r="B195" t="s">
        <v>177</v>
      </c>
      <c r="C195" t="s">
        <v>178</v>
      </c>
      <c r="D195" t="s">
        <v>181</v>
      </c>
      <c r="E195" t="s">
        <v>28</v>
      </c>
      <c r="F195" t="s">
        <v>118</v>
      </c>
      <c r="G195">
        <v>110</v>
      </c>
      <c r="H195">
        <v>90</v>
      </c>
      <c r="I195">
        <v>100</v>
      </c>
      <c r="J195">
        <v>800</v>
      </c>
      <c r="K195">
        <v>9</v>
      </c>
      <c r="L195">
        <v>10</v>
      </c>
      <c r="M195">
        <v>5500</v>
      </c>
      <c r="N195" t="s">
        <v>30</v>
      </c>
      <c r="O195">
        <v>0</v>
      </c>
      <c r="P195">
        <v>0</v>
      </c>
      <c r="Q195">
        <v>0</v>
      </c>
      <c r="R195">
        <v>264</v>
      </c>
      <c r="S195">
        <v>288</v>
      </c>
      <c r="T195">
        <v>235</v>
      </c>
      <c r="U195">
        <v>7.2</v>
      </c>
      <c r="V195" t="s">
        <v>30</v>
      </c>
      <c r="W195" t="s">
        <v>182</v>
      </c>
      <c r="X195" t="s">
        <v>32</v>
      </c>
      <c r="Y195" t="s">
        <v>33</v>
      </c>
    </row>
    <row r="196" spans="1:25" x14ac:dyDescent="0.25">
      <c r="A196">
        <v>2025</v>
      </c>
      <c r="B196" t="s">
        <v>177</v>
      </c>
      <c r="C196" t="s">
        <v>178</v>
      </c>
      <c r="D196" t="s">
        <v>181</v>
      </c>
      <c r="E196" t="s">
        <v>28</v>
      </c>
      <c r="F196" t="s">
        <v>118</v>
      </c>
      <c r="G196">
        <v>31</v>
      </c>
      <c r="H196">
        <v>38</v>
      </c>
      <c r="I196">
        <v>34</v>
      </c>
      <c r="J196">
        <v>800</v>
      </c>
      <c r="K196">
        <v>9</v>
      </c>
      <c r="L196">
        <v>10</v>
      </c>
      <c r="M196">
        <v>5500</v>
      </c>
      <c r="N196" t="s">
        <v>30</v>
      </c>
      <c r="O196">
        <v>0</v>
      </c>
      <c r="P196">
        <v>0</v>
      </c>
      <c r="Q196">
        <v>0</v>
      </c>
      <c r="R196">
        <v>264</v>
      </c>
      <c r="S196">
        <v>288</v>
      </c>
      <c r="T196">
        <v>235</v>
      </c>
      <c r="U196">
        <v>7.2</v>
      </c>
      <c r="V196" t="s">
        <v>30</v>
      </c>
      <c r="W196" t="s">
        <v>182</v>
      </c>
      <c r="X196" t="s">
        <v>32</v>
      </c>
      <c r="Y196" t="s">
        <v>33</v>
      </c>
    </row>
    <row r="197" spans="1:25" x14ac:dyDescent="0.25">
      <c r="A197">
        <v>2025</v>
      </c>
      <c r="B197" t="s">
        <v>177</v>
      </c>
      <c r="C197" t="s">
        <v>178</v>
      </c>
      <c r="D197" t="s">
        <v>183</v>
      </c>
      <c r="E197" t="s">
        <v>28</v>
      </c>
      <c r="F197" t="s">
        <v>118</v>
      </c>
      <c r="G197">
        <v>103</v>
      </c>
      <c r="H197">
        <v>86</v>
      </c>
      <c r="I197">
        <v>95</v>
      </c>
      <c r="J197">
        <v>850</v>
      </c>
      <c r="K197">
        <v>9</v>
      </c>
      <c r="L197">
        <v>10</v>
      </c>
      <c r="M197">
        <v>5250</v>
      </c>
      <c r="N197" t="s">
        <v>30</v>
      </c>
      <c r="O197">
        <v>0</v>
      </c>
      <c r="P197">
        <v>0</v>
      </c>
      <c r="Q197">
        <v>0</v>
      </c>
      <c r="R197">
        <v>248</v>
      </c>
      <c r="S197">
        <v>268</v>
      </c>
      <c r="T197">
        <v>224</v>
      </c>
      <c r="U197">
        <v>7.2</v>
      </c>
      <c r="V197" t="s">
        <v>30</v>
      </c>
      <c r="W197" t="s">
        <v>182</v>
      </c>
      <c r="X197" t="s">
        <v>32</v>
      </c>
      <c r="Y197" t="s">
        <v>33</v>
      </c>
    </row>
    <row r="198" spans="1:25" x14ac:dyDescent="0.25">
      <c r="A198">
        <v>2025</v>
      </c>
      <c r="B198" t="s">
        <v>177</v>
      </c>
      <c r="C198" t="s">
        <v>178</v>
      </c>
      <c r="D198" t="s">
        <v>183</v>
      </c>
      <c r="E198" t="s">
        <v>28</v>
      </c>
      <c r="F198" t="s">
        <v>118</v>
      </c>
      <c r="G198">
        <v>33</v>
      </c>
      <c r="H198">
        <v>39</v>
      </c>
      <c r="I198">
        <v>35</v>
      </c>
      <c r="J198">
        <v>850</v>
      </c>
      <c r="K198">
        <v>9</v>
      </c>
      <c r="L198">
        <v>10</v>
      </c>
      <c r="M198">
        <v>5250</v>
      </c>
      <c r="N198" t="s">
        <v>30</v>
      </c>
      <c r="O198">
        <v>0</v>
      </c>
      <c r="P198">
        <v>0</v>
      </c>
      <c r="Q198">
        <v>0</v>
      </c>
      <c r="R198">
        <v>248</v>
      </c>
      <c r="S198">
        <v>268</v>
      </c>
      <c r="T198">
        <v>224</v>
      </c>
      <c r="U198">
        <v>7.2</v>
      </c>
      <c r="V198" t="s">
        <v>30</v>
      </c>
      <c r="W198" t="s">
        <v>182</v>
      </c>
      <c r="X198" t="s">
        <v>32</v>
      </c>
      <c r="Y198" t="s">
        <v>33</v>
      </c>
    </row>
    <row r="199" spans="1:25" x14ac:dyDescent="0.25">
      <c r="A199">
        <v>2025</v>
      </c>
      <c r="B199" t="s">
        <v>177</v>
      </c>
      <c r="C199" t="s">
        <v>178</v>
      </c>
      <c r="D199" t="s">
        <v>184</v>
      </c>
      <c r="E199" t="s">
        <v>28</v>
      </c>
      <c r="F199" t="s">
        <v>118</v>
      </c>
      <c r="G199">
        <v>97</v>
      </c>
      <c r="H199">
        <v>82</v>
      </c>
      <c r="I199">
        <v>90</v>
      </c>
      <c r="J199">
        <v>900</v>
      </c>
      <c r="K199">
        <v>9</v>
      </c>
      <c r="L199">
        <v>10</v>
      </c>
      <c r="M199">
        <v>5000</v>
      </c>
      <c r="N199" t="s">
        <v>30</v>
      </c>
      <c r="O199">
        <v>0</v>
      </c>
      <c r="P199">
        <v>0</v>
      </c>
      <c r="Q199">
        <v>0</v>
      </c>
      <c r="R199">
        <v>235</v>
      </c>
      <c r="S199">
        <v>252</v>
      </c>
      <c r="T199">
        <v>215</v>
      </c>
      <c r="U199">
        <v>7.2</v>
      </c>
      <c r="V199" t="s">
        <v>30</v>
      </c>
      <c r="W199" t="s">
        <v>182</v>
      </c>
      <c r="X199" t="s">
        <v>32</v>
      </c>
      <c r="Y199" t="s">
        <v>33</v>
      </c>
    </row>
    <row r="200" spans="1:25" x14ac:dyDescent="0.25">
      <c r="A200">
        <v>2025</v>
      </c>
      <c r="B200" t="s">
        <v>177</v>
      </c>
      <c r="C200" t="s">
        <v>178</v>
      </c>
      <c r="D200" t="s">
        <v>184</v>
      </c>
      <c r="E200" t="s">
        <v>28</v>
      </c>
      <c r="F200" t="s">
        <v>118</v>
      </c>
      <c r="G200">
        <v>35</v>
      </c>
      <c r="H200">
        <v>41</v>
      </c>
      <c r="I200">
        <v>37</v>
      </c>
      <c r="J200">
        <v>900</v>
      </c>
      <c r="K200">
        <v>9</v>
      </c>
      <c r="L200">
        <v>10</v>
      </c>
      <c r="M200">
        <v>5000</v>
      </c>
      <c r="N200" t="s">
        <v>30</v>
      </c>
      <c r="O200">
        <v>0</v>
      </c>
      <c r="P200">
        <v>0</v>
      </c>
      <c r="Q200">
        <v>0</v>
      </c>
      <c r="R200">
        <v>235</v>
      </c>
      <c r="S200">
        <v>252</v>
      </c>
      <c r="T200">
        <v>215</v>
      </c>
      <c r="U200">
        <v>7.2</v>
      </c>
      <c r="V200" t="s">
        <v>30</v>
      </c>
      <c r="W200" t="s">
        <v>182</v>
      </c>
      <c r="X200" t="s">
        <v>32</v>
      </c>
      <c r="Y200" t="s">
        <v>33</v>
      </c>
    </row>
    <row r="201" spans="1:25" x14ac:dyDescent="0.25">
      <c r="A201">
        <v>2025</v>
      </c>
      <c r="B201" t="s">
        <v>177</v>
      </c>
      <c r="C201" t="s">
        <v>178</v>
      </c>
      <c r="D201" t="s">
        <v>185</v>
      </c>
      <c r="E201" t="s">
        <v>28</v>
      </c>
      <c r="F201" t="s">
        <v>186</v>
      </c>
      <c r="G201">
        <v>105</v>
      </c>
      <c r="H201">
        <v>89</v>
      </c>
      <c r="I201">
        <v>97</v>
      </c>
      <c r="J201">
        <v>850</v>
      </c>
      <c r="K201">
        <v>9</v>
      </c>
      <c r="L201">
        <v>10</v>
      </c>
      <c r="M201">
        <v>5250</v>
      </c>
      <c r="N201" t="s">
        <v>30</v>
      </c>
      <c r="O201">
        <v>0</v>
      </c>
      <c r="P201">
        <v>0</v>
      </c>
      <c r="Q201">
        <v>0</v>
      </c>
      <c r="R201">
        <v>282</v>
      </c>
      <c r="S201">
        <v>304</v>
      </c>
      <c r="T201">
        <v>256</v>
      </c>
      <c r="U201">
        <v>9</v>
      </c>
      <c r="V201" t="s">
        <v>30</v>
      </c>
      <c r="W201" t="s">
        <v>187</v>
      </c>
      <c r="X201" t="s">
        <v>32</v>
      </c>
      <c r="Y201" t="s">
        <v>33</v>
      </c>
    </row>
    <row r="202" spans="1:25" x14ac:dyDescent="0.25">
      <c r="A202">
        <v>2025</v>
      </c>
      <c r="B202" t="s">
        <v>177</v>
      </c>
      <c r="C202" t="s">
        <v>178</v>
      </c>
      <c r="D202" t="s">
        <v>185</v>
      </c>
      <c r="E202" t="s">
        <v>28</v>
      </c>
      <c r="F202" t="s">
        <v>186</v>
      </c>
      <c r="G202">
        <v>32</v>
      </c>
      <c r="H202">
        <v>38</v>
      </c>
      <c r="I202">
        <v>35</v>
      </c>
      <c r="J202">
        <v>850</v>
      </c>
      <c r="K202">
        <v>9</v>
      </c>
      <c r="L202">
        <v>10</v>
      </c>
      <c r="M202">
        <v>5250</v>
      </c>
      <c r="N202" t="s">
        <v>30</v>
      </c>
      <c r="O202">
        <v>0</v>
      </c>
      <c r="P202">
        <v>0</v>
      </c>
      <c r="Q202">
        <v>0</v>
      </c>
      <c r="R202">
        <v>282</v>
      </c>
      <c r="S202">
        <v>304</v>
      </c>
      <c r="T202">
        <v>256</v>
      </c>
      <c r="U202">
        <v>9</v>
      </c>
      <c r="V202" t="s">
        <v>30</v>
      </c>
      <c r="W202" t="s">
        <v>187</v>
      </c>
      <c r="X202" t="s">
        <v>32</v>
      </c>
      <c r="Y202" t="s">
        <v>33</v>
      </c>
    </row>
    <row r="203" spans="1:25" x14ac:dyDescent="0.25">
      <c r="A203">
        <v>2025</v>
      </c>
      <c r="B203" t="s">
        <v>177</v>
      </c>
      <c r="C203" t="s">
        <v>178</v>
      </c>
      <c r="D203" t="s">
        <v>188</v>
      </c>
      <c r="E203" t="s">
        <v>28</v>
      </c>
      <c r="F203" t="s">
        <v>118</v>
      </c>
      <c r="G203">
        <v>98</v>
      </c>
      <c r="H203">
        <v>83</v>
      </c>
      <c r="I203">
        <v>91</v>
      </c>
      <c r="J203">
        <v>900</v>
      </c>
      <c r="K203">
        <v>9</v>
      </c>
      <c r="L203">
        <v>10</v>
      </c>
      <c r="M203">
        <v>5000</v>
      </c>
      <c r="N203" t="s">
        <v>30</v>
      </c>
      <c r="O203">
        <v>0</v>
      </c>
      <c r="P203">
        <v>0</v>
      </c>
      <c r="Q203">
        <v>0</v>
      </c>
      <c r="R203">
        <v>236</v>
      </c>
      <c r="S203">
        <v>253</v>
      </c>
      <c r="T203">
        <v>215</v>
      </c>
      <c r="U203">
        <v>7.9</v>
      </c>
      <c r="V203" t="s">
        <v>30</v>
      </c>
      <c r="W203" t="s">
        <v>182</v>
      </c>
      <c r="X203" t="s">
        <v>32</v>
      </c>
      <c r="Y203" t="s">
        <v>33</v>
      </c>
    </row>
    <row r="204" spans="1:25" x14ac:dyDescent="0.25">
      <c r="A204">
        <v>2025</v>
      </c>
      <c r="B204" t="s">
        <v>177</v>
      </c>
      <c r="C204" t="s">
        <v>178</v>
      </c>
      <c r="D204" t="s">
        <v>188</v>
      </c>
      <c r="E204" t="s">
        <v>28</v>
      </c>
      <c r="F204" t="s">
        <v>118</v>
      </c>
      <c r="G204">
        <v>34</v>
      </c>
      <c r="H204">
        <v>41</v>
      </c>
      <c r="I204">
        <v>37</v>
      </c>
      <c r="J204">
        <v>900</v>
      </c>
      <c r="K204">
        <v>9</v>
      </c>
      <c r="L204">
        <v>10</v>
      </c>
      <c r="M204">
        <v>5000</v>
      </c>
      <c r="N204" t="s">
        <v>30</v>
      </c>
      <c r="O204">
        <v>0</v>
      </c>
      <c r="P204">
        <v>0</v>
      </c>
      <c r="Q204">
        <v>0</v>
      </c>
      <c r="R204">
        <v>236</v>
      </c>
      <c r="S204">
        <v>253</v>
      </c>
      <c r="T204">
        <v>215</v>
      </c>
      <c r="U204">
        <v>7.9</v>
      </c>
      <c r="V204" t="s">
        <v>30</v>
      </c>
      <c r="W204" t="s">
        <v>182</v>
      </c>
      <c r="X204" t="s">
        <v>32</v>
      </c>
      <c r="Y204" t="s">
        <v>33</v>
      </c>
    </row>
    <row r="205" spans="1:25" x14ac:dyDescent="0.25">
      <c r="A205">
        <v>2025</v>
      </c>
      <c r="B205" t="s">
        <v>112</v>
      </c>
      <c r="C205" t="s">
        <v>189</v>
      </c>
      <c r="D205" t="s">
        <v>190</v>
      </c>
      <c r="E205" t="s">
        <v>107</v>
      </c>
      <c r="F205" t="s">
        <v>135</v>
      </c>
      <c r="G205">
        <v>70</v>
      </c>
      <c r="H205">
        <v>59</v>
      </c>
      <c r="I205">
        <v>64</v>
      </c>
      <c r="J205">
        <v>1250</v>
      </c>
      <c r="K205">
        <v>8</v>
      </c>
      <c r="L205">
        <v>10</v>
      </c>
      <c r="M205">
        <v>3250</v>
      </c>
      <c r="N205" t="s">
        <v>30</v>
      </c>
      <c r="O205">
        <v>0</v>
      </c>
      <c r="P205">
        <v>0</v>
      </c>
      <c r="Q205">
        <v>0</v>
      </c>
      <c r="R205">
        <v>390</v>
      </c>
      <c r="S205">
        <v>419</v>
      </c>
      <c r="T205">
        <v>354</v>
      </c>
      <c r="U205">
        <v>11.5</v>
      </c>
      <c r="V205" t="s">
        <v>30</v>
      </c>
      <c r="W205" t="s">
        <v>139</v>
      </c>
      <c r="X205" t="s">
        <v>32</v>
      </c>
      <c r="Y205" t="s">
        <v>33</v>
      </c>
    </row>
    <row r="206" spans="1:25" x14ac:dyDescent="0.25">
      <c r="A206">
        <v>2025</v>
      </c>
      <c r="B206" t="s">
        <v>112</v>
      </c>
      <c r="C206" t="s">
        <v>189</v>
      </c>
      <c r="D206" t="s">
        <v>190</v>
      </c>
      <c r="E206" t="s">
        <v>107</v>
      </c>
      <c r="F206" t="s">
        <v>135</v>
      </c>
      <c r="G206">
        <v>48</v>
      </c>
      <c r="H206">
        <v>57</v>
      </c>
      <c r="I206">
        <v>52</v>
      </c>
      <c r="J206">
        <v>1250</v>
      </c>
      <c r="K206">
        <v>8</v>
      </c>
      <c r="L206">
        <v>10</v>
      </c>
      <c r="M206">
        <v>3250</v>
      </c>
      <c r="N206" t="s">
        <v>30</v>
      </c>
      <c r="O206">
        <v>0</v>
      </c>
      <c r="P206">
        <v>0</v>
      </c>
      <c r="Q206">
        <v>0</v>
      </c>
      <c r="R206">
        <v>390</v>
      </c>
      <c r="S206">
        <v>419</v>
      </c>
      <c r="T206">
        <v>354</v>
      </c>
      <c r="U206">
        <v>11.5</v>
      </c>
      <c r="V206" t="s">
        <v>30</v>
      </c>
      <c r="W206" t="s">
        <v>139</v>
      </c>
      <c r="X206" t="s">
        <v>32</v>
      </c>
      <c r="Y206" t="s">
        <v>33</v>
      </c>
    </row>
    <row r="207" spans="1:25" x14ac:dyDescent="0.25">
      <c r="A207">
        <v>2025</v>
      </c>
      <c r="B207" t="s">
        <v>112</v>
      </c>
      <c r="C207" t="s">
        <v>189</v>
      </c>
      <c r="D207" t="s">
        <v>191</v>
      </c>
      <c r="E207" t="s">
        <v>28</v>
      </c>
      <c r="F207" t="s">
        <v>29</v>
      </c>
      <c r="G207">
        <v>59</v>
      </c>
      <c r="H207">
        <v>46</v>
      </c>
      <c r="I207">
        <v>53</v>
      </c>
      <c r="J207">
        <v>1550</v>
      </c>
      <c r="K207">
        <v>8</v>
      </c>
      <c r="L207">
        <v>10</v>
      </c>
      <c r="M207">
        <v>1750</v>
      </c>
      <c r="N207" t="s">
        <v>30</v>
      </c>
      <c r="O207">
        <v>0</v>
      </c>
      <c r="P207">
        <v>0</v>
      </c>
      <c r="Q207">
        <v>0</v>
      </c>
      <c r="R207">
        <v>315</v>
      </c>
      <c r="S207">
        <v>349</v>
      </c>
      <c r="T207">
        <v>274</v>
      </c>
      <c r="U207">
        <v>11.2</v>
      </c>
      <c r="V207" t="s">
        <v>30</v>
      </c>
      <c r="W207" t="s">
        <v>192</v>
      </c>
      <c r="X207" t="s">
        <v>32</v>
      </c>
      <c r="Y207" t="s">
        <v>33</v>
      </c>
    </row>
    <row r="208" spans="1:25" x14ac:dyDescent="0.25">
      <c r="A208">
        <v>2025</v>
      </c>
      <c r="B208" t="s">
        <v>112</v>
      </c>
      <c r="C208" t="s">
        <v>189</v>
      </c>
      <c r="D208" t="s">
        <v>191</v>
      </c>
      <c r="E208" t="s">
        <v>28</v>
      </c>
      <c r="F208" t="s">
        <v>29</v>
      </c>
      <c r="G208">
        <v>57</v>
      </c>
      <c r="H208">
        <v>73</v>
      </c>
      <c r="I208">
        <v>64</v>
      </c>
      <c r="J208">
        <v>1550</v>
      </c>
      <c r="K208">
        <v>8</v>
      </c>
      <c r="L208">
        <v>10</v>
      </c>
      <c r="M208">
        <v>1750</v>
      </c>
      <c r="N208" t="s">
        <v>30</v>
      </c>
      <c r="O208">
        <v>0</v>
      </c>
      <c r="P208">
        <v>0</v>
      </c>
      <c r="Q208">
        <v>0</v>
      </c>
      <c r="R208">
        <v>315</v>
      </c>
      <c r="S208">
        <v>349</v>
      </c>
      <c r="T208">
        <v>274</v>
      </c>
      <c r="U208">
        <v>11.2</v>
      </c>
      <c r="V208" t="s">
        <v>30</v>
      </c>
      <c r="W208" t="s">
        <v>192</v>
      </c>
      <c r="X208" t="s">
        <v>32</v>
      </c>
      <c r="Y208" t="s">
        <v>33</v>
      </c>
    </row>
    <row r="209" spans="1:25" x14ac:dyDescent="0.25">
      <c r="A209">
        <v>2025</v>
      </c>
      <c r="B209" t="s">
        <v>112</v>
      </c>
      <c r="C209" t="s">
        <v>189</v>
      </c>
      <c r="D209" t="s">
        <v>193</v>
      </c>
      <c r="E209" t="s">
        <v>28</v>
      </c>
      <c r="F209" t="s">
        <v>135</v>
      </c>
      <c r="G209">
        <v>59</v>
      </c>
      <c r="H209">
        <v>47</v>
      </c>
      <c r="I209">
        <v>53</v>
      </c>
      <c r="J209">
        <v>1550</v>
      </c>
      <c r="K209">
        <v>8</v>
      </c>
      <c r="L209">
        <v>10</v>
      </c>
      <c r="M209">
        <v>1750</v>
      </c>
      <c r="N209" t="s">
        <v>30</v>
      </c>
      <c r="O209">
        <v>0</v>
      </c>
      <c r="P209">
        <v>0</v>
      </c>
      <c r="Q209">
        <v>0</v>
      </c>
      <c r="R209">
        <v>318</v>
      </c>
      <c r="S209">
        <v>351</v>
      </c>
      <c r="T209">
        <v>278</v>
      </c>
      <c r="U209">
        <v>11.2</v>
      </c>
      <c r="V209" t="s">
        <v>30</v>
      </c>
      <c r="W209" t="s">
        <v>192</v>
      </c>
      <c r="X209" t="s">
        <v>32</v>
      </c>
      <c r="Y209" t="s">
        <v>33</v>
      </c>
    </row>
    <row r="210" spans="1:25" x14ac:dyDescent="0.25">
      <c r="A210">
        <v>2025</v>
      </c>
      <c r="B210" t="s">
        <v>112</v>
      </c>
      <c r="C210" t="s">
        <v>189</v>
      </c>
      <c r="D210" t="s">
        <v>193</v>
      </c>
      <c r="E210" t="s">
        <v>28</v>
      </c>
      <c r="F210" t="s">
        <v>135</v>
      </c>
      <c r="G210">
        <v>57</v>
      </c>
      <c r="H210">
        <v>72</v>
      </c>
      <c r="I210">
        <v>64</v>
      </c>
      <c r="J210">
        <v>1550</v>
      </c>
      <c r="K210">
        <v>8</v>
      </c>
      <c r="L210">
        <v>10</v>
      </c>
      <c r="M210">
        <v>1750</v>
      </c>
      <c r="N210" t="s">
        <v>30</v>
      </c>
      <c r="O210">
        <v>0</v>
      </c>
      <c r="P210">
        <v>0</v>
      </c>
      <c r="Q210">
        <v>0</v>
      </c>
      <c r="R210">
        <v>318</v>
      </c>
      <c r="S210">
        <v>351</v>
      </c>
      <c r="T210">
        <v>278</v>
      </c>
      <c r="U210">
        <v>11.2</v>
      </c>
      <c r="V210" t="s">
        <v>30</v>
      </c>
      <c r="W210" t="s">
        <v>192</v>
      </c>
      <c r="X210" t="s">
        <v>32</v>
      </c>
      <c r="Y210" t="s">
        <v>33</v>
      </c>
    </row>
    <row r="211" spans="1:25" x14ac:dyDescent="0.25">
      <c r="A211">
        <v>2025</v>
      </c>
      <c r="B211" t="s">
        <v>112</v>
      </c>
      <c r="C211" t="s">
        <v>189</v>
      </c>
      <c r="D211" t="s">
        <v>194</v>
      </c>
      <c r="E211" t="s">
        <v>28</v>
      </c>
      <c r="F211" t="s">
        <v>29</v>
      </c>
      <c r="G211">
        <v>52</v>
      </c>
      <c r="H211">
        <v>42</v>
      </c>
      <c r="I211">
        <v>47</v>
      </c>
      <c r="J211">
        <v>1700</v>
      </c>
      <c r="K211">
        <v>8</v>
      </c>
      <c r="L211">
        <v>10</v>
      </c>
      <c r="M211">
        <v>1000</v>
      </c>
      <c r="N211" t="s">
        <v>30</v>
      </c>
      <c r="O211">
        <v>0</v>
      </c>
      <c r="P211">
        <v>0</v>
      </c>
      <c r="Q211">
        <v>0</v>
      </c>
      <c r="R211">
        <v>282</v>
      </c>
      <c r="S211">
        <v>307</v>
      </c>
      <c r="T211">
        <v>251</v>
      </c>
      <c r="U211">
        <v>11.2</v>
      </c>
      <c r="V211" t="s">
        <v>30</v>
      </c>
      <c r="W211" t="s">
        <v>192</v>
      </c>
      <c r="X211" t="s">
        <v>32</v>
      </c>
      <c r="Y211" t="s">
        <v>33</v>
      </c>
    </row>
    <row r="212" spans="1:25" x14ac:dyDescent="0.25">
      <c r="A212">
        <v>2025</v>
      </c>
      <c r="B212" t="s">
        <v>112</v>
      </c>
      <c r="C212" t="s">
        <v>189</v>
      </c>
      <c r="D212" t="s">
        <v>194</v>
      </c>
      <c r="E212" t="s">
        <v>28</v>
      </c>
      <c r="F212" t="s">
        <v>29</v>
      </c>
      <c r="G212">
        <v>65</v>
      </c>
      <c r="H212">
        <v>80</v>
      </c>
      <c r="I212">
        <v>72</v>
      </c>
      <c r="J212">
        <v>1700</v>
      </c>
      <c r="K212">
        <v>8</v>
      </c>
      <c r="L212">
        <v>10</v>
      </c>
      <c r="M212">
        <v>1000</v>
      </c>
      <c r="N212" t="s">
        <v>30</v>
      </c>
      <c r="O212">
        <v>0</v>
      </c>
      <c r="P212">
        <v>0</v>
      </c>
      <c r="Q212">
        <v>0</v>
      </c>
      <c r="R212">
        <v>282</v>
      </c>
      <c r="S212">
        <v>307</v>
      </c>
      <c r="T212">
        <v>251</v>
      </c>
      <c r="U212">
        <v>11.2</v>
      </c>
      <c r="V212" t="s">
        <v>30</v>
      </c>
      <c r="W212" t="s">
        <v>192</v>
      </c>
      <c r="X212" t="s">
        <v>32</v>
      </c>
      <c r="Y212" t="s">
        <v>33</v>
      </c>
    </row>
    <row r="213" spans="1:25" x14ac:dyDescent="0.25">
      <c r="A213">
        <v>2025</v>
      </c>
      <c r="B213" t="s">
        <v>112</v>
      </c>
      <c r="C213" t="s">
        <v>189</v>
      </c>
      <c r="D213" t="s">
        <v>195</v>
      </c>
      <c r="E213" t="s">
        <v>28</v>
      </c>
      <c r="F213" t="s">
        <v>135</v>
      </c>
      <c r="G213">
        <v>52</v>
      </c>
      <c r="H213">
        <v>42</v>
      </c>
      <c r="I213">
        <v>47</v>
      </c>
      <c r="J213">
        <v>1700</v>
      </c>
      <c r="K213">
        <v>8</v>
      </c>
      <c r="L213">
        <v>10</v>
      </c>
      <c r="M213">
        <v>1000</v>
      </c>
      <c r="N213" t="s">
        <v>30</v>
      </c>
      <c r="O213">
        <v>0</v>
      </c>
      <c r="P213">
        <v>0</v>
      </c>
      <c r="Q213">
        <v>0</v>
      </c>
      <c r="R213">
        <v>282</v>
      </c>
      <c r="S213">
        <v>307</v>
      </c>
      <c r="T213">
        <v>251</v>
      </c>
      <c r="U213">
        <v>11.2</v>
      </c>
      <c r="V213" t="s">
        <v>30</v>
      </c>
      <c r="W213" t="s">
        <v>192</v>
      </c>
      <c r="X213" t="s">
        <v>32</v>
      </c>
      <c r="Y213" t="s">
        <v>33</v>
      </c>
    </row>
    <row r="214" spans="1:25" x14ac:dyDescent="0.25">
      <c r="A214">
        <v>2025</v>
      </c>
      <c r="B214" t="s">
        <v>112</v>
      </c>
      <c r="C214" t="s">
        <v>189</v>
      </c>
      <c r="D214" t="s">
        <v>195</v>
      </c>
      <c r="E214" t="s">
        <v>28</v>
      </c>
      <c r="F214" t="s">
        <v>135</v>
      </c>
      <c r="G214">
        <v>65</v>
      </c>
      <c r="H214">
        <v>80</v>
      </c>
      <c r="I214">
        <v>72</v>
      </c>
      <c r="J214">
        <v>1700</v>
      </c>
      <c r="K214">
        <v>8</v>
      </c>
      <c r="L214">
        <v>10</v>
      </c>
      <c r="M214">
        <v>1000</v>
      </c>
      <c r="N214" t="s">
        <v>30</v>
      </c>
      <c r="O214">
        <v>0</v>
      </c>
      <c r="P214">
        <v>0</v>
      </c>
      <c r="Q214">
        <v>0</v>
      </c>
      <c r="R214">
        <v>282</v>
      </c>
      <c r="S214">
        <v>307</v>
      </c>
      <c r="T214">
        <v>251</v>
      </c>
      <c r="U214">
        <v>11.2</v>
      </c>
      <c r="V214" t="s">
        <v>30</v>
      </c>
      <c r="W214" t="s">
        <v>192</v>
      </c>
      <c r="X214" t="s">
        <v>32</v>
      </c>
      <c r="Y214" t="s">
        <v>33</v>
      </c>
    </row>
    <row r="215" spans="1:25" x14ac:dyDescent="0.25">
      <c r="A215">
        <v>2025</v>
      </c>
      <c r="B215" t="s">
        <v>112</v>
      </c>
      <c r="C215" t="s">
        <v>189</v>
      </c>
      <c r="D215" t="s">
        <v>191</v>
      </c>
      <c r="E215" t="s">
        <v>28</v>
      </c>
      <c r="F215" t="s">
        <v>29</v>
      </c>
      <c r="G215">
        <v>58</v>
      </c>
      <c r="H215">
        <v>46</v>
      </c>
      <c r="I215">
        <v>52</v>
      </c>
      <c r="J215">
        <v>1550</v>
      </c>
      <c r="K215">
        <v>8</v>
      </c>
      <c r="L215">
        <v>10</v>
      </c>
      <c r="M215">
        <v>1750</v>
      </c>
      <c r="N215" t="s">
        <v>30</v>
      </c>
      <c r="O215">
        <v>0</v>
      </c>
      <c r="P215">
        <v>0</v>
      </c>
      <c r="Q215">
        <v>0</v>
      </c>
      <c r="R215">
        <v>312</v>
      </c>
      <c r="S215">
        <v>343</v>
      </c>
      <c r="T215">
        <v>274</v>
      </c>
      <c r="U215">
        <v>11.2</v>
      </c>
      <c r="V215" t="s">
        <v>30</v>
      </c>
      <c r="W215" t="s">
        <v>196</v>
      </c>
      <c r="X215" t="s">
        <v>32</v>
      </c>
      <c r="Y215" t="s">
        <v>33</v>
      </c>
    </row>
    <row r="216" spans="1:25" x14ac:dyDescent="0.25">
      <c r="A216">
        <v>2025</v>
      </c>
      <c r="B216" t="s">
        <v>112</v>
      </c>
      <c r="C216" t="s">
        <v>189</v>
      </c>
      <c r="D216" t="s">
        <v>191</v>
      </c>
      <c r="E216" t="s">
        <v>28</v>
      </c>
      <c r="F216" t="s">
        <v>29</v>
      </c>
      <c r="G216">
        <v>59</v>
      </c>
      <c r="H216">
        <v>73</v>
      </c>
      <c r="I216">
        <v>65</v>
      </c>
      <c r="J216">
        <v>1550</v>
      </c>
      <c r="K216">
        <v>8</v>
      </c>
      <c r="L216">
        <v>10</v>
      </c>
      <c r="M216">
        <v>1750</v>
      </c>
      <c r="N216" t="s">
        <v>30</v>
      </c>
      <c r="O216">
        <v>0</v>
      </c>
      <c r="P216">
        <v>0</v>
      </c>
      <c r="Q216">
        <v>0</v>
      </c>
      <c r="R216">
        <v>312</v>
      </c>
      <c r="S216">
        <v>343</v>
      </c>
      <c r="T216">
        <v>274</v>
      </c>
      <c r="U216">
        <v>11.2</v>
      </c>
      <c r="V216" t="s">
        <v>30</v>
      </c>
      <c r="W216" t="s">
        <v>196</v>
      </c>
      <c r="X216" t="s">
        <v>32</v>
      </c>
      <c r="Y216" t="s">
        <v>33</v>
      </c>
    </row>
    <row r="217" spans="1:25" x14ac:dyDescent="0.25">
      <c r="A217">
        <v>2025</v>
      </c>
      <c r="B217" t="s">
        <v>112</v>
      </c>
      <c r="C217" t="s">
        <v>189</v>
      </c>
      <c r="D217" t="s">
        <v>193</v>
      </c>
      <c r="E217" t="s">
        <v>28</v>
      </c>
      <c r="F217" t="s">
        <v>135</v>
      </c>
      <c r="G217">
        <v>58</v>
      </c>
      <c r="H217">
        <v>46</v>
      </c>
      <c r="I217">
        <v>52</v>
      </c>
      <c r="J217">
        <v>1550</v>
      </c>
      <c r="K217">
        <v>8</v>
      </c>
      <c r="L217">
        <v>10</v>
      </c>
      <c r="M217">
        <v>1750</v>
      </c>
      <c r="N217" t="s">
        <v>30</v>
      </c>
      <c r="O217">
        <v>0</v>
      </c>
      <c r="P217">
        <v>0</v>
      </c>
      <c r="Q217">
        <v>0</v>
      </c>
      <c r="R217">
        <v>312</v>
      </c>
      <c r="S217">
        <v>343</v>
      </c>
      <c r="T217">
        <v>274</v>
      </c>
      <c r="U217">
        <v>11.2</v>
      </c>
      <c r="V217" t="s">
        <v>30</v>
      </c>
      <c r="W217" t="s">
        <v>197</v>
      </c>
      <c r="X217" t="s">
        <v>32</v>
      </c>
      <c r="Y217" t="s">
        <v>33</v>
      </c>
    </row>
    <row r="218" spans="1:25" x14ac:dyDescent="0.25">
      <c r="A218">
        <v>2025</v>
      </c>
      <c r="B218" t="s">
        <v>112</v>
      </c>
      <c r="C218" t="s">
        <v>189</v>
      </c>
      <c r="D218" t="s">
        <v>193</v>
      </c>
      <c r="E218" t="s">
        <v>28</v>
      </c>
      <c r="F218" t="s">
        <v>135</v>
      </c>
      <c r="G218">
        <v>59</v>
      </c>
      <c r="H218">
        <v>73</v>
      </c>
      <c r="I218">
        <v>65</v>
      </c>
      <c r="J218">
        <v>1550</v>
      </c>
      <c r="K218">
        <v>8</v>
      </c>
      <c r="L218">
        <v>10</v>
      </c>
      <c r="M218">
        <v>1750</v>
      </c>
      <c r="N218" t="s">
        <v>30</v>
      </c>
      <c r="O218">
        <v>0</v>
      </c>
      <c r="P218">
        <v>0</v>
      </c>
      <c r="Q218">
        <v>0</v>
      </c>
      <c r="R218">
        <v>312</v>
      </c>
      <c r="S218">
        <v>343</v>
      </c>
      <c r="T218">
        <v>274</v>
      </c>
      <c r="U218">
        <v>11.2</v>
      </c>
      <c r="V218" t="s">
        <v>30</v>
      </c>
      <c r="W218" t="s">
        <v>197</v>
      </c>
      <c r="X218" t="s">
        <v>32</v>
      </c>
      <c r="Y218" t="s">
        <v>33</v>
      </c>
    </row>
    <row r="219" spans="1:25" x14ac:dyDescent="0.25">
      <c r="A219">
        <v>2025</v>
      </c>
      <c r="B219" t="s">
        <v>112</v>
      </c>
      <c r="C219" t="s">
        <v>189</v>
      </c>
      <c r="D219" t="s">
        <v>194</v>
      </c>
      <c r="E219" t="s">
        <v>28</v>
      </c>
      <c r="F219" t="s">
        <v>29</v>
      </c>
      <c r="G219">
        <v>53</v>
      </c>
      <c r="H219">
        <v>43</v>
      </c>
      <c r="I219">
        <v>48</v>
      </c>
      <c r="J219">
        <v>1700</v>
      </c>
      <c r="K219">
        <v>8</v>
      </c>
      <c r="L219">
        <v>10</v>
      </c>
      <c r="M219">
        <v>1000</v>
      </c>
      <c r="N219" t="s">
        <v>30</v>
      </c>
      <c r="O219">
        <v>0</v>
      </c>
      <c r="P219">
        <v>0</v>
      </c>
      <c r="Q219">
        <v>0</v>
      </c>
      <c r="R219">
        <v>289</v>
      </c>
      <c r="S219">
        <v>314</v>
      </c>
      <c r="T219">
        <v>258</v>
      </c>
      <c r="U219">
        <v>11.2</v>
      </c>
      <c r="V219" t="s">
        <v>30</v>
      </c>
      <c r="W219" t="s">
        <v>196</v>
      </c>
      <c r="X219" t="s">
        <v>32</v>
      </c>
      <c r="Y219" t="s">
        <v>33</v>
      </c>
    </row>
    <row r="220" spans="1:25" x14ac:dyDescent="0.25">
      <c r="A220">
        <v>2025</v>
      </c>
      <c r="B220" t="s">
        <v>112</v>
      </c>
      <c r="C220" t="s">
        <v>189</v>
      </c>
      <c r="D220" t="s">
        <v>194</v>
      </c>
      <c r="E220" t="s">
        <v>28</v>
      </c>
      <c r="F220" t="s">
        <v>29</v>
      </c>
      <c r="G220">
        <v>64</v>
      </c>
      <c r="H220">
        <v>78</v>
      </c>
      <c r="I220">
        <v>70</v>
      </c>
      <c r="J220">
        <v>1700</v>
      </c>
      <c r="K220">
        <v>8</v>
      </c>
      <c r="L220">
        <v>10</v>
      </c>
      <c r="M220">
        <v>1000</v>
      </c>
      <c r="N220" t="s">
        <v>30</v>
      </c>
      <c r="O220">
        <v>0</v>
      </c>
      <c r="P220">
        <v>0</v>
      </c>
      <c r="Q220">
        <v>0</v>
      </c>
      <c r="R220">
        <v>289</v>
      </c>
      <c r="S220">
        <v>314</v>
      </c>
      <c r="T220">
        <v>258</v>
      </c>
      <c r="U220">
        <v>11.2</v>
      </c>
      <c r="V220" t="s">
        <v>30</v>
      </c>
      <c r="W220" t="s">
        <v>196</v>
      </c>
      <c r="X220" t="s">
        <v>32</v>
      </c>
      <c r="Y220" t="s">
        <v>33</v>
      </c>
    </row>
    <row r="221" spans="1:25" x14ac:dyDescent="0.25">
      <c r="A221">
        <v>2025</v>
      </c>
      <c r="B221" t="s">
        <v>112</v>
      </c>
      <c r="C221" t="s">
        <v>189</v>
      </c>
      <c r="D221" t="s">
        <v>195</v>
      </c>
      <c r="E221" t="s">
        <v>28</v>
      </c>
      <c r="F221" t="s">
        <v>135</v>
      </c>
      <c r="G221">
        <v>53</v>
      </c>
      <c r="H221">
        <v>43</v>
      </c>
      <c r="I221">
        <v>48</v>
      </c>
      <c r="J221">
        <v>1700</v>
      </c>
      <c r="K221">
        <v>8</v>
      </c>
      <c r="L221">
        <v>10</v>
      </c>
      <c r="M221">
        <v>1000</v>
      </c>
      <c r="N221" t="s">
        <v>30</v>
      </c>
      <c r="O221">
        <v>0</v>
      </c>
      <c r="P221">
        <v>0</v>
      </c>
      <c r="Q221">
        <v>0</v>
      </c>
      <c r="R221">
        <v>289</v>
      </c>
      <c r="S221">
        <v>314</v>
      </c>
      <c r="T221">
        <v>258</v>
      </c>
      <c r="U221">
        <v>11.2</v>
      </c>
      <c r="V221" t="s">
        <v>30</v>
      </c>
      <c r="W221" t="s">
        <v>192</v>
      </c>
      <c r="X221" t="s">
        <v>32</v>
      </c>
      <c r="Y221" t="s">
        <v>33</v>
      </c>
    </row>
    <row r="222" spans="1:25" x14ac:dyDescent="0.25">
      <c r="A222">
        <v>2025</v>
      </c>
      <c r="B222" t="s">
        <v>112</v>
      </c>
      <c r="C222" t="s">
        <v>189</v>
      </c>
      <c r="D222" t="s">
        <v>195</v>
      </c>
      <c r="E222" t="s">
        <v>28</v>
      </c>
      <c r="F222" t="s">
        <v>135</v>
      </c>
      <c r="G222">
        <v>64</v>
      </c>
      <c r="H222">
        <v>78</v>
      </c>
      <c r="I222">
        <v>70</v>
      </c>
      <c r="J222">
        <v>1700</v>
      </c>
      <c r="K222">
        <v>8</v>
      </c>
      <c r="L222">
        <v>10</v>
      </c>
      <c r="M222">
        <v>1000</v>
      </c>
      <c r="N222" t="s">
        <v>30</v>
      </c>
      <c r="O222">
        <v>0</v>
      </c>
      <c r="P222">
        <v>0</v>
      </c>
      <c r="Q222">
        <v>0</v>
      </c>
      <c r="R222">
        <v>289</v>
      </c>
      <c r="S222">
        <v>314</v>
      </c>
      <c r="T222">
        <v>258</v>
      </c>
      <c r="U222">
        <v>11.2</v>
      </c>
      <c r="V222" t="s">
        <v>30</v>
      </c>
      <c r="W222" t="s">
        <v>192</v>
      </c>
      <c r="X222" t="s">
        <v>32</v>
      </c>
      <c r="Y222" t="s">
        <v>33</v>
      </c>
    </row>
    <row r="223" spans="1:25" x14ac:dyDescent="0.25">
      <c r="A223">
        <v>2025</v>
      </c>
      <c r="B223" t="s">
        <v>198</v>
      </c>
      <c r="C223" t="s">
        <v>199</v>
      </c>
      <c r="D223" t="s">
        <v>200</v>
      </c>
      <c r="E223" t="s">
        <v>28</v>
      </c>
      <c r="F223" t="s">
        <v>201</v>
      </c>
      <c r="G223">
        <v>80</v>
      </c>
      <c r="H223">
        <v>71</v>
      </c>
      <c r="I223">
        <v>76</v>
      </c>
      <c r="J223">
        <v>1050</v>
      </c>
      <c r="K223">
        <v>9</v>
      </c>
      <c r="L223">
        <v>10</v>
      </c>
      <c r="M223">
        <v>4250</v>
      </c>
      <c r="N223" t="s">
        <v>30</v>
      </c>
      <c r="O223">
        <v>0</v>
      </c>
      <c r="P223">
        <v>0</v>
      </c>
      <c r="Q223">
        <v>0</v>
      </c>
      <c r="R223">
        <v>209</v>
      </c>
      <c r="S223">
        <v>220</v>
      </c>
      <c r="T223">
        <v>195</v>
      </c>
      <c r="U223">
        <v>12</v>
      </c>
      <c r="V223" t="s">
        <v>30</v>
      </c>
      <c r="W223" t="s">
        <v>202</v>
      </c>
      <c r="X223" t="s">
        <v>32</v>
      </c>
      <c r="Y223" t="s">
        <v>33</v>
      </c>
    </row>
    <row r="224" spans="1:25" x14ac:dyDescent="0.25">
      <c r="A224">
        <v>2025</v>
      </c>
      <c r="B224" t="s">
        <v>198</v>
      </c>
      <c r="C224" t="s">
        <v>199</v>
      </c>
      <c r="D224" t="s">
        <v>200</v>
      </c>
      <c r="E224" t="s">
        <v>28</v>
      </c>
      <c r="F224" t="s">
        <v>201</v>
      </c>
      <c r="G224">
        <v>42</v>
      </c>
      <c r="H224">
        <v>47</v>
      </c>
      <c r="I224">
        <v>44</v>
      </c>
      <c r="J224">
        <v>1050</v>
      </c>
      <c r="K224">
        <v>9</v>
      </c>
      <c r="L224">
        <v>10</v>
      </c>
      <c r="M224">
        <v>4250</v>
      </c>
      <c r="N224" t="s">
        <v>30</v>
      </c>
      <c r="O224">
        <v>0</v>
      </c>
      <c r="P224">
        <v>0</v>
      </c>
      <c r="Q224">
        <v>0</v>
      </c>
      <c r="R224">
        <v>209</v>
      </c>
      <c r="S224">
        <v>220</v>
      </c>
      <c r="T224">
        <v>195</v>
      </c>
      <c r="U224">
        <v>12</v>
      </c>
      <c r="V224" t="s">
        <v>30</v>
      </c>
      <c r="W224" t="s">
        <v>202</v>
      </c>
      <c r="X224" t="s">
        <v>32</v>
      </c>
      <c r="Y224" t="s">
        <v>33</v>
      </c>
    </row>
    <row r="225" spans="1:25" x14ac:dyDescent="0.25">
      <c r="A225">
        <v>2025</v>
      </c>
      <c r="B225" t="s">
        <v>198</v>
      </c>
      <c r="C225" t="s">
        <v>199</v>
      </c>
      <c r="D225" t="s">
        <v>203</v>
      </c>
      <c r="E225" t="s">
        <v>28</v>
      </c>
      <c r="F225" t="s">
        <v>201</v>
      </c>
      <c r="G225">
        <v>46</v>
      </c>
      <c r="H225">
        <v>42</v>
      </c>
      <c r="I225">
        <v>44</v>
      </c>
      <c r="J225">
        <v>1850</v>
      </c>
      <c r="K225">
        <v>7</v>
      </c>
      <c r="L225">
        <v>10</v>
      </c>
      <c r="M225">
        <v>250</v>
      </c>
      <c r="N225" t="s">
        <v>30</v>
      </c>
      <c r="O225">
        <v>0</v>
      </c>
      <c r="P225">
        <v>0</v>
      </c>
      <c r="Q225">
        <v>0</v>
      </c>
      <c r="R225">
        <v>235</v>
      </c>
      <c r="S225">
        <v>245</v>
      </c>
      <c r="T225">
        <v>222</v>
      </c>
      <c r="U225">
        <v>12</v>
      </c>
      <c r="V225" t="s">
        <v>30</v>
      </c>
      <c r="W225" t="s">
        <v>204</v>
      </c>
      <c r="X225" t="s">
        <v>32</v>
      </c>
      <c r="Y225" t="s">
        <v>33</v>
      </c>
    </row>
    <row r="226" spans="1:25" x14ac:dyDescent="0.25">
      <c r="A226">
        <v>2025</v>
      </c>
      <c r="B226" t="s">
        <v>198</v>
      </c>
      <c r="C226" t="s">
        <v>199</v>
      </c>
      <c r="D226" t="s">
        <v>203</v>
      </c>
      <c r="E226" t="s">
        <v>28</v>
      </c>
      <c r="F226" t="s">
        <v>201</v>
      </c>
      <c r="G226">
        <v>73</v>
      </c>
      <c r="H226">
        <v>80</v>
      </c>
      <c r="I226">
        <v>76</v>
      </c>
      <c r="J226">
        <v>1850</v>
      </c>
      <c r="K226">
        <v>7</v>
      </c>
      <c r="L226">
        <v>10</v>
      </c>
      <c r="M226">
        <v>250</v>
      </c>
      <c r="N226" t="s">
        <v>30</v>
      </c>
      <c r="O226">
        <v>0</v>
      </c>
      <c r="P226">
        <v>0</v>
      </c>
      <c r="Q226">
        <v>0</v>
      </c>
      <c r="R226">
        <v>235</v>
      </c>
      <c r="S226">
        <v>245</v>
      </c>
      <c r="T226">
        <v>222</v>
      </c>
      <c r="U226">
        <v>12</v>
      </c>
      <c r="V226" t="s">
        <v>30</v>
      </c>
      <c r="W226" t="s">
        <v>204</v>
      </c>
      <c r="X226" t="s">
        <v>32</v>
      </c>
      <c r="Y226" t="s">
        <v>33</v>
      </c>
    </row>
    <row r="227" spans="1:25" x14ac:dyDescent="0.25">
      <c r="A227">
        <v>2025</v>
      </c>
      <c r="B227" t="s">
        <v>198</v>
      </c>
      <c r="C227" t="s">
        <v>199</v>
      </c>
      <c r="D227" t="s">
        <v>205</v>
      </c>
      <c r="E227" t="s">
        <v>28</v>
      </c>
      <c r="F227" t="s">
        <v>201</v>
      </c>
      <c r="G227">
        <v>77</v>
      </c>
      <c r="H227">
        <v>69</v>
      </c>
      <c r="I227">
        <v>73</v>
      </c>
      <c r="J227">
        <v>1100</v>
      </c>
      <c r="K227">
        <v>9</v>
      </c>
      <c r="L227">
        <v>10</v>
      </c>
      <c r="M227">
        <v>4000</v>
      </c>
      <c r="N227" t="s">
        <v>30</v>
      </c>
      <c r="O227">
        <v>0</v>
      </c>
      <c r="P227">
        <v>0</v>
      </c>
      <c r="Q227">
        <v>0</v>
      </c>
      <c r="R227">
        <v>256</v>
      </c>
      <c r="S227">
        <v>269</v>
      </c>
      <c r="T227">
        <v>240</v>
      </c>
      <c r="U227">
        <v>12</v>
      </c>
      <c r="V227" t="s">
        <v>30</v>
      </c>
      <c r="W227" t="s">
        <v>204</v>
      </c>
      <c r="X227" t="s">
        <v>32</v>
      </c>
      <c r="Y227" t="s">
        <v>33</v>
      </c>
    </row>
    <row r="228" spans="1:25" x14ac:dyDescent="0.25">
      <c r="A228">
        <v>2025</v>
      </c>
      <c r="B228" t="s">
        <v>198</v>
      </c>
      <c r="C228" t="s">
        <v>199</v>
      </c>
      <c r="D228" t="s">
        <v>205</v>
      </c>
      <c r="E228" t="s">
        <v>28</v>
      </c>
      <c r="F228" t="s">
        <v>201</v>
      </c>
      <c r="G228">
        <v>44</v>
      </c>
      <c r="H228">
        <v>49</v>
      </c>
      <c r="I228">
        <v>46</v>
      </c>
      <c r="J228">
        <v>1100</v>
      </c>
      <c r="K228">
        <v>9</v>
      </c>
      <c r="L228">
        <v>10</v>
      </c>
      <c r="M228">
        <v>4000</v>
      </c>
      <c r="N228" t="s">
        <v>30</v>
      </c>
      <c r="O228">
        <v>0</v>
      </c>
      <c r="P228">
        <v>0</v>
      </c>
      <c r="Q228">
        <v>0</v>
      </c>
      <c r="R228">
        <v>256</v>
      </c>
      <c r="S228">
        <v>269</v>
      </c>
      <c r="T228">
        <v>240</v>
      </c>
      <c r="U228">
        <v>12</v>
      </c>
      <c r="V228" t="s">
        <v>30</v>
      </c>
      <c r="W228" t="s">
        <v>204</v>
      </c>
      <c r="X228" t="s">
        <v>32</v>
      </c>
      <c r="Y228" t="s">
        <v>33</v>
      </c>
    </row>
    <row r="229" spans="1:25" x14ac:dyDescent="0.25">
      <c r="A229">
        <v>2025</v>
      </c>
      <c r="B229" t="s">
        <v>198</v>
      </c>
      <c r="C229" t="s">
        <v>199</v>
      </c>
      <c r="D229" t="s">
        <v>206</v>
      </c>
      <c r="E229" t="s">
        <v>28</v>
      </c>
      <c r="F229" t="s">
        <v>201</v>
      </c>
      <c r="G229">
        <v>70</v>
      </c>
      <c r="H229">
        <v>65</v>
      </c>
      <c r="I229">
        <v>68</v>
      </c>
      <c r="J229">
        <v>1200</v>
      </c>
      <c r="K229">
        <v>9</v>
      </c>
      <c r="L229">
        <v>10</v>
      </c>
      <c r="M229">
        <v>3500</v>
      </c>
      <c r="N229" t="s">
        <v>30</v>
      </c>
      <c r="O229">
        <v>0</v>
      </c>
      <c r="P229">
        <v>0</v>
      </c>
      <c r="Q229">
        <v>0</v>
      </c>
      <c r="R229">
        <v>287</v>
      </c>
      <c r="S229">
        <v>298</v>
      </c>
      <c r="T229">
        <v>274</v>
      </c>
      <c r="U229">
        <v>15</v>
      </c>
      <c r="V229" t="s">
        <v>30</v>
      </c>
      <c r="W229" t="s">
        <v>204</v>
      </c>
      <c r="X229" t="s">
        <v>32</v>
      </c>
      <c r="Y229" t="s">
        <v>33</v>
      </c>
    </row>
    <row r="230" spans="1:25" x14ac:dyDescent="0.25">
      <c r="A230">
        <v>2025</v>
      </c>
      <c r="B230" t="s">
        <v>198</v>
      </c>
      <c r="C230" t="s">
        <v>199</v>
      </c>
      <c r="D230" t="s">
        <v>206</v>
      </c>
      <c r="E230" t="s">
        <v>28</v>
      </c>
      <c r="F230" t="s">
        <v>201</v>
      </c>
      <c r="G230">
        <v>48</v>
      </c>
      <c r="H230">
        <v>52</v>
      </c>
      <c r="I230">
        <v>50</v>
      </c>
      <c r="J230">
        <v>1200</v>
      </c>
      <c r="K230">
        <v>9</v>
      </c>
      <c r="L230">
        <v>10</v>
      </c>
      <c r="M230">
        <v>3500</v>
      </c>
      <c r="N230" t="s">
        <v>30</v>
      </c>
      <c r="O230">
        <v>0</v>
      </c>
      <c r="P230">
        <v>0</v>
      </c>
      <c r="Q230">
        <v>0</v>
      </c>
      <c r="R230">
        <v>287</v>
      </c>
      <c r="S230">
        <v>298</v>
      </c>
      <c r="T230">
        <v>274</v>
      </c>
      <c r="U230">
        <v>15</v>
      </c>
      <c r="V230" t="s">
        <v>30</v>
      </c>
      <c r="W230" t="s">
        <v>204</v>
      </c>
      <c r="X230" t="s">
        <v>32</v>
      </c>
      <c r="Y230" t="s">
        <v>33</v>
      </c>
    </row>
    <row r="231" spans="1:25" x14ac:dyDescent="0.25">
      <c r="A231">
        <v>2025</v>
      </c>
      <c r="B231" t="s">
        <v>198</v>
      </c>
      <c r="C231" t="s">
        <v>199</v>
      </c>
      <c r="D231" t="s">
        <v>207</v>
      </c>
      <c r="E231" t="s">
        <v>128</v>
      </c>
      <c r="F231" t="s">
        <v>208</v>
      </c>
      <c r="G231">
        <v>88</v>
      </c>
      <c r="H231">
        <v>82</v>
      </c>
      <c r="I231">
        <v>85</v>
      </c>
      <c r="J231">
        <v>950</v>
      </c>
      <c r="K231">
        <v>9</v>
      </c>
      <c r="L231">
        <v>10</v>
      </c>
      <c r="M231">
        <v>4750</v>
      </c>
      <c r="N231" t="s">
        <v>30</v>
      </c>
      <c r="O231">
        <v>0</v>
      </c>
      <c r="P231">
        <v>0</v>
      </c>
      <c r="Q231">
        <v>0</v>
      </c>
      <c r="R231">
        <v>176</v>
      </c>
      <c r="S231">
        <v>182</v>
      </c>
      <c r="T231">
        <v>168</v>
      </c>
      <c r="U231">
        <v>7.24</v>
      </c>
      <c r="V231" t="s">
        <v>30</v>
      </c>
      <c r="W231" t="s">
        <v>209</v>
      </c>
      <c r="X231" t="s">
        <v>32</v>
      </c>
      <c r="Y231" t="s">
        <v>33</v>
      </c>
    </row>
    <row r="232" spans="1:25" x14ac:dyDescent="0.25">
      <c r="A232">
        <v>2025</v>
      </c>
      <c r="B232" t="s">
        <v>198</v>
      </c>
      <c r="C232" t="s">
        <v>199</v>
      </c>
      <c r="D232" t="s">
        <v>207</v>
      </c>
      <c r="E232" t="s">
        <v>128</v>
      </c>
      <c r="F232" t="s">
        <v>208</v>
      </c>
      <c r="G232">
        <v>38</v>
      </c>
      <c r="H232">
        <v>41</v>
      </c>
      <c r="I232">
        <v>40</v>
      </c>
      <c r="J232">
        <v>950</v>
      </c>
      <c r="K232">
        <v>9</v>
      </c>
      <c r="L232">
        <v>10</v>
      </c>
      <c r="M232">
        <v>4750</v>
      </c>
      <c r="N232" t="s">
        <v>30</v>
      </c>
      <c r="O232">
        <v>0</v>
      </c>
      <c r="P232">
        <v>0</v>
      </c>
      <c r="Q232">
        <v>0</v>
      </c>
      <c r="R232">
        <v>176</v>
      </c>
      <c r="S232">
        <v>182</v>
      </c>
      <c r="T232">
        <v>168</v>
      </c>
      <c r="U232">
        <v>7.24</v>
      </c>
      <c r="V232" t="s">
        <v>30</v>
      </c>
      <c r="W232" t="s">
        <v>209</v>
      </c>
      <c r="X232" t="s">
        <v>32</v>
      </c>
      <c r="Y232" t="s">
        <v>33</v>
      </c>
    </row>
    <row r="233" spans="1:25" x14ac:dyDescent="0.25">
      <c r="A233">
        <v>2025</v>
      </c>
      <c r="B233" t="s">
        <v>210</v>
      </c>
      <c r="C233" t="s">
        <v>210</v>
      </c>
      <c r="D233" t="s">
        <v>211</v>
      </c>
      <c r="E233" t="s">
        <v>128</v>
      </c>
      <c r="F233" t="s">
        <v>47</v>
      </c>
      <c r="G233">
        <v>113</v>
      </c>
      <c r="H233">
        <v>94</v>
      </c>
      <c r="I233">
        <v>104</v>
      </c>
      <c r="J233">
        <v>800</v>
      </c>
      <c r="K233">
        <v>9</v>
      </c>
      <c r="L233">
        <v>10</v>
      </c>
      <c r="M233">
        <v>5500</v>
      </c>
      <c r="N233" t="s">
        <v>30</v>
      </c>
      <c r="O233">
        <v>0</v>
      </c>
      <c r="P233">
        <v>0</v>
      </c>
      <c r="Q233">
        <v>0</v>
      </c>
      <c r="R233">
        <v>308</v>
      </c>
      <c r="S233">
        <v>333</v>
      </c>
      <c r="T233">
        <v>278</v>
      </c>
      <c r="U233">
        <v>9.5</v>
      </c>
      <c r="V233" t="s">
        <v>30</v>
      </c>
      <c r="W233" t="s">
        <v>129</v>
      </c>
      <c r="X233" t="s">
        <v>32</v>
      </c>
      <c r="Y233" t="s">
        <v>33</v>
      </c>
    </row>
    <row r="234" spans="1:25" x14ac:dyDescent="0.25">
      <c r="A234">
        <v>2025</v>
      </c>
      <c r="B234" t="s">
        <v>210</v>
      </c>
      <c r="C234" t="s">
        <v>210</v>
      </c>
      <c r="D234" t="s">
        <v>211</v>
      </c>
      <c r="E234" t="s">
        <v>128</v>
      </c>
      <c r="F234" t="s">
        <v>47</v>
      </c>
      <c r="G234">
        <v>30</v>
      </c>
      <c r="H234">
        <v>36</v>
      </c>
      <c r="I234">
        <v>33</v>
      </c>
      <c r="J234">
        <v>800</v>
      </c>
      <c r="K234">
        <v>9</v>
      </c>
      <c r="L234">
        <v>10</v>
      </c>
      <c r="M234">
        <v>5500</v>
      </c>
      <c r="N234" t="s">
        <v>30</v>
      </c>
      <c r="O234">
        <v>0</v>
      </c>
      <c r="P234">
        <v>0</v>
      </c>
      <c r="Q234">
        <v>0</v>
      </c>
      <c r="R234">
        <v>308</v>
      </c>
      <c r="S234">
        <v>333</v>
      </c>
      <c r="T234">
        <v>278</v>
      </c>
      <c r="U234">
        <v>9.5</v>
      </c>
      <c r="V234" t="s">
        <v>30</v>
      </c>
      <c r="W234" t="s">
        <v>129</v>
      </c>
      <c r="X234" t="s">
        <v>32</v>
      </c>
      <c r="Y234" t="s">
        <v>33</v>
      </c>
    </row>
    <row r="235" spans="1:25" x14ac:dyDescent="0.25">
      <c r="A235">
        <v>2025</v>
      </c>
      <c r="B235" t="s">
        <v>210</v>
      </c>
      <c r="C235" t="s">
        <v>210</v>
      </c>
      <c r="D235" t="s">
        <v>212</v>
      </c>
      <c r="E235" t="s">
        <v>28</v>
      </c>
      <c r="F235" t="s">
        <v>29</v>
      </c>
      <c r="G235">
        <v>108</v>
      </c>
      <c r="H235">
        <v>90</v>
      </c>
      <c r="I235">
        <v>99</v>
      </c>
      <c r="J235">
        <v>800</v>
      </c>
      <c r="K235">
        <v>9</v>
      </c>
      <c r="L235">
        <v>10</v>
      </c>
      <c r="M235">
        <v>5500</v>
      </c>
      <c r="N235" t="s">
        <v>30</v>
      </c>
      <c r="O235">
        <v>0</v>
      </c>
      <c r="P235">
        <v>0</v>
      </c>
      <c r="Q235">
        <v>0</v>
      </c>
      <c r="R235">
        <v>294</v>
      </c>
      <c r="S235">
        <v>318</v>
      </c>
      <c r="T235">
        <v>265</v>
      </c>
      <c r="U235">
        <v>9.5</v>
      </c>
      <c r="V235" t="s">
        <v>30</v>
      </c>
      <c r="W235" t="s">
        <v>126</v>
      </c>
      <c r="X235" t="s">
        <v>32</v>
      </c>
      <c r="Y235" t="s">
        <v>33</v>
      </c>
    </row>
    <row r="236" spans="1:25" x14ac:dyDescent="0.25">
      <c r="A236">
        <v>2025</v>
      </c>
      <c r="B236" t="s">
        <v>210</v>
      </c>
      <c r="C236" t="s">
        <v>210</v>
      </c>
      <c r="D236" t="s">
        <v>212</v>
      </c>
      <c r="E236" t="s">
        <v>28</v>
      </c>
      <c r="F236" t="s">
        <v>29</v>
      </c>
      <c r="G236">
        <v>31</v>
      </c>
      <c r="H236">
        <v>37</v>
      </c>
      <c r="I236">
        <v>34</v>
      </c>
      <c r="J236">
        <v>800</v>
      </c>
      <c r="K236">
        <v>9</v>
      </c>
      <c r="L236">
        <v>10</v>
      </c>
      <c r="M236">
        <v>5500</v>
      </c>
      <c r="N236" t="s">
        <v>30</v>
      </c>
      <c r="O236">
        <v>0</v>
      </c>
      <c r="P236">
        <v>0</v>
      </c>
      <c r="Q236">
        <v>0</v>
      </c>
      <c r="R236">
        <v>294</v>
      </c>
      <c r="S236">
        <v>318</v>
      </c>
      <c r="T236">
        <v>265</v>
      </c>
      <c r="U236">
        <v>9.5</v>
      </c>
      <c r="V236" t="s">
        <v>30</v>
      </c>
      <c r="W236" t="s">
        <v>126</v>
      </c>
      <c r="X236" t="s">
        <v>32</v>
      </c>
      <c r="Y236" t="s">
        <v>33</v>
      </c>
    </row>
    <row r="237" spans="1:25" x14ac:dyDescent="0.25">
      <c r="A237">
        <v>2025</v>
      </c>
      <c r="B237" t="s">
        <v>210</v>
      </c>
      <c r="C237" t="s">
        <v>210</v>
      </c>
      <c r="D237" t="s">
        <v>213</v>
      </c>
      <c r="E237" t="s">
        <v>28</v>
      </c>
      <c r="F237" t="s">
        <v>29</v>
      </c>
      <c r="G237">
        <v>104</v>
      </c>
      <c r="H237">
        <v>87</v>
      </c>
      <c r="I237">
        <v>95</v>
      </c>
      <c r="J237">
        <v>850</v>
      </c>
      <c r="K237">
        <v>9</v>
      </c>
      <c r="L237">
        <v>10</v>
      </c>
      <c r="M237">
        <v>5250</v>
      </c>
      <c r="N237" t="s">
        <v>30</v>
      </c>
      <c r="O237">
        <v>0</v>
      </c>
      <c r="P237">
        <v>0</v>
      </c>
      <c r="Q237">
        <v>0</v>
      </c>
      <c r="R237">
        <v>283</v>
      </c>
      <c r="S237">
        <v>306</v>
      </c>
      <c r="T237">
        <v>255</v>
      </c>
      <c r="U237">
        <v>9.5</v>
      </c>
      <c r="V237" t="s">
        <v>30</v>
      </c>
      <c r="W237" t="s">
        <v>126</v>
      </c>
      <c r="X237" t="s">
        <v>32</v>
      </c>
      <c r="Y237" t="s">
        <v>33</v>
      </c>
    </row>
    <row r="238" spans="1:25" x14ac:dyDescent="0.25">
      <c r="A238">
        <v>2025</v>
      </c>
      <c r="B238" t="s">
        <v>210</v>
      </c>
      <c r="C238" t="s">
        <v>210</v>
      </c>
      <c r="D238" t="s">
        <v>213</v>
      </c>
      <c r="E238" t="s">
        <v>28</v>
      </c>
      <c r="F238" t="s">
        <v>29</v>
      </c>
      <c r="G238">
        <v>32</v>
      </c>
      <c r="H238">
        <v>39</v>
      </c>
      <c r="I238">
        <v>35</v>
      </c>
      <c r="J238">
        <v>850</v>
      </c>
      <c r="K238">
        <v>9</v>
      </c>
      <c r="L238">
        <v>10</v>
      </c>
      <c r="M238">
        <v>5250</v>
      </c>
      <c r="N238" t="s">
        <v>30</v>
      </c>
      <c r="O238">
        <v>0</v>
      </c>
      <c r="P238">
        <v>0</v>
      </c>
      <c r="Q238">
        <v>0</v>
      </c>
      <c r="R238">
        <v>283</v>
      </c>
      <c r="S238">
        <v>306</v>
      </c>
      <c r="T238">
        <v>255</v>
      </c>
      <c r="U238">
        <v>9.5</v>
      </c>
      <c r="V238" t="s">
        <v>30</v>
      </c>
      <c r="W238" t="s">
        <v>126</v>
      </c>
      <c r="X238" t="s">
        <v>32</v>
      </c>
      <c r="Y238" t="s">
        <v>33</v>
      </c>
    </row>
    <row r="239" spans="1:25" x14ac:dyDescent="0.25">
      <c r="A239">
        <v>2025</v>
      </c>
      <c r="B239" t="s">
        <v>177</v>
      </c>
      <c r="C239" t="s">
        <v>214</v>
      </c>
      <c r="D239" t="s">
        <v>215</v>
      </c>
      <c r="E239" t="s">
        <v>28</v>
      </c>
      <c r="F239" t="s">
        <v>118</v>
      </c>
      <c r="G239">
        <v>116</v>
      </c>
      <c r="H239">
        <v>96</v>
      </c>
      <c r="I239">
        <v>106</v>
      </c>
      <c r="J239">
        <v>750</v>
      </c>
      <c r="K239">
        <v>9</v>
      </c>
      <c r="L239">
        <v>10</v>
      </c>
      <c r="M239">
        <v>5750</v>
      </c>
      <c r="N239" t="s">
        <v>30</v>
      </c>
      <c r="O239">
        <v>0</v>
      </c>
      <c r="P239">
        <v>0</v>
      </c>
      <c r="Q239">
        <v>0</v>
      </c>
      <c r="R239">
        <v>290</v>
      </c>
      <c r="S239">
        <v>314</v>
      </c>
      <c r="T239">
        <v>261</v>
      </c>
      <c r="U239">
        <v>8.1999999999999993</v>
      </c>
      <c r="V239" t="s">
        <v>30</v>
      </c>
      <c r="W239" t="s">
        <v>216</v>
      </c>
      <c r="X239" t="s">
        <v>32</v>
      </c>
      <c r="Y239" t="s">
        <v>33</v>
      </c>
    </row>
    <row r="240" spans="1:25" x14ac:dyDescent="0.25">
      <c r="A240">
        <v>2025</v>
      </c>
      <c r="B240" t="s">
        <v>177</v>
      </c>
      <c r="C240" t="s">
        <v>214</v>
      </c>
      <c r="D240" t="s">
        <v>215</v>
      </c>
      <c r="E240" t="s">
        <v>28</v>
      </c>
      <c r="F240" t="s">
        <v>118</v>
      </c>
      <c r="G240">
        <v>29</v>
      </c>
      <c r="H240">
        <v>35</v>
      </c>
      <c r="I240">
        <v>32</v>
      </c>
      <c r="J240">
        <v>750</v>
      </c>
      <c r="K240">
        <v>9</v>
      </c>
      <c r="L240">
        <v>10</v>
      </c>
      <c r="M240">
        <v>5750</v>
      </c>
      <c r="N240" t="s">
        <v>30</v>
      </c>
      <c r="O240">
        <v>0</v>
      </c>
      <c r="P240">
        <v>0</v>
      </c>
      <c r="Q240">
        <v>0</v>
      </c>
      <c r="R240">
        <v>290</v>
      </c>
      <c r="S240">
        <v>314</v>
      </c>
      <c r="T240">
        <v>261</v>
      </c>
      <c r="U240">
        <v>8.1999999999999993</v>
      </c>
      <c r="V240" t="s">
        <v>30</v>
      </c>
      <c r="W240" t="s">
        <v>216</v>
      </c>
      <c r="X240" t="s">
        <v>32</v>
      </c>
      <c r="Y240" t="s">
        <v>33</v>
      </c>
    </row>
    <row r="241" spans="1:25" x14ac:dyDescent="0.25">
      <c r="A241">
        <v>2025</v>
      </c>
      <c r="B241" t="s">
        <v>177</v>
      </c>
      <c r="C241" t="s">
        <v>214</v>
      </c>
      <c r="D241" t="s">
        <v>217</v>
      </c>
      <c r="E241" t="s">
        <v>46</v>
      </c>
      <c r="F241" t="s">
        <v>115</v>
      </c>
      <c r="G241">
        <v>129</v>
      </c>
      <c r="H241">
        <v>100</v>
      </c>
      <c r="I241">
        <v>114</v>
      </c>
      <c r="J241">
        <v>700</v>
      </c>
      <c r="K241">
        <v>9</v>
      </c>
      <c r="L241">
        <v>10</v>
      </c>
      <c r="M241">
        <v>6000</v>
      </c>
      <c r="N241" t="s">
        <v>30</v>
      </c>
      <c r="O241">
        <v>0</v>
      </c>
      <c r="P241">
        <v>0</v>
      </c>
      <c r="Q241">
        <v>0</v>
      </c>
      <c r="R241">
        <v>318</v>
      </c>
      <c r="S241">
        <v>356</v>
      </c>
      <c r="T241">
        <v>272</v>
      </c>
      <c r="U241">
        <v>9.1</v>
      </c>
      <c r="V241" t="s">
        <v>30</v>
      </c>
      <c r="W241" t="s">
        <v>180</v>
      </c>
      <c r="X241" t="s">
        <v>32</v>
      </c>
      <c r="Y241" t="s">
        <v>33</v>
      </c>
    </row>
    <row r="242" spans="1:25" x14ac:dyDescent="0.25">
      <c r="A242">
        <v>2025</v>
      </c>
      <c r="B242" t="s">
        <v>177</v>
      </c>
      <c r="C242" t="s">
        <v>214</v>
      </c>
      <c r="D242" t="s">
        <v>217</v>
      </c>
      <c r="E242" t="s">
        <v>46</v>
      </c>
      <c r="F242" t="s">
        <v>115</v>
      </c>
      <c r="G242">
        <v>26</v>
      </c>
      <c r="H242">
        <v>34</v>
      </c>
      <c r="I242">
        <v>30</v>
      </c>
      <c r="J242">
        <v>700</v>
      </c>
      <c r="K242">
        <v>9</v>
      </c>
      <c r="L242">
        <v>10</v>
      </c>
      <c r="M242">
        <v>6000</v>
      </c>
      <c r="N242" t="s">
        <v>30</v>
      </c>
      <c r="O242">
        <v>0</v>
      </c>
      <c r="P242">
        <v>0</v>
      </c>
      <c r="Q242">
        <v>0</v>
      </c>
      <c r="R242">
        <v>318</v>
      </c>
      <c r="S242">
        <v>356</v>
      </c>
      <c r="T242">
        <v>272</v>
      </c>
      <c r="U242">
        <v>9.1</v>
      </c>
      <c r="V242" t="s">
        <v>30</v>
      </c>
      <c r="W242" t="s">
        <v>180</v>
      </c>
      <c r="X242" t="s">
        <v>32</v>
      </c>
      <c r="Y242" t="s">
        <v>33</v>
      </c>
    </row>
    <row r="243" spans="1:25" x14ac:dyDescent="0.25">
      <c r="A243">
        <v>2025</v>
      </c>
      <c r="B243" t="s">
        <v>177</v>
      </c>
      <c r="C243" t="s">
        <v>214</v>
      </c>
      <c r="D243" t="s">
        <v>218</v>
      </c>
      <c r="E243" t="s">
        <v>46</v>
      </c>
      <c r="F243" t="s">
        <v>115</v>
      </c>
      <c r="G243">
        <v>131</v>
      </c>
      <c r="H243">
        <v>100</v>
      </c>
      <c r="I243">
        <v>115</v>
      </c>
      <c r="J243">
        <v>700</v>
      </c>
      <c r="K243">
        <v>9</v>
      </c>
      <c r="L243">
        <v>10</v>
      </c>
      <c r="M243">
        <v>6000</v>
      </c>
      <c r="N243" t="s">
        <v>30</v>
      </c>
      <c r="O243">
        <v>0</v>
      </c>
      <c r="P243">
        <v>0</v>
      </c>
      <c r="Q243">
        <v>0</v>
      </c>
      <c r="R243">
        <v>245</v>
      </c>
      <c r="S243">
        <v>274</v>
      </c>
      <c r="T243">
        <v>210</v>
      </c>
      <c r="U243">
        <v>6.3</v>
      </c>
      <c r="V243" t="s">
        <v>30</v>
      </c>
      <c r="W243" t="s">
        <v>219</v>
      </c>
      <c r="X243" t="s">
        <v>32</v>
      </c>
      <c r="Y243" t="s">
        <v>33</v>
      </c>
    </row>
    <row r="244" spans="1:25" x14ac:dyDescent="0.25">
      <c r="A244">
        <v>2025</v>
      </c>
      <c r="B244" t="s">
        <v>177</v>
      </c>
      <c r="C244" t="s">
        <v>214</v>
      </c>
      <c r="D244" t="s">
        <v>218</v>
      </c>
      <c r="E244" t="s">
        <v>46</v>
      </c>
      <c r="F244" t="s">
        <v>115</v>
      </c>
      <c r="G244">
        <v>26</v>
      </c>
      <c r="H244">
        <v>34</v>
      </c>
      <c r="I244">
        <v>29</v>
      </c>
      <c r="J244">
        <v>700</v>
      </c>
      <c r="K244">
        <v>9</v>
      </c>
      <c r="L244">
        <v>10</v>
      </c>
      <c r="M244">
        <v>6000</v>
      </c>
      <c r="N244" t="s">
        <v>30</v>
      </c>
      <c r="O244">
        <v>0</v>
      </c>
      <c r="P244">
        <v>0</v>
      </c>
      <c r="Q244">
        <v>0</v>
      </c>
      <c r="R244">
        <v>245</v>
      </c>
      <c r="S244">
        <v>274</v>
      </c>
      <c r="T244">
        <v>210</v>
      </c>
      <c r="U244">
        <v>6.3</v>
      </c>
      <c r="V244" t="s">
        <v>30</v>
      </c>
      <c r="W244" t="s">
        <v>219</v>
      </c>
      <c r="X244" t="s">
        <v>32</v>
      </c>
      <c r="Y244" t="s">
        <v>33</v>
      </c>
    </row>
    <row r="245" spans="1:25" x14ac:dyDescent="0.25">
      <c r="A245">
        <v>2025</v>
      </c>
      <c r="B245" t="s">
        <v>177</v>
      </c>
      <c r="C245" t="s">
        <v>214</v>
      </c>
      <c r="D245" t="s">
        <v>220</v>
      </c>
      <c r="E245" t="s">
        <v>46</v>
      </c>
      <c r="F245" t="s">
        <v>186</v>
      </c>
      <c r="G245">
        <v>151</v>
      </c>
      <c r="H245">
        <v>120</v>
      </c>
      <c r="I245">
        <v>135</v>
      </c>
      <c r="J245">
        <v>600</v>
      </c>
      <c r="K245">
        <v>10</v>
      </c>
      <c r="L245">
        <v>10</v>
      </c>
      <c r="M245">
        <v>6500</v>
      </c>
      <c r="N245" t="s">
        <v>30</v>
      </c>
      <c r="O245">
        <v>0</v>
      </c>
      <c r="P245">
        <v>0</v>
      </c>
      <c r="Q245">
        <v>0</v>
      </c>
      <c r="R245">
        <v>240</v>
      </c>
      <c r="S245">
        <v>267</v>
      </c>
      <c r="T245">
        <v>207</v>
      </c>
      <c r="U245">
        <v>6.1</v>
      </c>
      <c r="V245" t="s">
        <v>30</v>
      </c>
      <c r="W245" t="s">
        <v>221</v>
      </c>
      <c r="X245" t="s">
        <v>32</v>
      </c>
      <c r="Y245" t="s">
        <v>33</v>
      </c>
    </row>
    <row r="246" spans="1:25" x14ac:dyDescent="0.25">
      <c r="A246">
        <v>2025</v>
      </c>
      <c r="B246" t="s">
        <v>177</v>
      </c>
      <c r="C246" t="s">
        <v>214</v>
      </c>
      <c r="D246" t="s">
        <v>220</v>
      </c>
      <c r="E246" t="s">
        <v>46</v>
      </c>
      <c r="F246" t="s">
        <v>186</v>
      </c>
      <c r="G246">
        <v>22</v>
      </c>
      <c r="H246">
        <v>28</v>
      </c>
      <c r="I246">
        <v>25</v>
      </c>
      <c r="J246">
        <v>600</v>
      </c>
      <c r="K246">
        <v>10</v>
      </c>
      <c r="L246">
        <v>10</v>
      </c>
      <c r="M246">
        <v>6500</v>
      </c>
      <c r="N246" t="s">
        <v>30</v>
      </c>
      <c r="O246">
        <v>0</v>
      </c>
      <c r="P246">
        <v>0</v>
      </c>
      <c r="Q246">
        <v>0</v>
      </c>
      <c r="R246">
        <v>240</v>
      </c>
      <c r="S246">
        <v>267</v>
      </c>
      <c r="T246">
        <v>207</v>
      </c>
      <c r="U246">
        <v>6.1</v>
      </c>
      <c r="V246" t="s">
        <v>30</v>
      </c>
      <c r="W246" t="s">
        <v>221</v>
      </c>
      <c r="X246" t="s">
        <v>32</v>
      </c>
      <c r="Y246" t="s">
        <v>33</v>
      </c>
    </row>
    <row r="247" spans="1:25" x14ac:dyDescent="0.25">
      <c r="A247">
        <v>2025</v>
      </c>
      <c r="B247" t="s">
        <v>177</v>
      </c>
      <c r="C247" t="s">
        <v>214</v>
      </c>
      <c r="D247" t="s">
        <v>222</v>
      </c>
      <c r="E247" t="s">
        <v>46</v>
      </c>
      <c r="F247" t="s">
        <v>186</v>
      </c>
      <c r="G247">
        <v>144</v>
      </c>
      <c r="H247">
        <v>120</v>
      </c>
      <c r="I247">
        <v>132</v>
      </c>
      <c r="J247">
        <v>600</v>
      </c>
      <c r="K247">
        <v>10</v>
      </c>
      <c r="L247">
        <v>10</v>
      </c>
      <c r="M247">
        <v>6500</v>
      </c>
      <c r="N247" t="s">
        <v>30</v>
      </c>
      <c r="O247">
        <v>0</v>
      </c>
      <c r="P247">
        <v>0</v>
      </c>
      <c r="Q247">
        <v>0</v>
      </c>
      <c r="R247">
        <v>342</v>
      </c>
      <c r="S247">
        <v>370</v>
      </c>
      <c r="T247">
        <v>308</v>
      </c>
      <c r="U247">
        <v>7.5</v>
      </c>
      <c r="V247" t="s">
        <v>30</v>
      </c>
      <c r="W247" t="s">
        <v>180</v>
      </c>
      <c r="X247" t="s">
        <v>32</v>
      </c>
      <c r="Y247" t="s">
        <v>33</v>
      </c>
    </row>
    <row r="248" spans="1:25" x14ac:dyDescent="0.25">
      <c r="A248">
        <v>2025</v>
      </c>
      <c r="B248" t="s">
        <v>177</v>
      </c>
      <c r="C248" t="s">
        <v>214</v>
      </c>
      <c r="D248" t="s">
        <v>222</v>
      </c>
      <c r="E248" t="s">
        <v>46</v>
      </c>
      <c r="F248" t="s">
        <v>186</v>
      </c>
      <c r="G248">
        <v>23</v>
      </c>
      <c r="H248">
        <v>28</v>
      </c>
      <c r="I248">
        <v>26</v>
      </c>
      <c r="J248">
        <v>600</v>
      </c>
      <c r="K248">
        <v>10</v>
      </c>
      <c r="L248">
        <v>10</v>
      </c>
      <c r="M248">
        <v>6500</v>
      </c>
      <c r="N248" t="s">
        <v>30</v>
      </c>
      <c r="O248">
        <v>0</v>
      </c>
      <c r="P248">
        <v>0</v>
      </c>
      <c r="Q248">
        <v>0</v>
      </c>
      <c r="R248">
        <v>342</v>
      </c>
      <c r="S248">
        <v>370</v>
      </c>
      <c r="T248">
        <v>308</v>
      </c>
      <c r="U248">
        <v>7.5</v>
      </c>
      <c r="V248" t="s">
        <v>30</v>
      </c>
      <c r="W248" t="s">
        <v>180</v>
      </c>
      <c r="X248" t="s">
        <v>32</v>
      </c>
      <c r="Y248" t="s">
        <v>33</v>
      </c>
    </row>
    <row r="249" spans="1:25" x14ac:dyDescent="0.25">
      <c r="A249">
        <v>2025</v>
      </c>
      <c r="B249" t="s">
        <v>177</v>
      </c>
      <c r="C249" t="s">
        <v>214</v>
      </c>
      <c r="D249" t="s">
        <v>223</v>
      </c>
      <c r="E249" t="s">
        <v>46</v>
      </c>
      <c r="F249" t="s">
        <v>186</v>
      </c>
      <c r="G249">
        <v>123</v>
      </c>
      <c r="H249">
        <v>100</v>
      </c>
      <c r="I249">
        <v>111</v>
      </c>
      <c r="J249">
        <v>700</v>
      </c>
      <c r="K249">
        <v>9</v>
      </c>
      <c r="L249">
        <v>10</v>
      </c>
      <c r="M249">
        <v>6000</v>
      </c>
      <c r="N249" t="s">
        <v>30</v>
      </c>
      <c r="O249">
        <v>0</v>
      </c>
      <c r="P249">
        <v>0</v>
      </c>
      <c r="Q249">
        <v>0</v>
      </c>
      <c r="R249">
        <v>291</v>
      </c>
      <c r="S249">
        <v>321</v>
      </c>
      <c r="T249">
        <v>254</v>
      </c>
      <c r="U249">
        <v>7.5</v>
      </c>
      <c r="V249" t="s">
        <v>30</v>
      </c>
      <c r="W249" t="s">
        <v>180</v>
      </c>
      <c r="X249" t="s">
        <v>32</v>
      </c>
      <c r="Y249" t="s">
        <v>33</v>
      </c>
    </row>
    <row r="250" spans="1:25" x14ac:dyDescent="0.25">
      <c r="A250">
        <v>2025</v>
      </c>
      <c r="B250" t="s">
        <v>177</v>
      </c>
      <c r="C250" t="s">
        <v>214</v>
      </c>
      <c r="D250" t="s">
        <v>223</v>
      </c>
      <c r="E250" t="s">
        <v>46</v>
      </c>
      <c r="F250" t="s">
        <v>186</v>
      </c>
      <c r="G250">
        <v>27</v>
      </c>
      <c r="H250">
        <v>34</v>
      </c>
      <c r="I250">
        <v>30</v>
      </c>
      <c r="J250">
        <v>700</v>
      </c>
      <c r="K250">
        <v>9</v>
      </c>
      <c r="L250">
        <v>10</v>
      </c>
      <c r="M250">
        <v>6000</v>
      </c>
      <c r="N250" t="s">
        <v>30</v>
      </c>
      <c r="O250">
        <v>0</v>
      </c>
      <c r="P250">
        <v>0</v>
      </c>
      <c r="Q250">
        <v>0</v>
      </c>
      <c r="R250">
        <v>291</v>
      </c>
      <c r="S250">
        <v>321</v>
      </c>
      <c r="T250">
        <v>254</v>
      </c>
      <c r="U250">
        <v>7.5</v>
      </c>
      <c r="V250" t="s">
        <v>30</v>
      </c>
      <c r="W250" t="s">
        <v>180</v>
      </c>
      <c r="X250" t="s">
        <v>32</v>
      </c>
      <c r="Y250" t="s">
        <v>33</v>
      </c>
    </row>
    <row r="251" spans="1:25" x14ac:dyDescent="0.25">
      <c r="A251">
        <v>2025</v>
      </c>
      <c r="B251" t="s">
        <v>177</v>
      </c>
      <c r="C251" t="s">
        <v>214</v>
      </c>
      <c r="D251" t="s">
        <v>224</v>
      </c>
      <c r="E251" t="s">
        <v>28</v>
      </c>
      <c r="F251" t="s">
        <v>186</v>
      </c>
      <c r="G251">
        <v>130</v>
      </c>
      <c r="H251">
        <v>111</v>
      </c>
      <c r="I251">
        <v>121</v>
      </c>
      <c r="J251">
        <v>650</v>
      </c>
      <c r="K251">
        <v>10</v>
      </c>
      <c r="L251">
        <v>10</v>
      </c>
      <c r="M251">
        <v>6250</v>
      </c>
      <c r="N251" t="s">
        <v>30</v>
      </c>
      <c r="O251">
        <v>0</v>
      </c>
      <c r="P251">
        <v>0</v>
      </c>
      <c r="Q251">
        <v>0</v>
      </c>
      <c r="R251">
        <v>316</v>
      </c>
      <c r="S251">
        <v>334</v>
      </c>
      <c r="T251">
        <v>294</v>
      </c>
      <c r="U251">
        <v>7.5</v>
      </c>
      <c r="V251" t="s">
        <v>30</v>
      </c>
      <c r="W251" t="s">
        <v>216</v>
      </c>
      <c r="X251" t="s">
        <v>32</v>
      </c>
      <c r="Y251" t="s">
        <v>33</v>
      </c>
    </row>
    <row r="252" spans="1:25" x14ac:dyDescent="0.25">
      <c r="A252">
        <v>2025</v>
      </c>
      <c r="B252" t="s">
        <v>177</v>
      </c>
      <c r="C252" t="s">
        <v>214</v>
      </c>
      <c r="D252" t="s">
        <v>224</v>
      </c>
      <c r="E252" t="s">
        <v>28</v>
      </c>
      <c r="F252" t="s">
        <v>186</v>
      </c>
      <c r="G252">
        <v>26</v>
      </c>
      <c r="H252">
        <v>30</v>
      </c>
      <c r="I252">
        <v>28</v>
      </c>
      <c r="J252">
        <v>650</v>
      </c>
      <c r="K252">
        <v>10</v>
      </c>
      <c r="L252">
        <v>10</v>
      </c>
      <c r="M252">
        <v>6250</v>
      </c>
      <c r="N252" t="s">
        <v>30</v>
      </c>
      <c r="O252">
        <v>0</v>
      </c>
      <c r="P252">
        <v>0</v>
      </c>
      <c r="Q252">
        <v>0</v>
      </c>
      <c r="R252">
        <v>316</v>
      </c>
      <c r="S252">
        <v>334</v>
      </c>
      <c r="T252">
        <v>294</v>
      </c>
      <c r="U252">
        <v>7.5</v>
      </c>
      <c r="V252" t="s">
        <v>30</v>
      </c>
      <c r="W252" t="s">
        <v>216</v>
      </c>
      <c r="X252" t="s">
        <v>32</v>
      </c>
      <c r="Y252" t="s">
        <v>33</v>
      </c>
    </row>
    <row r="253" spans="1:25" x14ac:dyDescent="0.25">
      <c r="A253">
        <v>2025</v>
      </c>
      <c r="B253" t="s">
        <v>177</v>
      </c>
      <c r="C253" t="s">
        <v>214</v>
      </c>
      <c r="D253" t="s">
        <v>225</v>
      </c>
      <c r="E253" t="s">
        <v>28</v>
      </c>
      <c r="F253" t="s">
        <v>186</v>
      </c>
      <c r="G253">
        <v>111</v>
      </c>
      <c r="H253">
        <v>94</v>
      </c>
      <c r="I253">
        <v>103</v>
      </c>
      <c r="J253">
        <v>800</v>
      </c>
      <c r="K253">
        <v>9</v>
      </c>
      <c r="L253">
        <v>10</v>
      </c>
      <c r="M253">
        <v>5500</v>
      </c>
      <c r="N253" t="s">
        <v>30</v>
      </c>
      <c r="O253">
        <v>0</v>
      </c>
      <c r="P253">
        <v>0</v>
      </c>
      <c r="Q253">
        <v>0</v>
      </c>
      <c r="R253">
        <v>270</v>
      </c>
      <c r="S253">
        <v>286</v>
      </c>
      <c r="T253">
        <v>250</v>
      </c>
      <c r="U253">
        <v>7.5</v>
      </c>
      <c r="V253" t="s">
        <v>30</v>
      </c>
      <c r="W253" t="s">
        <v>216</v>
      </c>
      <c r="X253" t="s">
        <v>32</v>
      </c>
      <c r="Y253" t="s">
        <v>33</v>
      </c>
    </row>
    <row r="254" spans="1:25" x14ac:dyDescent="0.25">
      <c r="A254">
        <v>2025</v>
      </c>
      <c r="B254" t="s">
        <v>177</v>
      </c>
      <c r="C254" t="s">
        <v>214</v>
      </c>
      <c r="D254" t="s">
        <v>225</v>
      </c>
      <c r="E254" t="s">
        <v>28</v>
      </c>
      <c r="F254" t="s">
        <v>186</v>
      </c>
      <c r="G254">
        <v>31</v>
      </c>
      <c r="H254">
        <v>36</v>
      </c>
      <c r="I254">
        <v>33</v>
      </c>
      <c r="J254">
        <v>800</v>
      </c>
      <c r="K254">
        <v>9</v>
      </c>
      <c r="L254">
        <v>10</v>
      </c>
      <c r="M254">
        <v>5500</v>
      </c>
      <c r="N254" t="s">
        <v>30</v>
      </c>
      <c r="O254">
        <v>0</v>
      </c>
      <c r="P254">
        <v>0</v>
      </c>
      <c r="Q254">
        <v>0</v>
      </c>
      <c r="R254">
        <v>270</v>
      </c>
      <c r="S254">
        <v>286</v>
      </c>
      <c r="T254">
        <v>250</v>
      </c>
      <c r="U254">
        <v>7.5</v>
      </c>
      <c r="V254" t="s">
        <v>30</v>
      </c>
      <c r="W254" t="s">
        <v>216</v>
      </c>
      <c r="X254" t="s">
        <v>32</v>
      </c>
      <c r="Y254" t="s">
        <v>33</v>
      </c>
    </row>
    <row r="255" spans="1:25" x14ac:dyDescent="0.25">
      <c r="A255">
        <v>2025</v>
      </c>
      <c r="B255" t="s">
        <v>177</v>
      </c>
      <c r="C255" t="s">
        <v>214</v>
      </c>
      <c r="D255" t="s">
        <v>226</v>
      </c>
      <c r="E255" t="s">
        <v>128</v>
      </c>
      <c r="F255" t="s">
        <v>115</v>
      </c>
      <c r="G255">
        <v>131</v>
      </c>
      <c r="H255">
        <v>105</v>
      </c>
      <c r="I255">
        <v>118</v>
      </c>
      <c r="J255">
        <v>700</v>
      </c>
      <c r="K255">
        <v>9</v>
      </c>
      <c r="L255">
        <v>10</v>
      </c>
      <c r="M255">
        <v>6000</v>
      </c>
      <c r="N255" t="s">
        <v>30</v>
      </c>
      <c r="O255">
        <v>0</v>
      </c>
      <c r="P255">
        <v>0</v>
      </c>
      <c r="Q255">
        <v>0</v>
      </c>
      <c r="R255">
        <v>200</v>
      </c>
      <c r="S255">
        <v>220</v>
      </c>
      <c r="T255">
        <v>176</v>
      </c>
      <c r="U255">
        <v>5.0999999999999996</v>
      </c>
      <c r="V255" t="s">
        <v>30</v>
      </c>
      <c r="W255" t="s">
        <v>227</v>
      </c>
      <c r="X255" t="s">
        <v>32</v>
      </c>
      <c r="Y255" t="s">
        <v>33</v>
      </c>
    </row>
    <row r="256" spans="1:25" x14ac:dyDescent="0.25">
      <c r="A256">
        <v>2025</v>
      </c>
      <c r="B256" t="s">
        <v>177</v>
      </c>
      <c r="C256" t="s">
        <v>214</v>
      </c>
      <c r="D256" t="s">
        <v>226</v>
      </c>
      <c r="E256" t="s">
        <v>128</v>
      </c>
      <c r="F256" t="s">
        <v>115</v>
      </c>
      <c r="G256">
        <v>26</v>
      </c>
      <c r="H256">
        <v>32</v>
      </c>
      <c r="I256">
        <v>29</v>
      </c>
      <c r="J256">
        <v>700</v>
      </c>
      <c r="K256">
        <v>9</v>
      </c>
      <c r="L256">
        <v>10</v>
      </c>
      <c r="M256">
        <v>6000</v>
      </c>
      <c r="N256" t="s">
        <v>30</v>
      </c>
      <c r="O256">
        <v>0</v>
      </c>
      <c r="P256">
        <v>0</v>
      </c>
      <c r="Q256">
        <v>0</v>
      </c>
      <c r="R256">
        <v>200</v>
      </c>
      <c r="S256">
        <v>220</v>
      </c>
      <c r="T256">
        <v>176</v>
      </c>
      <c r="U256">
        <v>5.0999999999999996</v>
      </c>
      <c r="V256" t="s">
        <v>30</v>
      </c>
      <c r="W256" t="s">
        <v>227</v>
      </c>
      <c r="X256" t="s">
        <v>32</v>
      </c>
      <c r="Y256" t="s">
        <v>33</v>
      </c>
    </row>
    <row r="257" spans="1:25" x14ac:dyDescent="0.25">
      <c r="A257">
        <v>2025</v>
      </c>
      <c r="B257" t="s">
        <v>177</v>
      </c>
      <c r="C257" t="s">
        <v>214</v>
      </c>
      <c r="D257" t="s">
        <v>228</v>
      </c>
      <c r="E257" t="s">
        <v>128</v>
      </c>
      <c r="F257" t="s">
        <v>115</v>
      </c>
      <c r="G257">
        <v>129</v>
      </c>
      <c r="H257">
        <v>103</v>
      </c>
      <c r="I257">
        <v>116</v>
      </c>
      <c r="J257">
        <v>700</v>
      </c>
      <c r="K257">
        <v>9</v>
      </c>
      <c r="L257">
        <v>10</v>
      </c>
      <c r="M257">
        <v>6000</v>
      </c>
      <c r="N257" t="s">
        <v>30</v>
      </c>
      <c r="O257">
        <v>0</v>
      </c>
      <c r="P257">
        <v>0</v>
      </c>
      <c r="Q257">
        <v>0</v>
      </c>
      <c r="R257">
        <v>261</v>
      </c>
      <c r="S257">
        <v>287</v>
      </c>
      <c r="T257">
        <v>230</v>
      </c>
      <c r="U257">
        <v>6.7</v>
      </c>
      <c r="V257" t="s">
        <v>30</v>
      </c>
      <c r="W257" t="s">
        <v>209</v>
      </c>
      <c r="X257" t="s">
        <v>32</v>
      </c>
      <c r="Y257" t="s">
        <v>33</v>
      </c>
    </row>
    <row r="258" spans="1:25" x14ac:dyDescent="0.25">
      <c r="A258">
        <v>2025</v>
      </c>
      <c r="B258" t="s">
        <v>177</v>
      </c>
      <c r="C258" t="s">
        <v>214</v>
      </c>
      <c r="D258" t="s">
        <v>228</v>
      </c>
      <c r="E258" t="s">
        <v>128</v>
      </c>
      <c r="F258" t="s">
        <v>115</v>
      </c>
      <c r="G258">
        <v>26</v>
      </c>
      <c r="H258">
        <v>33</v>
      </c>
      <c r="I258">
        <v>29</v>
      </c>
      <c r="J258">
        <v>700</v>
      </c>
      <c r="K258">
        <v>9</v>
      </c>
      <c r="L258">
        <v>10</v>
      </c>
      <c r="M258">
        <v>6000</v>
      </c>
      <c r="N258" t="s">
        <v>30</v>
      </c>
      <c r="O258">
        <v>0</v>
      </c>
      <c r="P258">
        <v>0</v>
      </c>
      <c r="Q258">
        <v>0</v>
      </c>
      <c r="R258">
        <v>261</v>
      </c>
      <c r="S258">
        <v>287</v>
      </c>
      <c r="T258">
        <v>230</v>
      </c>
      <c r="U258">
        <v>6.7</v>
      </c>
      <c r="V258" t="s">
        <v>30</v>
      </c>
      <c r="W258" t="s">
        <v>209</v>
      </c>
      <c r="X258" t="s">
        <v>32</v>
      </c>
      <c r="Y258" t="s">
        <v>33</v>
      </c>
    </row>
    <row r="259" spans="1:25" x14ac:dyDescent="0.25">
      <c r="A259">
        <v>2025</v>
      </c>
      <c r="B259" t="s">
        <v>177</v>
      </c>
      <c r="C259" t="s">
        <v>214</v>
      </c>
      <c r="D259" t="s">
        <v>229</v>
      </c>
      <c r="E259" t="s">
        <v>28</v>
      </c>
      <c r="F259" t="s">
        <v>118</v>
      </c>
      <c r="G259">
        <v>84</v>
      </c>
      <c r="H259">
        <v>72</v>
      </c>
      <c r="I259">
        <v>78</v>
      </c>
      <c r="J259">
        <v>1050</v>
      </c>
      <c r="K259">
        <v>9</v>
      </c>
      <c r="L259">
        <v>10</v>
      </c>
      <c r="M259">
        <v>4250</v>
      </c>
      <c r="N259" t="s">
        <v>30</v>
      </c>
      <c r="O259">
        <v>0</v>
      </c>
      <c r="P259">
        <v>0</v>
      </c>
      <c r="Q259">
        <v>0</v>
      </c>
      <c r="R259">
        <v>221</v>
      </c>
      <c r="S259">
        <v>237</v>
      </c>
      <c r="T259">
        <v>202</v>
      </c>
      <c r="U259">
        <v>8.6999999999999993</v>
      </c>
      <c r="V259" t="s">
        <v>30</v>
      </c>
      <c r="W259" t="s">
        <v>230</v>
      </c>
      <c r="X259" t="s">
        <v>32</v>
      </c>
      <c r="Y259" t="s">
        <v>33</v>
      </c>
    </row>
    <row r="260" spans="1:25" x14ac:dyDescent="0.25">
      <c r="A260">
        <v>2025</v>
      </c>
      <c r="B260" t="s">
        <v>177</v>
      </c>
      <c r="C260" t="s">
        <v>214</v>
      </c>
      <c r="D260" t="s">
        <v>229</v>
      </c>
      <c r="E260" t="s">
        <v>28</v>
      </c>
      <c r="F260" t="s">
        <v>118</v>
      </c>
      <c r="G260">
        <v>40</v>
      </c>
      <c r="H260">
        <v>47</v>
      </c>
      <c r="I260">
        <v>43</v>
      </c>
      <c r="J260">
        <v>1050</v>
      </c>
      <c r="K260">
        <v>9</v>
      </c>
      <c r="L260">
        <v>10</v>
      </c>
      <c r="M260">
        <v>4250</v>
      </c>
      <c r="N260" t="s">
        <v>30</v>
      </c>
      <c r="O260">
        <v>0</v>
      </c>
      <c r="P260">
        <v>0</v>
      </c>
      <c r="Q260">
        <v>0</v>
      </c>
      <c r="R260">
        <v>221</v>
      </c>
      <c r="S260">
        <v>237</v>
      </c>
      <c r="T260">
        <v>202</v>
      </c>
      <c r="U260">
        <v>8.6999999999999993</v>
      </c>
      <c r="V260" t="s">
        <v>30</v>
      </c>
      <c r="W260" t="s">
        <v>230</v>
      </c>
      <c r="X260" t="s">
        <v>32</v>
      </c>
      <c r="Y260" t="s">
        <v>33</v>
      </c>
    </row>
    <row r="261" spans="1:25" x14ac:dyDescent="0.25">
      <c r="A261">
        <v>2025</v>
      </c>
      <c r="B261" t="s">
        <v>177</v>
      </c>
      <c r="C261" t="s">
        <v>214</v>
      </c>
      <c r="D261" t="s">
        <v>231</v>
      </c>
      <c r="E261" t="s">
        <v>128</v>
      </c>
      <c r="F261" t="s">
        <v>115</v>
      </c>
      <c r="G261">
        <v>113</v>
      </c>
      <c r="H261">
        <v>93</v>
      </c>
      <c r="I261">
        <v>103</v>
      </c>
      <c r="J261">
        <v>800</v>
      </c>
      <c r="K261">
        <v>9</v>
      </c>
      <c r="L261">
        <v>10</v>
      </c>
      <c r="M261">
        <v>5500</v>
      </c>
      <c r="N261" t="s">
        <v>30</v>
      </c>
      <c r="O261">
        <v>0</v>
      </c>
      <c r="P261">
        <v>0</v>
      </c>
      <c r="Q261">
        <v>0</v>
      </c>
      <c r="R261">
        <v>230</v>
      </c>
      <c r="S261">
        <v>249</v>
      </c>
      <c r="T261">
        <v>207</v>
      </c>
      <c r="U261">
        <v>6.9</v>
      </c>
      <c r="V261" t="s">
        <v>30</v>
      </c>
      <c r="W261" t="s">
        <v>209</v>
      </c>
      <c r="X261" t="s">
        <v>32</v>
      </c>
      <c r="Y261" t="s">
        <v>33</v>
      </c>
    </row>
    <row r="262" spans="1:25" x14ac:dyDescent="0.25">
      <c r="A262">
        <v>2025</v>
      </c>
      <c r="B262" t="s">
        <v>177</v>
      </c>
      <c r="C262" t="s">
        <v>214</v>
      </c>
      <c r="D262" t="s">
        <v>231</v>
      </c>
      <c r="E262" t="s">
        <v>128</v>
      </c>
      <c r="F262" t="s">
        <v>115</v>
      </c>
      <c r="G262">
        <v>28</v>
      </c>
      <c r="H262">
        <v>34</v>
      </c>
      <c r="I262">
        <v>31</v>
      </c>
      <c r="J262">
        <v>800</v>
      </c>
      <c r="K262">
        <v>9</v>
      </c>
      <c r="L262">
        <v>10</v>
      </c>
      <c r="M262">
        <v>5500</v>
      </c>
      <c r="N262" t="s">
        <v>30</v>
      </c>
      <c r="O262">
        <v>0</v>
      </c>
      <c r="P262">
        <v>0</v>
      </c>
      <c r="Q262">
        <v>0</v>
      </c>
      <c r="R262">
        <v>230</v>
      </c>
      <c r="S262">
        <v>249</v>
      </c>
      <c r="T262">
        <v>207</v>
      </c>
      <c r="U262">
        <v>6.9</v>
      </c>
      <c r="V262" t="s">
        <v>30</v>
      </c>
      <c r="W262" t="s">
        <v>209</v>
      </c>
      <c r="X262" t="s">
        <v>32</v>
      </c>
      <c r="Y262" t="s">
        <v>33</v>
      </c>
    </row>
    <row r="263" spans="1:25" x14ac:dyDescent="0.25">
      <c r="A263">
        <v>2025</v>
      </c>
      <c r="B263" t="s">
        <v>177</v>
      </c>
      <c r="C263" t="s">
        <v>214</v>
      </c>
      <c r="D263" t="s">
        <v>232</v>
      </c>
      <c r="E263" t="s">
        <v>46</v>
      </c>
      <c r="F263" t="s">
        <v>115</v>
      </c>
      <c r="G263">
        <v>73</v>
      </c>
      <c r="H263">
        <v>69</v>
      </c>
      <c r="I263">
        <v>71</v>
      </c>
      <c r="J263">
        <v>1150</v>
      </c>
      <c r="K263">
        <v>9</v>
      </c>
      <c r="L263">
        <v>10</v>
      </c>
      <c r="M263">
        <v>3750</v>
      </c>
      <c r="N263" t="s">
        <v>30</v>
      </c>
      <c r="O263">
        <v>0</v>
      </c>
      <c r="P263">
        <v>0</v>
      </c>
      <c r="Q263">
        <v>0</v>
      </c>
      <c r="R263">
        <v>168</v>
      </c>
      <c r="S263">
        <v>172</v>
      </c>
      <c r="T263">
        <v>163</v>
      </c>
      <c r="U263">
        <v>10.3</v>
      </c>
      <c r="V263" t="s">
        <v>30</v>
      </c>
      <c r="W263" t="s">
        <v>180</v>
      </c>
      <c r="X263" t="s">
        <v>32</v>
      </c>
      <c r="Y263" t="s">
        <v>33</v>
      </c>
    </row>
    <row r="264" spans="1:25" x14ac:dyDescent="0.25">
      <c r="A264">
        <v>2025</v>
      </c>
      <c r="B264" t="s">
        <v>177</v>
      </c>
      <c r="C264" t="s">
        <v>214</v>
      </c>
      <c r="D264" t="s">
        <v>232</v>
      </c>
      <c r="E264" t="s">
        <v>46</v>
      </c>
      <c r="F264" t="s">
        <v>115</v>
      </c>
      <c r="G264">
        <v>46</v>
      </c>
      <c r="H264">
        <v>49</v>
      </c>
      <c r="I264">
        <v>48</v>
      </c>
      <c r="J264">
        <v>1150</v>
      </c>
      <c r="K264">
        <v>9</v>
      </c>
      <c r="L264">
        <v>10</v>
      </c>
      <c r="M264">
        <v>3750</v>
      </c>
      <c r="N264" t="s">
        <v>30</v>
      </c>
      <c r="O264">
        <v>0</v>
      </c>
      <c r="P264">
        <v>0</v>
      </c>
      <c r="Q264">
        <v>0</v>
      </c>
      <c r="R264">
        <v>168</v>
      </c>
      <c r="S264">
        <v>172</v>
      </c>
      <c r="T264">
        <v>163</v>
      </c>
      <c r="U264">
        <v>10.3</v>
      </c>
      <c r="V264" t="s">
        <v>30</v>
      </c>
      <c r="W264" t="s">
        <v>180</v>
      </c>
      <c r="X264" t="s">
        <v>32</v>
      </c>
      <c r="Y264" t="s">
        <v>33</v>
      </c>
    </row>
    <row r="265" spans="1:25" x14ac:dyDescent="0.25">
      <c r="A265">
        <v>2025</v>
      </c>
      <c r="B265" t="s">
        <v>177</v>
      </c>
      <c r="C265" t="s">
        <v>214</v>
      </c>
      <c r="D265" t="s">
        <v>233</v>
      </c>
      <c r="E265" t="s">
        <v>28</v>
      </c>
      <c r="F265" t="s">
        <v>118</v>
      </c>
      <c r="G265">
        <v>103</v>
      </c>
      <c r="H265">
        <v>85</v>
      </c>
      <c r="I265">
        <v>94</v>
      </c>
      <c r="J265">
        <v>850</v>
      </c>
      <c r="K265">
        <v>9</v>
      </c>
      <c r="L265">
        <v>10</v>
      </c>
      <c r="M265">
        <v>5250</v>
      </c>
      <c r="N265" t="s">
        <v>30</v>
      </c>
      <c r="O265">
        <v>0</v>
      </c>
      <c r="P265">
        <v>0</v>
      </c>
      <c r="Q265">
        <v>0</v>
      </c>
      <c r="R265">
        <v>259</v>
      </c>
      <c r="S265">
        <v>281</v>
      </c>
      <c r="T265">
        <v>232</v>
      </c>
      <c r="U265">
        <v>8.1999999999999993</v>
      </c>
      <c r="V265" t="s">
        <v>30</v>
      </c>
      <c r="W265" t="s">
        <v>216</v>
      </c>
      <c r="X265" t="s">
        <v>32</v>
      </c>
      <c r="Y265" t="s">
        <v>33</v>
      </c>
    </row>
    <row r="266" spans="1:25" x14ac:dyDescent="0.25">
      <c r="A266">
        <v>2025</v>
      </c>
      <c r="B266" t="s">
        <v>177</v>
      </c>
      <c r="C266" t="s">
        <v>214</v>
      </c>
      <c r="D266" t="s">
        <v>233</v>
      </c>
      <c r="E266" t="s">
        <v>28</v>
      </c>
      <c r="F266" t="s">
        <v>118</v>
      </c>
      <c r="G266">
        <v>33</v>
      </c>
      <c r="H266">
        <v>40</v>
      </c>
      <c r="I266">
        <v>36</v>
      </c>
      <c r="J266">
        <v>850</v>
      </c>
      <c r="K266">
        <v>9</v>
      </c>
      <c r="L266">
        <v>10</v>
      </c>
      <c r="M266">
        <v>5250</v>
      </c>
      <c r="N266" t="s">
        <v>30</v>
      </c>
      <c r="O266">
        <v>0</v>
      </c>
      <c r="P266">
        <v>0</v>
      </c>
      <c r="Q266">
        <v>0</v>
      </c>
      <c r="R266">
        <v>259</v>
      </c>
      <c r="S266">
        <v>281</v>
      </c>
      <c r="T266">
        <v>232</v>
      </c>
      <c r="U266">
        <v>8.1999999999999993</v>
      </c>
      <c r="V266" t="s">
        <v>30</v>
      </c>
      <c r="W266" t="s">
        <v>216</v>
      </c>
      <c r="X266" t="s">
        <v>32</v>
      </c>
      <c r="Y266" t="s">
        <v>33</v>
      </c>
    </row>
    <row r="267" spans="1:25" x14ac:dyDescent="0.25">
      <c r="A267">
        <v>2025</v>
      </c>
      <c r="B267" t="s">
        <v>177</v>
      </c>
      <c r="C267" t="s">
        <v>214</v>
      </c>
      <c r="D267" t="s">
        <v>234</v>
      </c>
      <c r="E267" t="s">
        <v>28</v>
      </c>
      <c r="F267" t="s">
        <v>118</v>
      </c>
      <c r="G267">
        <v>108</v>
      </c>
      <c r="H267">
        <v>88</v>
      </c>
      <c r="I267">
        <v>98</v>
      </c>
      <c r="J267">
        <v>850</v>
      </c>
      <c r="K267">
        <v>9</v>
      </c>
      <c r="L267">
        <v>10</v>
      </c>
      <c r="M267">
        <v>5250</v>
      </c>
      <c r="N267" t="s">
        <v>30</v>
      </c>
      <c r="O267">
        <v>0</v>
      </c>
      <c r="P267">
        <v>0</v>
      </c>
      <c r="Q267">
        <v>0</v>
      </c>
      <c r="R267">
        <v>269</v>
      </c>
      <c r="S267">
        <v>294</v>
      </c>
      <c r="T267">
        <v>238</v>
      </c>
      <c r="U267">
        <v>8.1999999999999993</v>
      </c>
      <c r="V267" t="s">
        <v>30</v>
      </c>
      <c r="W267" t="s">
        <v>216</v>
      </c>
      <c r="X267" t="s">
        <v>32</v>
      </c>
      <c r="Y267" t="s">
        <v>33</v>
      </c>
    </row>
    <row r="268" spans="1:25" x14ac:dyDescent="0.25">
      <c r="A268">
        <v>2025</v>
      </c>
      <c r="B268" t="s">
        <v>177</v>
      </c>
      <c r="C268" t="s">
        <v>214</v>
      </c>
      <c r="D268" t="s">
        <v>234</v>
      </c>
      <c r="E268" t="s">
        <v>28</v>
      </c>
      <c r="F268" t="s">
        <v>118</v>
      </c>
      <c r="G268">
        <v>31</v>
      </c>
      <c r="H268">
        <v>39</v>
      </c>
      <c r="I268">
        <v>34</v>
      </c>
      <c r="J268">
        <v>850</v>
      </c>
      <c r="K268">
        <v>9</v>
      </c>
      <c r="L268">
        <v>10</v>
      </c>
      <c r="M268">
        <v>5250</v>
      </c>
      <c r="N268" t="s">
        <v>30</v>
      </c>
      <c r="O268">
        <v>0</v>
      </c>
      <c r="P268">
        <v>0</v>
      </c>
      <c r="Q268">
        <v>0</v>
      </c>
      <c r="R268">
        <v>269</v>
      </c>
      <c r="S268">
        <v>294</v>
      </c>
      <c r="T268">
        <v>238</v>
      </c>
      <c r="U268">
        <v>8.1999999999999993</v>
      </c>
      <c r="V268" t="s">
        <v>30</v>
      </c>
      <c r="W268" t="s">
        <v>216</v>
      </c>
      <c r="X268" t="s">
        <v>32</v>
      </c>
      <c r="Y268" t="s">
        <v>33</v>
      </c>
    </row>
    <row r="269" spans="1:25" x14ac:dyDescent="0.25">
      <c r="A269">
        <v>2025</v>
      </c>
      <c r="B269" t="s">
        <v>143</v>
      </c>
      <c r="C269" t="s">
        <v>235</v>
      </c>
      <c r="D269" t="s">
        <v>236</v>
      </c>
      <c r="E269" t="s">
        <v>28</v>
      </c>
      <c r="F269" t="s">
        <v>29</v>
      </c>
      <c r="G269">
        <v>100</v>
      </c>
      <c r="H269">
        <v>85</v>
      </c>
      <c r="I269">
        <v>93</v>
      </c>
      <c r="J269">
        <v>850</v>
      </c>
      <c r="K269">
        <v>9</v>
      </c>
      <c r="L269">
        <v>10</v>
      </c>
      <c r="M269">
        <v>5250</v>
      </c>
      <c r="N269" t="s">
        <v>30</v>
      </c>
      <c r="O269">
        <v>0</v>
      </c>
      <c r="P269">
        <v>0</v>
      </c>
      <c r="Q269">
        <v>0</v>
      </c>
      <c r="R269">
        <v>294</v>
      </c>
      <c r="S269">
        <v>315</v>
      </c>
      <c r="T269">
        <v>268</v>
      </c>
      <c r="U269">
        <v>9.9</v>
      </c>
      <c r="V269" t="s">
        <v>30</v>
      </c>
      <c r="W269" t="s">
        <v>76</v>
      </c>
      <c r="X269" t="s">
        <v>32</v>
      </c>
      <c r="Y269" t="s">
        <v>33</v>
      </c>
    </row>
    <row r="270" spans="1:25" x14ac:dyDescent="0.25">
      <c r="A270">
        <v>2025</v>
      </c>
      <c r="B270" t="s">
        <v>143</v>
      </c>
      <c r="C270" t="s">
        <v>235</v>
      </c>
      <c r="D270" t="s">
        <v>236</v>
      </c>
      <c r="E270" t="s">
        <v>28</v>
      </c>
      <c r="F270" t="s">
        <v>29</v>
      </c>
      <c r="G270">
        <v>34</v>
      </c>
      <c r="H270">
        <v>39</v>
      </c>
      <c r="I270">
        <v>36</v>
      </c>
      <c r="J270">
        <v>850</v>
      </c>
      <c r="K270">
        <v>9</v>
      </c>
      <c r="L270">
        <v>10</v>
      </c>
      <c r="M270">
        <v>5250</v>
      </c>
      <c r="N270" t="s">
        <v>30</v>
      </c>
      <c r="O270">
        <v>0</v>
      </c>
      <c r="P270">
        <v>0</v>
      </c>
      <c r="Q270">
        <v>0</v>
      </c>
      <c r="R270">
        <v>294</v>
      </c>
      <c r="S270">
        <v>315</v>
      </c>
      <c r="T270">
        <v>268</v>
      </c>
      <c r="U270">
        <v>9.9</v>
      </c>
      <c r="V270" t="s">
        <v>30</v>
      </c>
      <c r="W270" t="s">
        <v>76</v>
      </c>
      <c r="X270" t="s">
        <v>32</v>
      </c>
      <c r="Y270" t="s">
        <v>33</v>
      </c>
    </row>
    <row r="271" spans="1:25" x14ac:dyDescent="0.25">
      <c r="A271">
        <v>2025</v>
      </c>
      <c r="B271" t="s">
        <v>143</v>
      </c>
      <c r="C271" t="s">
        <v>235</v>
      </c>
      <c r="D271" t="s">
        <v>237</v>
      </c>
      <c r="E271" t="s">
        <v>28</v>
      </c>
      <c r="F271" t="s">
        <v>29</v>
      </c>
      <c r="G271">
        <v>90</v>
      </c>
      <c r="H271">
        <v>76</v>
      </c>
      <c r="I271">
        <v>83</v>
      </c>
      <c r="J271">
        <v>1000</v>
      </c>
      <c r="K271">
        <v>9</v>
      </c>
      <c r="L271">
        <v>10</v>
      </c>
      <c r="M271">
        <v>4500</v>
      </c>
      <c r="N271" t="s">
        <v>30</v>
      </c>
      <c r="O271">
        <v>0</v>
      </c>
      <c r="P271">
        <v>0</v>
      </c>
      <c r="Q271">
        <v>0</v>
      </c>
      <c r="R271">
        <v>262</v>
      </c>
      <c r="S271">
        <v>279</v>
      </c>
      <c r="T271">
        <v>241</v>
      </c>
      <c r="U271">
        <v>9.9</v>
      </c>
      <c r="V271" t="s">
        <v>30</v>
      </c>
      <c r="W271" t="s">
        <v>76</v>
      </c>
      <c r="X271" t="s">
        <v>32</v>
      </c>
      <c r="Y271" t="s">
        <v>33</v>
      </c>
    </row>
    <row r="272" spans="1:25" x14ac:dyDescent="0.25">
      <c r="A272">
        <v>2025</v>
      </c>
      <c r="B272" t="s">
        <v>143</v>
      </c>
      <c r="C272" t="s">
        <v>235</v>
      </c>
      <c r="D272" t="s">
        <v>237</v>
      </c>
      <c r="E272" t="s">
        <v>28</v>
      </c>
      <c r="F272" t="s">
        <v>29</v>
      </c>
      <c r="G272">
        <v>38</v>
      </c>
      <c r="H272">
        <v>44</v>
      </c>
      <c r="I272">
        <v>41</v>
      </c>
      <c r="J272">
        <v>1000</v>
      </c>
      <c r="K272">
        <v>9</v>
      </c>
      <c r="L272">
        <v>10</v>
      </c>
      <c r="M272">
        <v>4500</v>
      </c>
      <c r="N272" t="s">
        <v>30</v>
      </c>
      <c r="O272">
        <v>0</v>
      </c>
      <c r="P272">
        <v>0</v>
      </c>
      <c r="Q272">
        <v>0</v>
      </c>
      <c r="R272">
        <v>262</v>
      </c>
      <c r="S272">
        <v>279</v>
      </c>
      <c r="T272">
        <v>241</v>
      </c>
      <c r="U272">
        <v>9.9</v>
      </c>
      <c r="V272" t="s">
        <v>30</v>
      </c>
      <c r="W272" t="s">
        <v>76</v>
      </c>
      <c r="X272" t="s">
        <v>32</v>
      </c>
      <c r="Y272" t="s">
        <v>33</v>
      </c>
    </row>
    <row r="273" spans="1:25" x14ac:dyDescent="0.25">
      <c r="A273">
        <v>2025</v>
      </c>
      <c r="B273" t="s">
        <v>238</v>
      </c>
      <c r="C273" t="s">
        <v>239</v>
      </c>
      <c r="D273" t="s">
        <v>240</v>
      </c>
      <c r="E273" t="s">
        <v>128</v>
      </c>
      <c r="F273" t="s">
        <v>115</v>
      </c>
      <c r="G273">
        <v>126</v>
      </c>
      <c r="H273">
        <v>101</v>
      </c>
      <c r="I273">
        <v>113</v>
      </c>
      <c r="J273">
        <v>700</v>
      </c>
      <c r="K273">
        <v>9</v>
      </c>
      <c r="L273">
        <v>10</v>
      </c>
      <c r="M273">
        <v>6000</v>
      </c>
      <c r="N273" t="s">
        <v>30</v>
      </c>
      <c r="O273">
        <v>0</v>
      </c>
      <c r="P273">
        <v>0</v>
      </c>
      <c r="Q273">
        <v>0</v>
      </c>
      <c r="R273">
        <v>253</v>
      </c>
      <c r="S273">
        <v>275</v>
      </c>
      <c r="T273">
        <v>226</v>
      </c>
      <c r="U273">
        <v>7.5</v>
      </c>
      <c r="V273" t="s">
        <v>30</v>
      </c>
      <c r="W273" t="s">
        <v>209</v>
      </c>
      <c r="X273" t="s">
        <v>32</v>
      </c>
      <c r="Y273" t="s">
        <v>33</v>
      </c>
    </row>
    <row r="274" spans="1:25" x14ac:dyDescent="0.25">
      <c r="A274">
        <v>2025</v>
      </c>
      <c r="B274" t="s">
        <v>238</v>
      </c>
      <c r="C274" t="s">
        <v>239</v>
      </c>
      <c r="D274" t="s">
        <v>240</v>
      </c>
      <c r="E274" t="s">
        <v>128</v>
      </c>
      <c r="F274" t="s">
        <v>115</v>
      </c>
      <c r="G274">
        <v>27</v>
      </c>
      <c r="H274">
        <v>33</v>
      </c>
      <c r="I274">
        <v>30</v>
      </c>
      <c r="J274">
        <v>700</v>
      </c>
      <c r="K274">
        <v>9</v>
      </c>
      <c r="L274">
        <v>10</v>
      </c>
      <c r="M274">
        <v>6000</v>
      </c>
      <c r="N274" t="s">
        <v>30</v>
      </c>
      <c r="O274">
        <v>0</v>
      </c>
      <c r="P274">
        <v>0</v>
      </c>
      <c r="Q274">
        <v>0</v>
      </c>
      <c r="R274">
        <v>253</v>
      </c>
      <c r="S274">
        <v>275</v>
      </c>
      <c r="T274">
        <v>226</v>
      </c>
      <c r="U274">
        <v>7.5</v>
      </c>
      <c r="V274" t="s">
        <v>30</v>
      </c>
      <c r="W274" t="s">
        <v>209</v>
      </c>
      <c r="X274" t="s">
        <v>32</v>
      </c>
      <c r="Y274" t="s">
        <v>33</v>
      </c>
    </row>
    <row r="275" spans="1:25" x14ac:dyDescent="0.25">
      <c r="A275">
        <v>2025</v>
      </c>
      <c r="B275" t="s">
        <v>238</v>
      </c>
      <c r="C275" t="s">
        <v>239</v>
      </c>
      <c r="D275" t="s">
        <v>241</v>
      </c>
      <c r="E275" t="s">
        <v>28</v>
      </c>
      <c r="F275" t="s">
        <v>118</v>
      </c>
      <c r="G275">
        <v>87</v>
      </c>
      <c r="H275">
        <v>79</v>
      </c>
      <c r="I275">
        <v>83</v>
      </c>
      <c r="J275">
        <v>1000</v>
      </c>
      <c r="K275">
        <v>9</v>
      </c>
      <c r="L275">
        <v>10</v>
      </c>
      <c r="M275">
        <v>4500</v>
      </c>
      <c r="N275" t="s">
        <v>30</v>
      </c>
      <c r="O275">
        <v>0</v>
      </c>
      <c r="P275">
        <v>0</v>
      </c>
      <c r="Q275">
        <v>0</v>
      </c>
      <c r="R275">
        <v>231</v>
      </c>
      <c r="S275">
        <v>241</v>
      </c>
      <c r="T275">
        <v>219</v>
      </c>
      <c r="U275">
        <v>8.6</v>
      </c>
      <c r="V275" t="s">
        <v>30</v>
      </c>
      <c r="W275" t="s">
        <v>242</v>
      </c>
      <c r="X275" t="s">
        <v>32</v>
      </c>
      <c r="Y275" t="s">
        <v>33</v>
      </c>
    </row>
    <row r="276" spans="1:25" x14ac:dyDescent="0.25">
      <c r="A276">
        <v>2025</v>
      </c>
      <c r="B276" t="s">
        <v>238</v>
      </c>
      <c r="C276" t="s">
        <v>239</v>
      </c>
      <c r="D276" t="s">
        <v>241</v>
      </c>
      <c r="E276" t="s">
        <v>28</v>
      </c>
      <c r="F276" t="s">
        <v>118</v>
      </c>
      <c r="G276">
        <v>38</v>
      </c>
      <c r="H276">
        <v>42</v>
      </c>
      <c r="I276">
        <v>40</v>
      </c>
      <c r="J276">
        <v>1000</v>
      </c>
      <c r="K276">
        <v>9</v>
      </c>
      <c r="L276">
        <v>10</v>
      </c>
      <c r="M276">
        <v>4500</v>
      </c>
      <c r="N276" t="s">
        <v>30</v>
      </c>
      <c r="O276">
        <v>0</v>
      </c>
      <c r="P276">
        <v>0</v>
      </c>
      <c r="Q276">
        <v>0</v>
      </c>
      <c r="R276">
        <v>231</v>
      </c>
      <c r="S276">
        <v>241</v>
      </c>
      <c r="T276">
        <v>219</v>
      </c>
      <c r="U276">
        <v>8.6</v>
      </c>
      <c r="V276" t="s">
        <v>30</v>
      </c>
      <c r="W276" t="s">
        <v>242</v>
      </c>
      <c r="X276" t="s">
        <v>32</v>
      </c>
      <c r="Y276" t="s">
        <v>33</v>
      </c>
    </row>
    <row r="277" spans="1:25" x14ac:dyDescent="0.25">
      <c r="A277">
        <v>2025</v>
      </c>
      <c r="B277" t="s">
        <v>238</v>
      </c>
      <c r="C277" t="s">
        <v>239</v>
      </c>
      <c r="D277" t="s">
        <v>243</v>
      </c>
      <c r="E277" t="s">
        <v>28</v>
      </c>
      <c r="F277" t="s">
        <v>118</v>
      </c>
      <c r="G277">
        <v>117</v>
      </c>
      <c r="H277">
        <v>95</v>
      </c>
      <c r="I277">
        <v>106</v>
      </c>
      <c r="J277">
        <v>750</v>
      </c>
      <c r="K277">
        <v>9</v>
      </c>
      <c r="L277">
        <v>10</v>
      </c>
      <c r="M277">
        <v>5750</v>
      </c>
      <c r="N277" t="s">
        <v>30</v>
      </c>
      <c r="O277">
        <v>0</v>
      </c>
      <c r="P277">
        <v>0</v>
      </c>
      <c r="Q277">
        <v>0</v>
      </c>
      <c r="R277">
        <v>295</v>
      </c>
      <c r="S277">
        <v>316</v>
      </c>
      <c r="T277">
        <v>269</v>
      </c>
      <c r="U277">
        <v>8.8000000000000007</v>
      </c>
      <c r="V277" t="s">
        <v>30</v>
      </c>
      <c r="W277" t="s">
        <v>216</v>
      </c>
      <c r="X277" t="s">
        <v>32</v>
      </c>
      <c r="Y277" t="s">
        <v>33</v>
      </c>
    </row>
    <row r="278" spans="1:25" x14ac:dyDescent="0.25">
      <c r="A278">
        <v>2025</v>
      </c>
      <c r="B278" t="s">
        <v>238</v>
      </c>
      <c r="C278" t="s">
        <v>239</v>
      </c>
      <c r="D278" t="s">
        <v>243</v>
      </c>
      <c r="E278" t="s">
        <v>28</v>
      </c>
      <c r="F278" t="s">
        <v>118</v>
      </c>
      <c r="G278">
        <v>29</v>
      </c>
      <c r="H278">
        <v>35</v>
      </c>
      <c r="I278">
        <v>32</v>
      </c>
      <c r="J278">
        <v>750</v>
      </c>
      <c r="K278">
        <v>9</v>
      </c>
      <c r="L278">
        <v>10</v>
      </c>
      <c r="M278">
        <v>5750</v>
      </c>
      <c r="N278" t="s">
        <v>30</v>
      </c>
      <c r="O278">
        <v>0</v>
      </c>
      <c r="P278">
        <v>0</v>
      </c>
      <c r="Q278">
        <v>0</v>
      </c>
      <c r="R278">
        <v>295</v>
      </c>
      <c r="S278">
        <v>316</v>
      </c>
      <c r="T278">
        <v>269</v>
      </c>
      <c r="U278">
        <v>8.8000000000000007</v>
      </c>
      <c r="V278" t="s">
        <v>30</v>
      </c>
      <c r="W278" t="s">
        <v>216</v>
      </c>
      <c r="X278" t="s">
        <v>32</v>
      </c>
      <c r="Y278" t="s">
        <v>33</v>
      </c>
    </row>
    <row r="279" spans="1:25" x14ac:dyDescent="0.25">
      <c r="A279">
        <v>2025</v>
      </c>
      <c r="B279" t="s">
        <v>238</v>
      </c>
      <c r="C279" t="s">
        <v>239</v>
      </c>
      <c r="D279" t="s">
        <v>244</v>
      </c>
      <c r="E279" t="s">
        <v>28</v>
      </c>
      <c r="F279" t="s">
        <v>118</v>
      </c>
      <c r="G279">
        <v>106</v>
      </c>
      <c r="H279">
        <v>89</v>
      </c>
      <c r="I279">
        <v>97</v>
      </c>
      <c r="J279">
        <v>850</v>
      </c>
      <c r="K279">
        <v>9</v>
      </c>
      <c r="L279">
        <v>10</v>
      </c>
      <c r="M279">
        <v>5250</v>
      </c>
      <c r="N279" t="s">
        <v>30</v>
      </c>
      <c r="O279">
        <v>0</v>
      </c>
      <c r="P279">
        <v>0</v>
      </c>
      <c r="Q279">
        <v>0</v>
      </c>
      <c r="R279">
        <v>270</v>
      </c>
      <c r="S279">
        <v>292</v>
      </c>
      <c r="T279">
        <v>243</v>
      </c>
      <c r="U279">
        <v>8.9</v>
      </c>
      <c r="V279" t="s">
        <v>30</v>
      </c>
      <c r="W279" t="s">
        <v>216</v>
      </c>
      <c r="X279" t="s">
        <v>32</v>
      </c>
      <c r="Y279" t="s">
        <v>33</v>
      </c>
    </row>
    <row r="280" spans="1:25" x14ac:dyDescent="0.25">
      <c r="A280">
        <v>2025</v>
      </c>
      <c r="B280" t="s">
        <v>238</v>
      </c>
      <c r="C280" t="s">
        <v>239</v>
      </c>
      <c r="D280" t="s">
        <v>244</v>
      </c>
      <c r="E280" t="s">
        <v>28</v>
      </c>
      <c r="F280" t="s">
        <v>118</v>
      </c>
      <c r="G280">
        <v>32</v>
      </c>
      <c r="H280">
        <v>38</v>
      </c>
      <c r="I280">
        <v>35</v>
      </c>
      <c r="J280">
        <v>850</v>
      </c>
      <c r="K280">
        <v>9</v>
      </c>
      <c r="L280">
        <v>10</v>
      </c>
      <c r="M280">
        <v>5250</v>
      </c>
      <c r="N280" t="s">
        <v>30</v>
      </c>
      <c r="O280">
        <v>0</v>
      </c>
      <c r="P280">
        <v>0</v>
      </c>
      <c r="Q280">
        <v>0</v>
      </c>
      <c r="R280">
        <v>270</v>
      </c>
      <c r="S280">
        <v>292</v>
      </c>
      <c r="T280">
        <v>243</v>
      </c>
      <c r="U280">
        <v>8.9</v>
      </c>
      <c r="V280" t="s">
        <v>30</v>
      </c>
      <c r="W280" t="s">
        <v>216</v>
      </c>
      <c r="X280" t="s">
        <v>32</v>
      </c>
      <c r="Y280" t="s">
        <v>33</v>
      </c>
    </row>
    <row r="281" spans="1:25" x14ac:dyDescent="0.25">
      <c r="A281">
        <v>2025</v>
      </c>
      <c r="B281" t="s">
        <v>238</v>
      </c>
      <c r="C281" t="s">
        <v>239</v>
      </c>
      <c r="D281" t="s">
        <v>245</v>
      </c>
      <c r="E281" t="s">
        <v>46</v>
      </c>
      <c r="F281" t="s">
        <v>115</v>
      </c>
      <c r="G281">
        <v>128</v>
      </c>
      <c r="H281">
        <v>103</v>
      </c>
      <c r="I281">
        <v>115</v>
      </c>
      <c r="J281">
        <v>700</v>
      </c>
      <c r="K281">
        <v>9</v>
      </c>
      <c r="L281">
        <v>10</v>
      </c>
      <c r="M281">
        <v>6000</v>
      </c>
      <c r="N281" t="s">
        <v>30</v>
      </c>
      <c r="O281">
        <v>0</v>
      </c>
      <c r="P281">
        <v>0</v>
      </c>
      <c r="Q281">
        <v>0</v>
      </c>
      <c r="R281">
        <v>237</v>
      </c>
      <c r="S281">
        <v>260</v>
      </c>
      <c r="T281">
        <v>209</v>
      </c>
      <c r="U281">
        <v>6.2</v>
      </c>
      <c r="V281" t="s">
        <v>30</v>
      </c>
      <c r="W281" t="s">
        <v>219</v>
      </c>
      <c r="X281" t="s">
        <v>32</v>
      </c>
      <c r="Y281" t="s">
        <v>33</v>
      </c>
    </row>
    <row r="282" spans="1:25" x14ac:dyDescent="0.25">
      <c r="A282">
        <v>2025</v>
      </c>
      <c r="B282" t="s">
        <v>238</v>
      </c>
      <c r="C282" t="s">
        <v>239</v>
      </c>
      <c r="D282" t="s">
        <v>245</v>
      </c>
      <c r="E282" t="s">
        <v>46</v>
      </c>
      <c r="F282" t="s">
        <v>115</v>
      </c>
      <c r="G282">
        <v>26</v>
      </c>
      <c r="H282">
        <v>33</v>
      </c>
      <c r="I282">
        <v>29</v>
      </c>
      <c r="J282">
        <v>700</v>
      </c>
      <c r="K282">
        <v>9</v>
      </c>
      <c r="L282">
        <v>10</v>
      </c>
      <c r="M282">
        <v>6000</v>
      </c>
      <c r="N282" t="s">
        <v>30</v>
      </c>
      <c r="O282">
        <v>0</v>
      </c>
      <c r="P282">
        <v>0</v>
      </c>
      <c r="Q282">
        <v>0</v>
      </c>
      <c r="R282">
        <v>237</v>
      </c>
      <c r="S282">
        <v>260</v>
      </c>
      <c r="T282">
        <v>209</v>
      </c>
      <c r="U282">
        <v>6.2</v>
      </c>
      <c r="V282" t="s">
        <v>30</v>
      </c>
      <c r="W282" t="s">
        <v>219</v>
      </c>
      <c r="X282" t="s">
        <v>32</v>
      </c>
      <c r="Y282" t="s">
        <v>33</v>
      </c>
    </row>
    <row r="283" spans="1:25" x14ac:dyDescent="0.25">
      <c r="A283">
        <v>2025</v>
      </c>
      <c r="B283" t="s">
        <v>238</v>
      </c>
      <c r="C283" t="s">
        <v>239</v>
      </c>
      <c r="D283" t="s">
        <v>246</v>
      </c>
      <c r="E283" t="s">
        <v>46</v>
      </c>
      <c r="F283" t="s">
        <v>115</v>
      </c>
      <c r="G283">
        <v>128</v>
      </c>
      <c r="H283">
        <v>101</v>
      </c>
      <c r="I283">
        <v>114</v>
      </c>
      <c r="J283">
        <v>700</v>
      </c>
      <c r="K283">
        <v>9</v>
      </c>
      <c r="L283">
        <v>10</v>
      </c>
      <c r="M283">
        <v>6000</v>
      </c>
      <c r="N283" t="s">
        <v>30</v>
      </c>
      <c r="O283">
        <v>0</v>
      </c>
      <c r="P283">
        <v>0</v>
      </c>
      <c r="Q283">
        <v>0</v>
      </c>
      <c r="R283">
        <v>319</v>
      </c>
      <c r="S283">
        <v>352</v>
      </c>
      <c r="T283">
        <v>278</v>
      </c>
      <c r="U283">
        <v>9</v>
      </c>
      <c r="V283" t="s">
        <v>30</v>
      </c>
      <c r="W283" t="s">
        <v>180</v>
      </c>
      <c r="X283" t="s">
        <v>32</v>
      </c>
      <c r="Y283" t="s">
        <v>33</v>
      </c>
    </row>
    <row r="284" spans="1:25" x14ac:dyDescent="0.25">
      <c r="A284">
        <v>2025</v>
      </c>
      <c r="B284" t="s">
        <v>238</v>
      </c>
      <c r="C284" t="s">
        <v>239</v>
      </c>
      <c r="D284" t="s">
        <v>246</v>
      </c>
      <c r="E284" t="s">
        <v>46</v>
      </c>
      <c r="F284" t="s">
        <v>115</v>
      </c>
      <c r="G284">
        <v>26</v>
      </c>
      <c r="H284">
        <v>33</v>
      </c>
      <c r="I284">
        <v>30</v>
      </c>
      <c r="J284">
        <v>700</v>
      </c>
      <c r="K284">
        <v>9</v>
      </c>
      <c r="L284">
        <v>10</v>
      </c>
      <c r="M284">
        <v>6000</v>
      </c>
      <c r="N284" t="s">
        <v>30</v>
      </c>
      <c r="O284">
        <v>0</v>
      </c>
      <c r="P284">
        <v>0</v>
      </c>
      <c r="Q284">
        <v>0</v>
      </c>
      <c r="R284">
        <v>319</v>
      </c>
      <c r="S284">
        <v>352</v>
      </c>
      <c r="T284">
        <v>278</v>
      </c>
      <c r="U284">
        <v>9</v>
      </c>
      <c r="V284" t="s">
        <v>30</v>
      </c>
      <c r="W284" t="s">
        <v>180</v>
      </c>
      <c r="X284" t="s">
        <v>32</v>
      </c>
      <c r="Y284" t="s">
        <v>33</v>
      </c>
    </row>
    <row r="285" spans="1:25" x14ac:dyDescent="0.25">
      <c r="A285">
        <v>2025</v>
      </c>
      <c r="B285" t="s">
        <v>238</v>
      </c>
      <c r="C285" t="s">
        <v>239</v>
      </c>
      <c r="D285" t="s">
        <v>247</v>
      </c>
      <c r="E285" t="s">
        <v>46</v>
      </c>
      <c r="F285" t="s">
        <v>47</v>
      </c>
      <c r="G285">
        <v>99</v>
      </c>
      <c r="H285">
        <v>77</v>
      </c>
      <c r="I285">
        <v>88</v>
      </c>
      <c r="J285">
        <v>900</v>
      </c>
      <c r="K285">
        <v>9</v>
      </c>
      <c r="L285">
        <v>10</v>
      </c>
      <c r="M285">
        <v>5000</v>
      </c>
      <c r="N285" t="s">
        <v>30</v>
      </c>
      <c r="O285">
        <v>0</v>
      </c>
      <c r="P285">
        <v>0</v>
      </c>
      <c r="Q285">
        <v>0</v>
      </c>
      <c r="R285">
        <v>230</v>
      </c>
      <c r="S285">
        <v>256</v>
      </c>
      <c r="T285">
        <v>198</v>
      </c>
      <c r="U285">
        <v>11.4</v>
      </c>
      <c r="V285" t="s">
        <v>30</v>
      </c>
      <c r="W285" t="s">
        <v>248</v>
      </c>
      <c r="X285" t="s">
        <v>32</v>
      </c>
      <c r="Y285" t="s">
        <v>33</v>
      </c>
    </row>
    <row r="286" spans="1:25" x14ac:dyDescent="0.25">
      <c r="A286">
        <v>2025</v>
      </c>
      <c r="B286" t="s">
        <v>238</v>
      </c>
      <c r="C286" t="s">
        <v>239</v>
      </c>
      <c r="D286" t="s">
        <v>247</v>
      </c>
      <c r="E286" t="s">
        <v>46</v>
      </c>
      <c r="F286" t="s">
        <v>47</v>
      </c>
      <c r="G286">
        <v>34</v>
      </c>
      <c r="H286">
        <v>44</v>
      </c>
      <c r="I286">
        <v>38</v>
      </c>
      <c r="J286">
        <v>900</v>
      </c>
      <c r="K286">
        <v>9</v>
      </c>
      <c r="L286">
        <v>10</v>
      </c>
      <c r="M286">
        <v>5000</v>
      </c>
      <c r="N286" t="s">
        <v>30</v>
      </c>
      <c r="O286">
        <v>0</v>
      </c>
      <c r="P286">
        <v>0</v>
      </c>
      <c r="Q286">
        <v>0</v>
      </c>
      <c r="R286">
        <v>230</v>
      </c>
      <c r="S286">
        <v>256</v>
      </c>
      <c r="T286">
        <v>198</v>
      </c>
      <c r="U286">
        <v>11.4</v>
      </c>
      <c r="V286" t="s">
        <v>30</v>
      </c>
      <c r="W286" t="s">
        <v>248</v>
      </c>
      <c r="X286" t="s">
        <v>32</v>
      </c>
      <c r="Y286" t="s">
        <v>33</v>
      </c>
    </row>
    <row r="287" spans="1:25" x14ac:dyDescent="0.25">
      <c r="A287">
        <v>2025</v>
      </c>
      <c r="B287" t="s">
        <v>238</v>
      </c>
      <c r="C287" t="s">
        <v>239</v>
      </c>
      <c r="D287" t="s">
        <v>249</v>
      </c>
      <c r="E287" t="s">
        <v>46</v>
      </c>
      <c r="F287" t="s">
        <v>47</v>
      </c>
      <c r="G287">
        <v>100</v>
      </c>
      <c r="H287">
        <v>78</v>
      </c>
      <c r="I287">
        <v>89</v>
      </c>
      <c r="J287">
        <v>900</v>
      </c>
      <c r="K287">
        <v>9</v>
      </c>
      <c r="L287">
        <v>10</v>
      </c>
      <c r="M287">
        <v>5000</v>
      </c>
      <c r="N287" t="s">
        <v>30</v>
      </c>
      <c r="O287">
        <v>0</v>
      </c>
      <c r="P287">
        <v>0</v>
      </c>
      <c r="Q287">
        <v>0</v>
      </c>
      <c r="R287">
        <v>304</v>
      </c>
      <c r="S287">
        <v>336</v>
      </c>
      <c r="T287">
        <v>265</v>
      </c>
      <c r="U287">
        <v>15.2</v>
      </c>
      <c r="V287" t="s">
        <v>30</v>
      </c>
      <c r="W287" t="s">
        <v>248</v>
      </c>
      <c r="X287" t="s">
        <v>32</v>
      </c>
      <c r="Y287" t="s">
        <v>33</v>
      </c>
    </row>
    <row r="288" spans="1:25" x14ac:dyDescent="0.25">
      <c r="A288">
        <v>2025</v>
      </c>
      <c r="B288" t="s">
        <v>238</v>
      </c>
      <c r="C288" t="s">
        <v>239</v>
      </c>
      <c r="D288" t="s">
        <v>249</v>
      </c>
      <c r="E288" t="s">
        <v>46</v>
      </c>
      <c r="F288" t="s">
        <v>47</v>
      </c>
      <c r="G288">
        <v>34</v>
      </c>
      <c r="H288">
        <v>43</v>
      </c>
      <c r="I288">
        <v>38</v>
      </c>
      <c r="J288">
        <v>900</v>
      </c>
      <c r="K288">
        <v>9</v>
      </c>
      <c r="L288">
        <v>10</v>
      </c>
      <c r="M288">
        <v>5000</v>
      </c>
      <c r="N288" t="s">
        <v>30</v>
      </c>
      <c r="O288">
        <v>0</v>
      </c>
      <c r="P288">
        <v>0</v>
      </c>
      <c r="Q288">
        <v>0</v>
      </c>
      <c r="R288">
        <v>304</v>
      </c>
      <c r="S288">
        <v>336</v>
      </c>
      <c r="T288">
        <v>265</v>
      </c>
      <c r="U288">
        <v>15.2</v>
      </c>
      <c r="V288" t="s">
        <v>30</v>
      </c>
      <c r="W288" t="s">
        <v>248</v>
      </c>
      <c r="X288" t="s">
        <v>32</v>
      </c>
      <c r="Y288" t="s">
        <v>33</v>
      </c>
    </row>
    <row r="289" spans="1:25" x14ac:dyDescent="0.25">
      <c r="A289">
        <v>2025</v>
      </c>
      <c r="B289" t="s">
        <v>238</v>
      </c>
      <c r="C289" t="s">
        <v>239</v>
      </c>
      <c r="D289" t="s">
        <v>250</v>
      </c>
      <c r="E289" t="s">
        <v>28</v>
      </c>
      <c r="F289" t="s">
        <v>29</v>
      </c>
      <c r="G289">
        <v>91</v>
      </c>
      <c r="H289">
        <v>75</v>
      </c>
      <c r="I289">
        <v>83</v>
      </c>
      <c r="J289">
        <v>1000</v>
      </c>
      <c r="K289">
        <v>9</v>
      </c>
      <c r="L289">
        <v>10</v>
      </c>
      <c r="M289">
        <v>4500</v>
      </c>
      <c r="N289" t="s">
        <v>30</v>
      </c>
      <c r="O289">
        <v>0</v>
      </c>
      <c r="P289">
        <v>0</v>
      </c>
      <c r="Q289">
        <v>0</v>
      </c>
      <c r="R289">
        <v>280</v>
      </c>
      <c r="S289">
        <v>304</v>
      </c>
      <c r="T289">
        <v>250</v>
      </c>
      <c r="U289">
        <v>14.5</v>
      </c>
      <c r="V289" t="s">
        <v>30</v>
      </c>
      <c r="W289" t="s">
        <v>251</v>
      </c>
      <c r="X289" t="s">
        <v>32</v>
      </c>
      <c r="Y289" t="s">
        <v>33</v>
      </c>
    </row>
    <row r="290" spans="1:25" x14ac:dyDescent="0.25">
      <c r="A290">
        <v>2025</v>
      </c>
      <c r="B290" t="s">
        <v>238</v>
      </c>
      <c r="C290" t="s">
        <v>239</v>
      </c>
      <c r="D290" t="s">
        <v>250</v>
      </c>
      <c r="E290" t="s">
        <v>28</v>
      </c>
      <c r="F290" t="s">
        <v>29</v>
      </c>
      <c r="G290">
        <v>37</v>
      </c>
      <c r="H290">
        <v>45</v>
      </c>
      <c r="I290">
        <v>41</v>
      </c>
      <c r="J290">
        <v>1000</v>
      </c>
      <c r="K290">
        <v>9</v>
      </c>
      <c r="L290">
        <v>10</v>
      </c>
      <c r="M290">
        <v>4500</v>
      </c>
      <c r="N290" t="s">
        <v>30</v>
      </c>
      <c r="O290">
        <v>0</v>
      </c>
      <c r="P290">
        <v>0</v>
      </c>
      <c r="Q290">
        <v>0</v>
      </c>
      <c r="R290">
        <v>280</v>
      </c>
      <c r="S290">
        <v>304</v>
      </c>
      <c r="T290">
        <v>250</v>
      </c>
      <c r="U290">
        <v>14.5</v>
      </c>
      <c r="V290" t="s">
        <v>30</v>
      </c>
      <c r="W290" t="s">
        <v>251</v>
      </c>
      <c r="X290" t="s">
        <v>32</v>
      </c>
      <c r="Y290" t="s">
        <v>33</v>
      </c>
    </row>
    <row r="291" spans="1:25" x14ac:dyDescent="0.25">
      <c r="A291">
        <v>2025</v>
      </c>
      <c r="B291" t="s">
        <v>238</v>
      </c>
      <c r="C291" t="s">
        <v>239</v>
      </c>
      <c r="D291" t="s">
        <v>252</v>
      </c>
      <c r="E291" t="s">
        <v>28</v>
      </c>
      <c r="F291" t="s">
        <v>29</v>
      </c>
      <c r="G291">
        <v>88</v>
      </c>
      <c r="H291">
        <v>72</v>
      </c>
      <c r="I291">
        <v>80</v>
      </c>
      <c r="J291">
        <v>1000</v>
      </c>
      <c r="K291">
        <v>9</v>
      </c>
      <c r="L291">
        <v>10</v>
      </c>
      <c r="M291">
        <v>4500</v>
      </c>
      <c r="N291" t="s">
        <v>30</v>
      </c>
      <c r="O291">
        <v>0</v>
      </c>
      <c r="P291">
        <v>0</v>
      </c>
      <c r="Q291">
        <v>0</v>
      </c>
      <c r="R291">
        <v>270</v>
      </c>
      <c r="S291">
        <v>295</v>
      </c>
      <c r="T291">
        <v>239</v>
      </c>
      <c r="U291">
        <v>15.2</v>
      </c>
      <c r="V291" t="s">
        <v>30</v>
      </c>
      <c r="W291" t="s">
        <v>251</v>
      </c>
      <c r="X291" t="s">
        <v>32</v>
      </c>
      <c r="Y291" t="s">
        <v>33</v>
      </c>
    </row>
    <row r="292" spans="1:25" x14ac:dyDescent="0.25">
      <c r="A292">
        <v>2025</v>
      </c>
      <c r="B292" t="s">
        <v>238</v>
      </c>
      <c r="C292" t="s">
        <v>239</v>
      </c>
      <c r="D292" t="s">
        <v>252</v>
      </c>
      <c r="E292" t="s">
        <v>28</v>
      </c>
      <c r="F292" t="s">
        <v>29</v>
      </c>
      <c r="G292">
        <v>38</v>
      </c>
      <c r="H292">
        <v>47</v>
      </c>
      <c r="I292">
        <v>42</v>
      </c>
      <c r="J292">
        <v>1000</v>
      </c>
      <c r="K292">
        <v>9</v>
      </c>
      <c r="L292">
        <v>10</v>
      </c>
      <c r="M292">
        <v>4500</v>
      </c>
      <c r="N292" t="s">
        <v>30</v>
      </c>
      <c r="O292">
        <v>0</v>
      </c>
      <c r="P292">
        <v>0</v>
      </c>
      <c r="Q292">
        <v>0</v>
      </c>
      <c r="R292">
        <v>270</v>
      </c>
      <c r="S292">
        <v>295</v>
      </c>
      <c r="T292">
        <v>239</v>
      </c>
      <c r="U292">
        <v>15.2</v>
      </c>
      <c r="V292" t="s">
        <v>30</v>
      </c>
      <c r="W292" t="s">
        <v>251</v>
      </c>
      <c r="X292" t="s">
        <v>32</v>
      </c>
      <c r="Y292" t="s">
        <v>33</v>
      </c>
    </row>
    <row r="293" spans="1:25" x14ac:dyDescent="0.25">
      <c r="A293">
        <v>2025</v>
      </c>
      <c r="B293" t="s">
        <v>253</v>
      </c>
      <c r="C293" t="s">
        <v>254</v>
      </c>
      <c r="D293" t="s">
        <v>255</v>
      </c>
      <c r="E293" t="s">
        <v>128</v>
      </c>
      <c r="F293" t="s">
        <v>115</v>
      </c>
      <c r="G293">
        <v>137</v>
      </c>
      <c r="H293">
        <v>112</v>
      </c>
      <c r="I293">
        <v>125</v>
      </c>
      <c r="J293">
        <v>650</v>
      </c>
      <c r="K293">
        <v>10</v>
      </c>
      <c r="L293">
        <v>10</v>
      </c>
      <c r="M293">
        <v>6250</v>
      </c>
      <c r="N293" t="s">
        <v>30</v>
      </c>
      <c r="O293">
        <v>0</v>
      </c>
      <c r="P293">
        <v>0</v>
      </c>
      <c r="Q293">
        <v>0</v>
      </c>
      <c r="R293">
        <v>266</v>
      </c>
      <c r="S293">
        <v>287</v>
      </c>
      <c r="T293">
        <v>241</v>
      </c>
      <c r="U293">
        <v>11</v>
      </c>
      <c r="V293" t="s">
        <v>30</v>
      </c>
      <c r="W293" t="s">
        <v>209</v>
      </c>
      <c r="X293" t="s">
        <v>32</v>
      </c>
      <c r="Y293" t="s">
        <v>33</v>
      </c>
    </row>
    <row r="294" spans="1:25" x14ac:dyDescent="0.25">
      <c r="A294">
        <v>2025</v>
      </c>
      <c r="B294" t="s">
        <v>253</v>
      </c>
      <c r="C294" t="s">
        <v>254</v>
      </c>
      <c r="D294" t="s">
        <v>255</v>
      </c>
      <c r="E294" t="s">
        <v>128</v>
      </c>
      <c r="F294" t="s">
        <v>115</v>
      </c>
      <c r="G294">
        <v>24</v>
      </c>
      <c r="H294">
        <v>30</v>
      </c>
      <c r="I294">
        <v>27</v>
      </c>
      <c r="J294">
        <v>650</v>
      </c>
      <c r="K294">
        <v>10</v>
      </c>
      <c r="L294">
        <v>10</v>
      </c>
      <c r="M294">
        <v>6250</v>
      </c>
      <c r="N294" t="s">
        <v>30</v>
      </c>
      <c r="O294">
        <v>0</v>
      </c>
      <c r="P294">
        <v>0</v>
      </c>
      <c r="Q294">
        <v>0</v>
      </c>
      <c r="R294">
        <v>266</v>
      </c>
      <c r="S294">
        <v>287</v>
      </c>
      <c r="T294">
        <v>241</v>
      </c>
      <c r="U294">
        <v>11</v>
      </c>
      <c r="V294" t="s">
        <v>30</v>
      </c>
      <c r="W294" t="s">
        <v>209</v>
      </c>
      <c r="X294" t="s">
        <v>32</v>
      </c>
      <c r="Y294" t="s">
        <v>33</v>
      </c>
    </row>
    <row r="295" spans="1:25" x14ac:dyDescent="0.25">
      <c r="A295">
        <v>2025</v>
      </c>
      <c r="B295" t="s">
        <v>253</v>
      </c>
      <c r="C295" t="s">
        <v>254</v>
      </c>
      <c r="D295" t="s">
        <v>256</v>
      </c>
      <c r="E295" t="s">
        <v>28</v>
      </c>
      <c r="F295" t="s">
        <v>118</v>
      </c>
      <c r="G295">
        <v>115</v>
      </c>
      <c r="H295">
        <v>98</v>
      </c>
      <c r="I295">
        <v>107</v>
      </c>
      <c r="J295">
        <v>750</v>
      </c>
      <c r="K295">
        <v>9</v>
      </c>
      <c r="L295">
        <v>10</v>
      </c>
      <c r="M295">
        <v>5750</v>
      </c>
      <c r="N295" t="s">
        <v>30</v>
      </c>
      <c r="O295">
        <v>0</v>
      </c>
      <c r="P295">
        <v>0</v>
      </c>
      <c r="Q295">
        <v>0</v>
      </c>
      <c r="R295">
        <v>220</v>
      </c>
      <c r="S295">
        <v>236</v>
      </c>
      <c r="T295">
        <v>200</v>
      </c>
      <c r="U295">
        <v>10</v>
      </c>
      <c r="V295" t="s">
        <v>30</v>
      </c>
      <c r="W295" t="s">
        <v>257</v>
      </c>
      <c r="X295" t="s">
        <v>32</v>
      </c>
      <c r="Y295" t="s">
        <v>33</v>
      </c>
    </row>
    <row r="296" spans="1:25" x14ac:dyDescent="0.25">
      <c r="A296">
        <v>2025</v>
      </c>
      <c r="B296" t="s">
        <v>253</v>
      </c>
      <c r="C296" t="s">
        <v>254</v>
      </c>
      <c r="D296" t="s">
        <v>256</v>
      </c>
      <c r="E296" t="s">
        <v>28</v>
      </c>
      <c r="F296" t="s">
        <v>118</v>
      </c>
      <c r="G296">
        <v>29</v>
      </c>
      <c r="H296">
        <v>34</v>
      </c>
      <c r="I296">
        <v>31</v>
      </c>
      <c r="J296">
        <v>750</v>
      </c>
      <c r="K296">
        <v>9</v>
      </c>
      <c r="L296">
        <v>10</v>
      </c>
      <c r="M296">
        <v>5750</v>
      </c>
      <c r="N296" t="s">
        <v>30</v>
      </c>
      <c r="O296">
        <v>0</v>
      </c>
      <c r="P296">
        <v>0</v>
      </c>
      <c r="Q296">
        <v>0</v>
      </c>
      <c r="R296">
        <v>220</v>
      </c>
      <c r="S296">
        <v>236</v>
      </c>
      <c r="T296">
        <v>200</v>
      </c>
      <c r="U296">
        <v>10</v>
      </c>
      <c r="V296" t="s">
        <v>30</v>
      </c>
      <c r="W296" t="s">
        <v>257</v>
      </c>
      <c r="X296" t="s">
        <v>32</v>
      </c>
      <c r="Y296" t="s">
        <v>33</v>
      </c>
    </row>
    <row r="297" spans="1:25" x14ac:dyDescent="0.25">
      <c r="A297">
        <v>2025</v>
      </c>
      <c r="B297" t="s">
        <v>253</v>
      </c>
      <c r="C297" t="s">
        <v>254</v>
      </c>
      <c r="D297" t="s">
        <v>258</v>
      </c>
      <c r="E297" t="s">
        <v>128</v>
      </c>
      <c r="F297" t="s">
        <v>115</v>
      </c>
      <c r="G297">
        <v>114</v>
      </c>
      <c r="H297">
        <v>96</v>
      </c>
      <c r="I297">
        <v>105</v>
      </c>
      <c r="J297">
        <v>750</v>
      </c>
      <c r="K297">
        <v>9</v>
      </c>
      <c r="L297">
        <v>10</v>
      </c>
      <c r="M297">
        <v>5750</v>
      </c>
      <c r="N297" t="s">
        <v>30</v>
      </c>
      <c r="O297">
        <v>0</v>
      </c>
      <c r="P297">
        <v>0</v>
      </c>
      <c r="Q297">
        <v>0</v>
      </c>
      <c r="R297">
        <v>224</v>
      </c>
      <c r="S297">
        <v>242</v>
      </c>
      <c r="T297">
        <v>202</v>
      </c>
      <c r="U297">
        <v>11</v>
      </c>
      <c r="V297" t="s">
        <v>30</v>
      </c>
      <c r="W297" t="s">
        <v>209</v>
      </c>
      <c r="X297" t="s">
        <v>32</v>
      </c>
      <c r="Y297" t="s">
        <v>33</v>
      </c>
    </row>
    <row r="298" spans="1:25" x14ac:dyDescent="0.25">
      <c r="A298">
        <v>2025</v>
      </c>
      <c r="B298" t="s">
        <v>253</v>
      </c>
      <c r="C298" t="s">
        <v>254</v>
      </c>
      <c r="D298" t="s">
        <v>258</v>
      </c>
      <c r="E298" t="s">
        <v>128</v>
      </c>
      <c r="F298" t="s">
        <v>115</v>
      </c>
      <c r="G298">
        <v>29</v>
      </c>
      <c r="H298">
        <v>35</v>
      </c>
      <c r="I298">
        <v>31</v>
      </c>
      <c r="J298">
        <v>750</v>
      </c>
      <c r="K298">
        <v>9</v>
      </c>
      <c r="L298">
        <v>10</v>
      </c>
      <c r="M298">
        <v>5750</v>
      </c>
      <c r="N298" t="s">
        <v>30</v>
      </c>
      <c r="O298">
        <v>0</v>
      </c>
      <c r="P298">
        <v>0</v>
      </c>
      <c r="Q298">
        <v>0</v>
      </c>
      <c r="R298">
        <v>224</v>
      </c>
      <c r="S298">
        <v>242</v>
      </c>
      <c r="T298">
        <v>202</v>
      </c>
      <c r="U298">
        <v>11</v>
      </c>
      <c r="V298" t="s">
        <v>30</v>
      </c>
      <c r="W298" t="s">
        <v>209</v>
      </c>
      <c r="X298" t="s">
        <v>32</v>
      </c>
      <c r="Y298" t="s">
        <v>33</v>
      </c>
    </row>
    <row r="299" spans="1:25" x14ac:dyDescent="0.25">
      <c r="A299">
        <v>2025</v>
      </c>
      <c r="B299" t="s">
        <v>253</v>
      </c>
      <c r="C299" t="s">
        <v>254</v>
      </c>
      <c r="D299" t="s">
        <v>259</v>
      </c>
      <c r="E299" t="s">
        <v>28</v>
      </c>
      <c r="F299" t="s">
        <v>118</v>
      </c>
      <c r="G299">
        <v>102</v>
      </c>
      <c r="H299">
        <v>87</v>
      </c>
      <c r="I299">
        <v>95</v>
      </c>
      <c r="J299">
        <v>850</v>
      </c>
      <c r="K299">
        <v>9</v>
      </c>
      <c r="L299">
        <v>10</v>
      </c>
      <c r="M299">
        <v>5250</v>
      </c>
      <c r="N299" t="s">
        <v>30</v>
      </c>
      <c r="O299">
        <v>0</v>
      </c>
      <c r="P299">
        <v>0</v>
      </c>
      <c r="Q299">
        <v>0</v>
      </c>
      <c r="R299">
        <v>196</v>
      </c>
      <c r="S299">
        <v>211</v>
      </c>
      <c r="T299">
        <v>178</v>
      </c>
      <c r="U299">
        <v>10</v>
      </c>
      <c r="V299" t="s">
        <v>30</v>
      </c>
      <c r="W299" t="s">
        <v>257</v>
      </c>
      <c r="X299" t="s">
        <v>32</v>
      </c>
      <c r="Y299" t="s">
        <v>33</v>
      </c>
    </row>
    <row r="300" spans="1:25" x14ac:dyDescent="0.25">
      <c r="A300">
        <v>2025</v>
      </c>
      <c r="B300" t="s">
        <v>253</v>
      </c>
      <c r="C300" t="s">
        <v>254</v>
      </c>
      <c r="D300" t="s">
        <v>259</v>
      </c>
      <c r="E300" t="s">
        <v>28</v>
      </c>
      <c r="F300" t="s">
        <v>118</v>
      </c>
      <c r="G300">
        <v>32</v>
      </c>
      <c r="H300">
        <v>38</v>
      </c>
      <c r="I300">
        <v>35</v>
      </c>
      <c r="J300">
        <v>850</v>
      </c>
      <c r="K300">
        <v>9</v>
      </c>
      <c r="L300">
        <v>10</v>
      </c>
      <c r="M300">
        <v>5250</v>
      </c>
      <c r="N300" t="s">
        <v>30</v>
      </c>
      <c r="O300">
        <v>0</v>
      </c>
      <c r="P300">
        <v>0</v>
      </c>
      <c r="Q300">
        <v>0</v>
      </c>
      <c r="R300">
        <v>196</v>
      </c>
      <c r="S300">
        <v>211</v>
      </c>
      <c r="T300">
        <v>178</v>
      </c>
      <c r="U300">
        <v>10</v>
      </c>
      <c r="V300" t="s">
        <v>30</v>
      </c>
      <c r="W300" t="s">
        <v>257</v>
      </c>
      <c r="X300" t="s">
        <v>32</v>
      </c>
      <c r="Y300" t="s">
        <v>33</v>
      </c>
    </row>
    <row r="301" spans="1:25" x14ac:dyDescent="0.25">
      <c r="A301">
        <v>2025</v>
      </c>
      <c r="B301" t="s">
        <v>260</v>
      </c>
      <c r="C301" t="s">
        <v>261</v>
      </c>
      <c r="D301" t="s">
        <v>262</v>
      </c>
      <c r="E301" t="s">
        <v>28</v>
      </c>
      <c r="F301" t="s">
        <v>95</v>
      </c>
      <c r="G301">
        <v>129</v>
      </c>
      <c r="H301">
        <v>126</v>
      </c>
      <c r="I301">
        <v>128</v>
      </c>
      <c r="J301">
        <v>650</v>
      </c>
      <c r="K301">
        <v>10</v>
      </c>
      <c r="L301">
        <v>10</v>
      </c>
      <c r="M301">
        <v>6250</v>
      </c>
      <c r="N301" t="s">
        <v>30</v>
      </c>
      <c r="O301">
        <v>0</v>
      </c>
      <c r="P301">
        <v>0</v>
      </c>
      <c r="Q301">
        <v>0</v>
      </c>
      <c r="R301">
        <v>512</v>
      </c>
      <c r="S301">
        <v>516</v>
      </c>
      <c r="T301">
        <v>507</v>
      </c>
      <c r="U301">
        <v>13</v>
      </c>
      <c r="V301" t="s">
        <v>30</v>
      </c>
      <c r="W301" t="s">
        <v>263</v>
      </c>
      <c r="X301" t="s">
        <v>32</v>
      </c>
      <c r="Y301" t="s">
        <v>33</v>
      </c>
    </row>
    <row r="302" spans="1:25" x14ac:dyDescent="0.25">
      <c r="A302">
        <v>2025</v>
      </c>
      <c r="B302" t="s">
        <v>260</v>
      </c>
      <c r="C302" t="s">
        <v>261</v>
      </c>
      <c r="D302" t="s">
        <v>262</v>
      </c>
      <c r="E302" t="s">
        <v>28</v>
      </c>
      <c r="F302" t="s">
        <v>95</v>
      </c>
      <c r="G302">
        <v>26</v>
      </c>
      <c r="H302">
        <v>27</v>
      </c>
      <c r="I302">
        <v>26</v>
      </c>
      <c r="J302">
        <v>650</v>
      </c>
      <c r="K302">
        <v>10</v>
      </c>
      <c r="L302">
        <v>10</v>
      </c>
      <c r="M302">
        <v>6250</v>
      </c>
      <c r="N302" t="s">
        <v>30</v>
      </c>
      <c r="O302">
        <v>0</v>
      </c>
      <c r="P302">
        <v>0</v>
      </c>
      <c r="Q302">
        <v>0</v>
      </c>
      <c r="R302">
        <v>512</v>
      </c>
      <c r="S302">
        <v>516</v>
      </c>
      <c r="T302">
        <v>507</v>
      </c>
      <c r="U302">
        <v>13</v>
      </c>
      <c r="V302" t="s">
        <v>30</v>
      </c>
      <c r="W302" t="s">
        <v>263</v>
      </c>
      <c r="X302" t="s">
        <v>32</v>
      </c>
      <c r="Y302" t="s">
        <v>33</v>
      </c>
    </row>
    <row r="303" spans="1:25" x14ac:dyDescent="0.25">
      <c r="A303">
        <v>2025</v>
      </c>
      <c r="B303" t="s">
        <v>260</v>
      </c>
      <c r="C303" t="s">
        <v>261</v>
      </c>
      <c r="D303" t="s">
        <v>264</v>
      </c>
      <c r="E303" t="s">
        <v>28</v>
      </c>
      <c r="F303" t="s">
        <v>95</v>
      </c>
      <c r="G303">
        <v>122</v>
      </c>
      <c r="H303">
        <v>117</v>
      </c>
      <c r="I303">
        <v>120</v>
      </c>
      <c r="J303">
        <v>700</v>
      </c>
      <c r="K303">
        <v>10</v>
      </c>
      <c r="L303">
        <v>10</v>
      </c>
      <c r="M303">
        <v>6000</v>
      </c>
      <c r="N303" t="s">
        <v>30</v>
      </c>
      <c r="O303">
        <v>0</v>
      </c>
      <c r="P303">
        <v>0</v>
      </c>
      <c r="Q303">
        <v>0</v>
      </c>
      <c r="R303">
        <v>480</v>
      </c>
      <c r="S303">
        <v>488</v>
      </c>
      <c r="T303">
        <v>470</v>
      </c>
      <c r="U303">
        <v>13</v>
      </c>
      <c r="V303" t="s">
        <v>30</v>
      </c>
      <c r="W303" t="s">
        <v>263</v>
      </c>
      <c r="X303" t="s">
        <v>32</v>
      </c>
      <c r="Y303" t="s">
        <v>33</v>
      </c>
    </row>
    <row r="304" spans="1:25" x14ac:dyDescent="0.25">
      <c r="A304">
        <v>2025</v>
      </c>
      <c r="B304" t="s">
        <v>260</v>
      </c>
      <c r="C304" t="s">
        <v>261</v>
      </c>
      <c r="D304" t="s">
        <v>264</v>
      </c>
      <c r="E304" t="s">
        <v>28</v>
      </c>
      <c r="F304" t="s">
        <v>95</v>
      </c>
      <c r="G304">
        <v>28</v>
      </c>
      <c r="H304">
        <v>29</v>
      </c>
      <c r="I304">
        <v>28</v>
      </c>
      <c r="J304">
        <v>700</v>
      </c>
      <c r="K304">
        <v>10</v>
      </c>
      <c r="L304">
        <v>10</v>
      </c>
      <c r="M304">
        <v>6000</v>
      </c>
      <c r="N304" t="s">
        <v>30</v>
      </c>
      <c r="O304">
        <v>0</v>
      </c>
      <c r="P304">
        <v>0</v>
      </c>
      <c r="Q304">
        <v>0</v>
      </c>
      <c r="R304">
        <v>480</v>
      </c>
      <c r="S304">
        <v>488</v>
      </c>
      <c r="T304">
        <v>470</v>
      </c>
      <c r="U304">
        <v>13</v>
      </c>
      <c r="V304" t="s">
        <v>30</v>
      </c>
      <c r="W304" t="s">
        <v>263</v>
      </c>
      <c r="X304" t="s">
        <v>32</v>
      </c>
      <c r="Y304" t="s">
        <v>33</v>
      </c>
    </row>
    <row r="305" spans="1:25" x14ac:dyDescent="0.25">
      <c r="A305">
        <v>2025</v>
      </c>
      <c r="B305" t="s">
        <v>260</v>
      </c>
      <c r="C305" t="s">
        <v>261</v>
      </c>
      <c r="D305" t="s">
        <v>265</v>
      </c>
      <c r="E305" t="s">
        <v>28</v>
      </c>
      <c r="F305" t="s">
        <v>95</v>
      </c>
      <c r="G305">
        <v>114</v>
      </c>
      <c r="H305">
        <v>109</v>
      </c>
      <c r="I305">
        <v>112</v>
      </c>
      <c r="J305">
        <v>700</v>
      </c>
      <c r="K305">
        <v>10</v>
      </c>
      <c r="L305">
        <v>10</v>
      </c>
      <c r="M305">
        <v>6000</v>
      </c>
      <c r="N305" t="s">
        <v>30</v>
      </c>
      <c r="O305">
        <v>0</v>
      </c>
      <c r="P305">
        <v>0</v>
      </c>
      <c r="Q305">
        <v>0</v>
      </c>
      <c r="R305">
        <v>446</v>
      </c>
      <c r="S305">
        <v>454</v>
      </c>
      <c r="T305">
        <v>436</v>
      </c>
      <c r="U305">
        <v>13</v>
      </c>
      <c r="V305" t="s">
        <v>30</v>
      </c>
      <c r="W305" t="s">
        <v>263</v>
      </c>
      <c r="X305" t="s">
        <v>32</v>
      </c>
      <c r="Y305" t="s">
        <v>33</v>
      </c>
    </row>
    <row r="306" spans="1:25" x14ac:dyDescent="0.25">
      <c r="A306">
        <v>2025</v>
      </c>
      <c r="B306" t="s">
        <v>260</v>
      </c>
      <c r="C306" t="s">
        <v>261</v>
      </c>
      <c r="D306" t="s">
        <v>265</v>
      </c>
      <c r="E306" t="s">
        <v>28</v>
      </c>
      <c r="F306" t="s">
        <v>95</v>
      </c>
      <c r="G306">
        <v>30</v>
      </c>
      <c r="H306">
        <v>31</v>
      </c>
      <c r="I306">
        <v>30</v>
      </c>
      <c r="J306">
        <v>700</v>
      </c>
      <c r="K306">
        <v>10</v>
      </c>
      <c r="L306">
        <v>10</v>
      </c>
      <c r="M306">
        <v>6000</v>
      </c>
      <c r="N306" t="s">
        <v>30</v>
      </c>
      <c r="O306">
        <v>0</v>
      </c>
      <c r="P306">
        <v>0</v>
      </c>
      <c r="Q306">
        <v>0</v>
      </c>
      <c r="R306">
        <v>446</v>
      </c>
      <c r="S306">
        <v>454</v>
      </c>
      <c r="T306">
        <v>436</v>
      </c>
      <c r="U306">
        <v>13</v>
      </c>
      <c r="V306" t="s">
        <v>30</v>
      </c>
      <c r="W306" t="s">
        <v>263</v>
      </c>
      <c r="X306" t="s">
        <v>32</v>
      </c>
      <c r="Y306" t="s">
        <v>33</v>
      </c>
    </row>
    <row r="307" spans="1:25" x14ac:dyDescent="0.25">
      <c r="A307">
        <v>2025</v>
      </c>
      <c r="B307" t="s">
        <v>260</v>
      </c>
      <c r="C307" t="s">
        <v>261</v>
      </c>
      <c r="D307" t="s">
        <v>266</v>
      </c>
      <c r="E307" t="s">
        <v>28</v>
      </c>
      <c r="F307" t="s">
        <v>95</v>
      </c>
      <c r="G307">
        <v>133</v>
      </c>
      <c r="H307">
        <v>130</v>
      </c>
      <c r="I307">
        <v>132</v>
      </c>
      <c r="J307">
        <v>600</v>
      </c>
      <c r="K307">
        <v>10</v>
      </c>
      <c r="L307">
        <v>10</v>
      </c>
      <c r="M307">
        <v>6500</v>
      </c>
      <c r="N307" t="s">
        <v>30</v>
      </c>
      <c r="O307">
        <v>0</v>
      </c>
      <c r="P307">
        <v>0</v>
      </c>
      <c r="Q307">
        <v>0</v>
      </c>
      <c r="R307">
        <v>406</v>
      </c>
      <c r="S307">
        <v>411</v>
      </c>
      <c r="T307">
        <v>400</v>
      </c>
      <c r="U307">
        <v>10</v>
      </c>
      <c r="V307" t="s">
        <v>30</v>
      </c>
      <c r="W307" t="s">
        <v>263</v>
      </c>
      <c r="X307" t="s">
        <v>32</v>
      </c>
      <c r="Y307" t="s">
        <v>33</v>
      </c>
    </row>
    <row r="308" spans="1:25" x14ac:dyDescent="0.25">
      <c r="A308">
        <v>2025</v>
      </c>
      <c r="B308" t="s">
        <v>260</v>
      </c>
      <c r="C308" t="s">
        <v>261</v>
      </c>
      <c r="D308" t="s">
        <v>266</v>
      </c>
      <c r="E308" t="s">
        <v>28</v>
      </c>
      <c r="F308" t="s">
        <v>95</v>
      </c>
      <c r="G308">
        <v>25</v>
      </c>
      <c r="H308">
        <v>26</v>
      </c>
      <c r="I308">
        <v>26</v>
      </c>
      <c r="J308">
        <v>600</v>
      </c>
      <c r="K308">
        <v>10</v>
      </c>
      <c r="L308">
        <v>10</v>
      </c>
      <c r="M308">
        <v>6500</v>
      </c>
      <c r="N308" t="s">
        <v>30</v>
      </c>
      <c r="O308">
        <v>0</v>
      </c>
      <c r="P308">
        <v>0</v>
      </c>
      <c r="Q308">
        <v>0</v>
      </c>
      <c r="R308">
        <v>406</v>
      </c>
      <c r="S308">
        <v>411</v>
      </c>
      <c r="T308">
        <v>400</v>
      </c>
      <c r="U308">
        <v>10</v>
      </c>
      <c r="V308" t="s">
        <v>30</v>
      </c>
      <c r="W308" t="s">
        <v>263</v>
      </c>
      <c r="X308" t="s">
        <v>32</v>
      </c>
      <c r="Y308" t="s">
        <v>33</v>
      </c>
    </row>
    <row r="309" spans="1:25" x14ac:dyDescent="0.25">
      <c r="A309">
        <v>2025</v>
      </c>
      <c r="B309" t="s">
        <v>260</v>
      </c>
      <c r="C309" t="s">
        <v>261</v>
      </c>
      <c r="D309" t="s">
        <v>267</v>
      </c>
      <c r="E309" t="s">
        <v>28</v>
      </c>
      <c r="F309" t="s">
        <v>95</v>
      </c>
      <c r="G309">
        <v>124</v>
      </c>
      <c r="H309">
        <v>119</v>
      </c>
      <c r="I309">
        <v>121</v>
      </c>
      <c r="J309">
        <v>650</v>
      </c>
      <c r="K309">
        <v>10</v>
      </c>
      <c r="L309">
        <v>10</v>
      </c>
      <c r="M309">
        <v>6250</v>
      </c>
      <c r="N309" t="s">
        <v>30</v>
      </c>
      <c r="O309">
        <v>0</v>
      </c>
      <c r="P309">
        <v>0</v>
      </c>
      <c r="Q309">
        <v>0</v>
      </c>
      <c r="R309">
        <v>377</v>
      </c>
      <c r="S309">
        <v>384</v>
      </c>
      <c r="T309">
        <v>369</v>
      </c>
      <c r="U309">
        <v>10</v>
      </c>
      <c r="V309" t="s">
        <v>30</v>
      </c>
      <c r="W309" t="s">
        <v>263</v>
      </c>
      <c r="X309" t="s">
        <v>32</v>
      </c>
      <c r="Y309" t="s">
        <v>33</v>
      </c>
    </row>
    <row r="310" spans="1:25" x14ac:dyDescent="0.25">
      <c r="A310">
        <v>2025</v>
      </c>
      <c r="B310" t="s">
        <v>260</v>
      </c>
      <c r="C310" t="s">
        <v>261</v>
      </c>
      <c r="D310" t="s">
        <v>267</v>
      </c>
      <c r="E310" t="s">
        <v>28</v>
      </c>
      <c r="F310" t="s">
        <v>95</v>
      </c>
      <c r="G310">
        <v>27</v>
      </c>
      <c r="H310">
        <v>28</v>
      </c>
      <c r="I310">
        <v>28</v>
      </c>
      <c r="J310">
        <v>650</v>
      </c>
      <c r="K310">
        <v>10</v>
      </c>
      <c r="L310">
        <v>10</v>
      </c>
      <c r="M310">
        <v>6250</v>
      </c>
      <c r="N310" t="s">
        <v>30</v>
      </c>
      <c r="O310">
        <v>0</v>
      </c>
      <c r="P310">
        <v>0</v>
      </c>
      <c r="Q310">
        <v>0</v>
      </c>
      <c r="R310">
        <v>377</v>
      </c>
      <c r="S310">
        <v>384</v>
      </c>
      <c r="T310">
        <v>369</v>
      </c>
      <c r="U310">
        <v>10</v>
      </c>
      <c r="V310" t="s">
        <v>30</v>
      </c>
      <c r="W310" t="s">
        <v>263</v>
      </c>
      <c r="X310" t="s">
        <v>32</v>
      </c>
      <c r="Y310" t="s">
        <v>33</v>
      </c>
    </row>
    <row r="311" spans="1:25" x14ac:dyDescent="0.25">
      <c r="A311">
        <v>2025</v>
      </c>
      <c r="B311" t="s">
        <v>260</v>
      </c>
      <c r="C311" t="s">
        <v>261</v>
      </c>
      <c r="D311" t="s">
        <v>268</v>
      </c>
      <c r="E311" t="s">
        <v>28</v>
      </c>
      <c r="F311" t="s">
        <v>95</v>
      </c>
      <c r="G311">
        <v>119</v>
      </c>
      <c r="H311">
        <v>113</v>
      </c>
      <c r="I311">
        <v>116</v>
      </c>
      <c r="J311">
        <v>700</v>
      </c>
      <c r="K311">
        <v>10</v>
      </c>
      <c r="L311">
        <v>10</v>
      </c>
      <c r="M311">
        <v>6000</v>
      </c>
      <c r="N311" t="s">
        <v>30</v>
      </c>
      <c r="O311">
        <v>0</v>
      </c>
      <c r="P311">
        <v>0</v>
      </c>
      <c r="Q311">
        <v>0</v>
      </c>
      <c r="R311">
        <v>361</v>
      </c>
      <c r="S311">
        <v>370</v>
      </c>
      <c r="T311">
        <v>350</v>
      </c>
      <c r="U311">
        <v>10</v>
      </c>
      <c r="V311" t="s">
        <v>30</v>
      </c>
      <c r="W311" t="s">
        <v>263</v>
      </c>
      <c r="X311" t="s">
        <v>32</v>
      </c>
      <c r="Y311" t="s">
        <v>33</v>
      </c>
    </row>
    <row r="312" spans="1:25" x14ac:dyDescent="0.25">
      <c r="A312">
        <v>2025</v>
      </c>
      <c r="B312" t="s">
        <v>260</v>
      </c>
      <c r="C312" t="s">
        <v>261</v>
      </c>
      <c r="D312" t="s">
        <v>268</v>
      </c>
      <c r="E312" t="s">
        <v>28</v>
      </c>
      <c r="F312" t="s">
        <v>95</v>
      </c>
      <c r="G312">
        <v>28</v>
      </c>
      <c r="H312">
        <v>30</v>
      </c>
      <c r="I312">
        <v>29</v>
      </c>
      <c r="J312">
        <v>700</v>
      </c>
      <c r="K312">
        <v>10</v>
      </c>
      <c r="L312">
        <v>10</v>
      </c>
      <c r="M312">
        <v>6000</v>
      </c>
      <c r="N312" t="s">
        <v>30</v>
      </c>
      <c r="O312">
        <v>0</v>
      </c>
      <c r="P312">
        <v>0</v>
      </c>
      <c r="Q312">
        <v>0</v>
      </c>
      <c r="R312">
        <v>361</v>
      </c>
      <c r="S312">
        <v>370</v>
      </c>
      <c r="T312">
        <v>350</v>
      </c>
      <c r="U312">
        <v>10</v>
      </c>
      <c r="V312" t="s">
        <v>30</v>
      </c>
      <c r="W312" t="s">
        <v>263</v>
      </c>
      <c r="X312" t="s">
        <v>32</v>
      </c>
      <c r="Y312" t="s">
        <v>33</v>
      </c>
    </row>
    <row r="313" spans="1:25" x14ac:dyDescent="0.25">
      <c r="A313">
        <v>2025</v>
      </c>
      <c r="B313" t="s">
        <v>260</v>
      </c>
      <c r="C313" t="s">
        <v>261</v>
      </c>
      <c r="D313" t="s">
        <v>269</v>
      </c>
      <c r="E313" t="s">
        <v>46</v>
      </c>
      <c r="F313" t="s">
        <v>95</v>
      </c>
      <c r="G313">
        <v>149</v>
      </c>
      <c r="H313">
        <v>142</v>
      </c>
      <c r="I313">
        <v>146</v>
      </c>
      <c r="J313">
        <v>550</v>
      </c>
      <c r="K313">
        <v>10</v>
      </c>
      <c r="L313">
        <v>10</v>
      </c>
      <c r="M313">
        <v>6750</v>
      </c>
      <c r="N313" t="s">
        <v>30</v>
      </c>
      <c r="O313">
        <v>0</v>
      </c>
      <c r="P313">
        <v>0</v>
      </c>
      <c r="Q313">
        <v>0</v>
      </c>
      <c r="R313">
        <v>420</v>
      </c>
      <c r="S313">
        <v>430</v>
      </c>
      <c r="T313">
        <v>408</v>
      </c>
      <c r="U313">
        <v>10</v>
      </c>
      <c r="V313" t="s">
        <v>30</v>
      </c>
      <c r="W313" t="s">
        <v>270</v>
      </c>
      <c r="X313" t="s">
        <v>32</v>
      </c>
      <c r="Y313" t="s">
        <v>33</v>
      </c>
    </row>
    <row r="314" spans="1:25" x14ac:dyDescent="0.25">
      <c r="A314">
        <v>2025</v>
      </c>
      <c r="B314" t="s">
        <v>260</v>
      </c>
      <c r="C314" t="s">
        <v>261</v>
      </c>
      <c r="D314" t="s">
        <v>269</v>
      </c>
      <c r="E314" t="s">
        <v>46</v>
      </c>
      <c r="F314" t="s">
        <v>95</v>
      </c>
      <c r="G314">
        <v>23</v>
      </c>
      <c r="H314">
        <v>24</v>
      </c>
      <c r="I314">
        <v>23</v>
      </c>
      <c r="J314">
        <v>550</v>
      </c>
      <c r="K314">
        <v>10</v>
      </c>
      <c r="L314">
        <v>10</v>
      </c>
      <c r="M314">
        <v>6750</v>
      </c>
      <c r="N314" t="s">
        <v>30</v>
      </c>
      <c r="O314">
        <v>0</v>
      </c>
      <c r="P314">
        <v>0</v>
      </c>
      <c r="Q314">
        <v>0</v>
      </c>
      <c r="R314">
        <v>420</v>
      </c>
      <c r="S314">
        <v>430</v>
      </c>
      <c r="T314">
        <v>408</v>
      </c>
      <c r="U314">
        <v>10</v>
      </c>
      <c r="V314" t="s">
        <v>30</v>
      </c>
      <c r="W314" t="s">
        <v>270</v>
      </c>
      <c r="X314" t="s">
        <v>32</v>
      </c>
      <c r="Y314" t="s">
        <v>33</v>
      </c>
    </row>
    <row r="315" spans="1:25" x14ac:dyDescent="0.25">
      <c r="A315">
        <v>2025</v>
      </c>
      <c r="B315" t="s">
        <v>260</v>
      </c>
      <c r="C315" t="s">
        <v>261</v>
      </c>
      <c r="D315" t="s">
        <v>271</v>
      </c>
      <c r="E315" t="s">
        <v>46</v>
      </c>
      <c r="F315" t="s">
        <v>95</v>
      </c>
      <c r="G315">
        <v>132</v>
      </c>
      <c r="H315">
        <v>125</v>
      </c>
      <c r="I315">
        <v>129</v>
      </c>
      <c r="J315">
        <v>600</v>
      </c>
      <c r="K315">
        <v>10</v>
      </c>
      <c r="L315">
        <v>10</v>
      </c>
      <c r="M315">
        <v>6500</v>
      </c>
      <c r="N315" t="s">
        <v>30</v>
      </c>
      <c r="O315">
        <v>0</v>
      </c>
      <c r="P315">
        <v>0</v>
      </c>
      <c r="Q315">
        <v>0</v>
      </c>
      <c r="R315">
        <v>372</v>
      </c>
      <c r="S315">
        <v>381</v>
      </c>
      <c r="T315">
        <v>361</v>
      </c>
      <c r="U315">
        <v>10</v>
      </c>
      <c r="V315" t="s">
        <v>30</v>
      </c>
      <c r="W315" t="s">
        <v>270</v>
      </c>
      <c r="X315" t="s">
        <v>32</v>
      </c>
      <c r="Y315" t="s">
        <v>33</v>
      </c>
    </row>
    <row r="316" spans="1:25" x14ac:dyDescent="0.25">
      <c r="A316">
        <v>2025</v>
      </c>
      <c r="B316" t="s">
        <v>260</v>
      </c>
      <c r="C316" t="s">
        <v>261</v>
      </c>
      <c r="D316" t="s">
        <v>271</v>
      </c>
      <c r="E316" t="s">
        <v>46</v>
      </c>
      <c r="F316" t="s">
        <v>95</v>
      </c>
      <c r="G316">
        <v>25</v>
      </c>
      <c r="H316">
        <v>27</v>
      </c>
      <c r="I316">
        <v>26</v>
      </c>
      <c r="J316">
        <v>600</v>
      </c>
      <c r="K316">
        <v>10</v>
      </c>
      <c r="L316">
        <v>10</v>
      </c>
      <c r="M316">
        <v>6500</v>
      </c>
      <c r="N316" t="s">
        <v>30</v>
      </c>
      <c r="O316">
        <v>0</v>
      </c>
      <c r="P316">
        <v>0</v>
      </c>
      <c r="Q316">
        <v>0</v>
      </c>
      <c r="R316">
        <v>372</v>
      </c>
      <c r="S316">
        <v>381</v>
      </c>
      <c r="T316">
        <v>361</v>
      </c>
      <c r="U316">
        <v>10</v>
      </c>
      <c r="V316" t="s">
        <v>30</v>
      </c>
      <c r="W316" t="s">
        <v>270</v>
      </c>
      <c r="X316" t="s">
        <v>32</v>
      </c>
      <c r="Y316" t="s">
        <v>33</v>
      </c>
    </row>
    <row r="317" spans="1:25" x14ac:dyDescent="0.25">
      <c r="A317">
        <v>2025</v>
      </c>
      <c r="B317" t="s">
        <v>260</v>
      </c>
      <c r="C317" t="s">
        <v>261</v>
      </c>
      <c r="D317" t="s">
        <v>272</v>
      </c>
      <c r="E317" t="s">
        <v>28</v>
      </c>
      <c r="F317" t="s">
        <v>95</v>
      </c>
      <c r="G317">
        <v>108</v>
      </c>
      <c r="H317">
        <v>101</v>
      </c>
      <c r="I317">
        <v>105</v>
      </c>
      <c r="J317">
        <v>750</v>
      </c>
      <c r="K317">
        <v>10</v>
      </c>
      <c r="L317">
        <v>10</v>
      </c>
      <c r="M317">
        <v>5750</v>
      </c>
      <c r="N317" t="s">
        <v>30</v>
      </c>
      <c r="O317">
        <v>0</v>
      </c>
      <c r="P317">
        <v>0</v>
      </c>
      <c r="Q317">
        <v>0</v>
      </c>
      <c r="R317">
        <v>427</v>
      </c>
      <c r="S317">
        <v>439</v>
      </c>
      <c r="T317">
        <v>412</v>
      </c>
      <c r="U317">
        <v>13</v>
      </c>
      <c r="V317" t="s">
        <v>30</v>
      </c>
      <c r="W317" t="s">
        <v>273</v>
      </c>
      <c r="X317" t="s">
        <v>32</v>
      </c>
      <c r="Y317" t="s">
        <v>33</v>
      </c>
    </row>
    <row r="318" spans="1:25" x14ac:dyDescent="0.25">
      <c r="A318">
        <v>2025</v>
      </c>
      <c r="B318" t="s">
        <v>260</v>
      </c>
      <c r="C318" t="s">
        <v>261</v>
      </c>
      <c r="D318" t="s">
        <v>272</v>
      </c>
      <c r="E318" t="s">
        <v>28</v>
      </c>
      <c r="F318" t="s">
        <v>95</v>
      </c>
      <c r="G318">
        <v>31</v>
      </c>
      <c r="H318">
        <v>33</v>
      </c>
      <c r="I318">
        <v>32</v>
      </c>
      <c r="J318">
        <v>750</v>
      </c>
      <c r="K318">
        <v>10</v>
      </c>
      <c r="L318">
        <v>10</v>
      </c>
      <c r="M318">
        <v>5750</v>
      </c>
      <c r="N318" t="s">
        <v>30</v>
      </c>
      <c r="O318">
        <v>0</v>
      </c>
      <c r="P318">
        <v>0</v>
      </c>
      <c r="Q318">
        <v>0</v>
      </c>
      <c r="R318">
        <v>427</v>
      </c>
      <c r="S318">
        <v>439</v>
      </c>
      <c r="T318">
        <v>412</v>
      </c>
      <c r="U318">
        <v>13</v>
      </c>
      <c r="V318" t="s">
        <v>30</v>
      </c>
      <c r="W318" t="s">
        <v>273</v>
      </c>
      <c r="X318" t="s">
        <v>32</v>
      </c>
      <c r="Y318" t="s">
        <v>33</v>
      </c>
    </row>
    <row r="319" spans="1:25" x14ac:dyDescent="0.25">
      <c r="A319">
        <v>2025</v>
      </c>
      <c r="B319" t="s">
        <v>260</v>
      </c>
      <c r="C319" t="s">
        <v>261</v>
      </c>
      <c r="D319" t="s">
        <v>262</v>
      </c>
      <c r="E319" t="s">
        <v>28</v>
      </c>
      <c r="F319" t="s">
        <v>95</v>
      </c>
      <c r="G319">
        <v>129</v>
      </c>
      <c r="H319">
        <v>126</v>
      </c>
      <c r="I319">
        <v>128</v>
      </c>
      <c r="J319">
        <v>600</v>
      </c>
      <c r="K319">
        <v>10</v>
      </c>
      <c r="L319">
        <v>10</v>
      </c>
      <c r="M319">
        <v>6500</v>
      </c>
      <c r="N319" t="s">
        <v>30</v>
      </c>
      <c r="O319">
        <v>0</v>
      </c>
      <c r="P319">
        <v>0</v>
      </c>
      <c r="Q319">
        <v>0</v>
      </c>
      <c r="R319">
        <v>512</v>
      </c>
      <c r="S319">
        <v>516</v>
      </c>
      <c r="T319">
        <v>507</v>
      </c>
      <c r="U319">
        <v>13</v>
      </c>
      <c r="V319" t="s">
        <v>30</v>
      </c>
      <c r="W319" t="s">
        <v>263</v>
      </c>
      <c r="X319" t="s">
        <v>32</v>
      </c>
      <c r="Y319" t="s">
        <v>33</v>
      </c>
    </row>
    <row r="320" spans="1:25" x14ac:dyDescent="0.25">
      <c r="A320">
        <v>2025</v>
      </c>
      <c r="B320" t="s">
        <v>260</v>
      </c>
      <c r="C320" t="s">
        <v>261</v>
      </c>
      <c r="D320" t="s">
        <v>262</v>
      </c>
      <c r="E320" t="s">
        <v>28</v>
      </c>
      <c r="F320" t="s">
        <v>95</v>
      </c>
      <c r="G320">
        <v>26</v>
      </c>
      <c r="H320">
        <v>27</v>
      </c>
      <c r="I320">
        <v>26</v>
      </c>
      <c r="J320">
        <v>600</v>
      </c>
      <c r="K320">
        <v>10</v>
      </c>
      <c r="L320">
        <v>10</v>
      </c>
      <c r="M320">
        <v>6500</v>
      </c>
      <c r="N320" t="s">
        <v>30</v>
      </c>
      <c r="O320">
        <v>0</v>
      </c>
      <c r="P320">
        <v>0</v>
      </c>
      <c r="Q320">
        <v>0</v>
      </c>
      <c r="R320">
        <v>512</v>
      </c>
      <c r="S320">
        <v>516</v>
      </c>
      <c r="T320">
        <v>507</v>
      </c>
      <c r="U320">
        <v>13</v>
      </c>
      <c r="V320" t="s">
        <v>30</v>
      </c>
      <c r="W320" t="s">
        <v>263</v>
      </c>
      <c r="X320" t="s">
        <v>32</v>
      </c>
      <c r="Y320" t="s">
        <v>33</v>
      </c>
    </row>
    <row r="321" spans="1:25" x14ac:dyDescent="0.25">
      <c r="A321">
        <v>2025</v>
      </c>
      <c r="B321" t="s">
        <v>260</v>
      </c>
      <c r="C321" t="s">
        <v>261</v>
      </c>
      <c r="D321" t="s">
        <v>264</v>
      </c>
      <c r="E321" t="s">
        <v>28</v>
      </c>
      <c r="F321" t="s">
        <v>95</v>
      </c>
      <c r="G321">
        <v>122</v>
      </c>
      <c r="H321">
        <v>117</v>
      </c>
      <c r="I321">
        <v>120</v>
      </c>
      <c r="J321">
        <v>650</v>
      </c>
      <c r="K321">
        <v>9</v>
      </c>
      <c r="L321">
        <v>10</v>
      </c>
      <c r="M321">
        <v>6250</v>
      </c>
      <c r="N321" t="s">
        <v>30</v>
      </c>
      <c r="O321">
        <v>0</v>
      </c>
      <c r="P321">
        <v>0</v>
      </c>
      <c r="Q321">
        <v>0</v>
      </c>
      <c r="R321">
        <v>480</v>
      </c>
      <c r="S321">
        <v>488</v>
      </c>
      <c r="T321">
        <v>470</v>
      </c>
      <c r="U321">
        <v>13</v>
      </c>
      <c r="V321" t="s">
        <v>30</v>
      </c>
      <c r="W321" t="s">
        <v>263</v>
      </c>
      <c r="X321" t="s">
        <v>32</v>
      </c>
      <c r="Y321" t="s">
        <v>33</v>
      </c>
    </row>
    <row r="322" spans="1:25" x14ac:dyDescent="0.25">
      <c r="A322">
        <v>2025</v>
      </c>
      <c r="B322" t="s">
        <v>260</v>
      </c>
      <c r="C322" t="s">
        <v>261</v>
      </c>
      <c r="D322" t="s">
        <v>264</v>
      </c>
      <c r="E322" t="s">
        <v>28</v>
      </c>
      <c r="F322" t="s">
        <v>95</v>
      </c>
      <c r="G322">
        <v>28</v>
      </c>
      <c r="H322">
        <v>29</v>
      </c>
      <c r="I322">
        <v>28</v>
      </c>
      <c r="J322">
        <v>650</v>
      </c>
      <c r="K322">
        <v>9</v>
      </c>
      <c r="L322">
        <v>10</v>
      </c>
      <c r="M322">
        <v>6250</v>
      </c>
      <c r="N322" t="s">
        <v>30</v>
      </c>
      <c r="O322">
        <v>0</v>
      </c>
      <c r="P322">
        <v>0</v>
      </c>
      <c r="Q322">
        <v>0</v>
      </c>
      <c r="R322">
        <v>480</v>
      </c>
      <c r="S322">
        <v>488</v>
      </c>
      <c r="T322">
        <v>470</v>
      </c>
      <c r="U322">
        <v>13</v>
      </c>
      <c r="V322" t="s">
        <v>30</v>
      </c>
      <c r="W322" t="s">
        <v>263</v>
      </c>
      <c r="X322" t="s">
        <v>32</v>
      </c>
      <c r="Y322" t="s">
        <v>33</v>
      </c>
    </row>
    <row r="323" spans="1:25" x14ac:dyDescent="0.25">
      <c r="A323">
        <v>2025</v>
      </c>
      <c r="B323" t="s">
        <v>260</v>
      </c>
      <c r="C323" t="s">
        <v>261</v>
      </c>
      <c r="D323" t="s">
        <v>265</v>
      </c>
      <c r="E323" t="s">
        <v>28</v>
      </c>
      <c r="F323" t="s">
        <v>95</v>
      </c>
      <c r="G323">
        <v>114</v>
      </c>
      <c r="H323">
        <v>109</v>
      </c>
      <c r="I323">
        <v>112</v>
      </c>
      <c r="J323">
        <v>700</v>
      </c>
      <c r="K323">
        <v>9</v>
      </c>
      <c r="L323">
        <v>10</v>
      </c>
      <c r="M323">
        <v>6000</v>
      </c>
      <c r="N323" t="s">
        <v>30</v>
      </c>
      <c r="O323">
        <v>0</v>
      </c>
      <c r="P323">
        <v>0</v>
      </c>
      <c r="Q323">
        <v>0</v>
      </c>
      <c r="R323">
        <v>446</v>
      </c>
      <c r="S323">
        <v>454</v>
      </c>
      <c r="T323">
        <v>436</v>
      </c>
      <c r="U323">
        <v>13</v>
      </c>
      <c r="V323" t="s">
        <v>30</v>
      </c>
      <c r="W323" t="s">
        <v>263</v>
      </c>
      <c r="X323" t="s">
        <v>32</v>
      </c>
      <c r="Y323" t="s">
        <v>33</v>
      </c>
    </row>
    <row r="324" spans="1:25" x14ac:dyDescent="0.25">
      <c r="A324">
        <v>2025</v>
      </c>
      <c r="B324" t="s">
        <v>260</v>
      </c>
      <c r="C324" t="s">
        <v>261</v>
      </c>
      <c r="D324" t="s">
        <v>265</v>
      </c>
      <c r="E324" t="s">
        <v>28</v>
      </c>
      <c r="F324" t="s">
        <v>95</v>
      </c>
      <c r="G324">
        <v>30</v>
      </c>
      <c r="H324">
        <v>31</v>
      </c>
      <c r="I324">
        <v>30</v>
      </c>
      <c r="J324">
        <v>700</v>
      </c>
      <c r="K324">
        <v>9</v>
      </c>
      <c r="L324">
        <v>10</v>
      </c>
      <c r="M324">
        <v>6000</v>
      </c>
      <c r="N324" t="s">
        <v>30</v>
      </c>
      <c r="O324">
        <v>0</v>
      </c>
      <c r="P324">
        <v>0</v>
      </c>
      <c r="Q324">
        <v>0</v>
      </c>
      <c r="R324">
        <v>446</v>
      </c>
      <c r="S324">
        <v>454</v>
      </c>
      <c r="T324">
        <v>436</v>
      </c>
      <c r="U324">
        <v>13</v>
      </c>
      <c r="V324" t="s">
        <v>30</v>
      </c>
      <c r="W324" t="s">
        <v>263</v>
      </c>
      <c r="X324" t="s">
        <v>32</v>
      </c>
      <c r="Y324" t="s">
        <v>33</v>
      </c>
    </row>
    <row r="325" spans="1:25" x14ac:dyDescent="0.25">
      <c r="A325">
        <v>2025</v>
      </c>
      <c r="B325" t="s">
        <v>260</v>
      </c>
      <c r="C325" t="s">
        <v>261</v>
      </c>
      <c r="D325" t="s">
        <v>266</v>
      </c>
      <c r="E325" t="s">
        <v>28</v>
      </c>
      <c r="F325" t="s">
        <v>95</v>
      </c>
      <c r="G325">
        <v>133</v>
      </c>
      <c r="H325">
        <v>130</v>
      </c>
      <c r="I325">
        <v>132</v>
      </c>
      <c r="J325">
        <v>600</v>
      </c>
      <c r="K325">
        <v>10</v>
      </c>
      <c r="L325">
        <v>10</v>
      </c>
      <c r="M325">
        <v>6500</v>
      </c>
      <c r="N325" t="s">
        <v>30</v>
      </c>
      <c r="O325">
        <v>0</v>
      </c>
      <c r="P325">
        <v>0</v>
      </c>
      <c r="Q325">
        <v>0</v>
      </c>
      <c r="R325">
        <v>406</v>
      </c>
      <c r="S325">
        <v>411</v>
      </c>
      <c r="T325">
        <v>400</v>
      </c>
      <c r="U325">
        <v>10</v>
      </c>
      <c r="V325" t="s">
        <v>30</v>
      </c>
      <c r="W325" t="s">
        <v>263</v>
      </c>
      <c r="X325" t="s">
        <v>32</v>
      </c>
      <c r="Y325" t="s">
        <v>33</v>
      </c>
    </row>
    <row r="326" spans="1:25" x14ac:dyDescent="0.25">
      <c r="A326">
        <v>2025</v>
      </c>
      <c r="B326" t="s">
        <v>260</v>
      </c>
      <c r="C326" t="s">
        <v>261</v>
      </c>
      <c r="D326" t="s">
        <v>266</v>
      </c>
      <c r="E326" t="s">
        <v>28</v>
      </c>
      <c r="F326" t="s">
        <v>95</v>
      </c>
      <c r="G326">
        <v>25</v>
      </c>
      <c r="H326">
        <v>26</v>
      </c>
      <c r="I326">
        <v>26</v>
      </c>
      <c r="J326">
        <v>600</v>
      </c>
      <c r="K326">
        <v>10</v>
      </c>
      <c r="L326">
        <v>10</v>
      </c>
      <c r="M326">
        <v>6500</v>
      </c>
      <c r="N326" t="s">
        <v>30</v>
      </c>
      <c r="O326">
        <v>0</v>
      </c>
      <c r="P326">
        <v>0</v>
      </c>
      <c r="Q326">
        <v>0</v>
      </c>
      <c r="R326">
        <v>406</v>
      </c>
      <c r="S326">
        <v>411</v>
      </c>
      <c r="T326">
        <v>400</v>
      </c>
      <c r="U326">
        <v>10</v>
      </c>
      <c r="V326" t="s">
        <v>30</v>
      </c>
      <c r="W326" t="s">
        <v>263</v>
      </c>
      <c r="X326" t="s">
        <v>32</v>
      </c>
      <c r="Y326" t="s">
        <v>33</v>
      </c>
    </row>
    <row r="327" spans="1:25" x14ac:dyDescent="0.25">
      <c r="A327">
        <v>2025</v>
      </c>
      <c r="B327" t="s">
        <v>260</v>
      </c>
      <c r="C327" t="s">
        <v>261</v>
      </c>
      <c r="D327" t="s">
        <v>267</v>
      </c>
      <c r="E327" t="s">
        <v>28</v>
      </c>
      <c r="F327" t="s">
        <v>95</v>
      </c>
      <c r="G327">
        <v>124</v>
      </c>
      <c r="H327">
        <v>119</v>
      </c>
      <c r="I327">
        <v>121</v>
      </c>
      <c r="J327">
        <v>650</v>
      </c>
      <c r="K327">
        <v>10</v>
      </c>
      <c r="L327">
        <v>10</v>
      </c>
      <c r="M327">
        <v>6250</v>
      </c>
      <c r="N327" t="s">
        <v>30</v>
      </c>
      <c r="O327">
        <v>0</v>
      </c>
      <c r="P327">
        <v>0</v>
      </c>
      <c r="Q327">
        <v>0</v>
      </c>
      <c r="R327">
        <v>377</v>
      </c>
      <c r="S327">
        <v>384</v>
      </c>
      <c r="T327">
        <v>369</v>
      </c>
      <c r="U327">
        <v>10</v>
      </c>
      <c r="V327" t="s">
        <v>30</v>
      </c>
      <c r="W327" t="s">
        <v>263</v>
      </c>
      <c r="X327" t="s">
        <v>32</v>
      </c>
      <c r="Y327" t="s">
        <v>33</v>
      </c>
    </row>
    <row r="328" spans="1:25" x14ac:dyDescent="0.25">
      <c r="A328">
        <v>2025</v>
      </c>
      <c r="B328" t="s">
        <v>260</v>
      </c>
      <c r="C328" t="s">
        <v>261</v>
      </c>
      <c r="D328" t="s">
        <v>267</v>
      </c>
      <c r="E328" t="s">
        <v>28</v>
      </c>
      <c r="F328" t="s">
        <v>95</v>
      </c>
      <c r="G328">
        <v>27</v>
      </c>
      <c r="H328">
        <v>28</v>
      </c>
      <c r="I328">
        <v>28</v>
      </c>
      <c r="J328">
        <v>650</v>
      </c>
      <c r="K328">
        <v>10</v>
      </c>
      <c r="L328">
        <v>10</v>
      </c>
      <c r="M328">
        <v>6250</v>
      </c>
      <c r="N328" t="s">
        <v>30</v>
      </c>
      <c r="O328">
        <v>0</v>
      </c>
      <c r="P328">
        <v>0</v>
      </c>
      <c r="Q328">
        <v>0</v>
      </c>
      <c r="R328">
        <v>377</v>
      </c>
      <c r="S328">
        <v>384</v>
      </c>
      <c r="T328">
        <v>369</v>
      </c>
      <c r="U328">
        <v>10</v>
      </c>
      <c r="V328" t="s">
        <v>30</v>
      </c>
      <c r="W328" t="s">
        <v>263</v>
      </c>
      <c r="X328" t="s">
        <v>32</v>
      </c>
      <c r="Y328" t="s">
        <v>33</v>
      </c>
    </row>
    <row r="329" spans="1:25" x14ac:dyDescent="0.25">
      <c r="A329">
        <v>2025</v>
      </c>
      <c r="B329" t="s">
        <v>260</v>
      </c>
      <c r="C329" t="s">
        <v>261</v>
      </c>
      <c r="D329" t="s">
        <v>268</v>
      </c>
      <c r="E329" t="s">
        <v>28</v>
      </c>
      <c r="F329" t="s">
        <v>95</v>
      </c>
      <c r="G329">
        <v>119</v>
      </c>
      <c r="H329">
        <v>113</v>
      </c>
      <c r="I329">
        <v>116</v>
      </c>
      <c r="J329">
        <v>700</v>
      </c>
      <c r="K329">
        <v>9</v>
      </c>
      <c r="L329">
        <v>10</v>
      </c>
      <c r="M329">
        <v>6000</v>
      </c>
      <c r="N329" t="s">
        <v>30</v>
      </c>
      <c r="O329">
        <v>0</v>
      </c>
      <c r="P329">
        <v>0</v>
      </c>
      <c r="Q329">
        <v>0</v>
      </c>
      <c r="R329">
        <v>361</v>
      </c>
      <c r="S329">
        <v>370</v>
      </c>
      <c r="T329">
        <v>350</v>
      </c>
      <c r="U329">
        <v>10</v>
      </c>
      <c r="V329" t="s">
        <v>30</v>
      </c>
      <c r="W329" t="s">
        <v>263</v>
      </c>
      <c r="X329" t="s">
        <v>32</v>
      </c>
      <c r="Y329" t="s">
        <v>33</v>
      </c>
    </row>
    <row r="330" spans="1:25" x14ac:dyDescent="0.25">
      <c r="A330">
        <v>2025</v>
      </c>
      <c r="B330" t="s">
        <v>260</v>
      </c>
      <c r="C330" t="s">
        <v>261</v>
      </c>
      <c r="D330" t="s">
        <v>268</v>
      </c>
      <c r="E330" t="s">
        <v>28</v>
      </c>
      <c r="F330" t="s">
        <v>95</v>
      </c>
      <c r="G330">
        <v>28</v>
      </c>
      <c r="H330">
        <v>30</v>
      </c>
      <c r="I330">
        <v>29</v>
      </c>
      <c r="J330">
        <v>700</v>
      </c>
      <c r="K330">
        <v>9</v>
      </c>
      <c r="L330">
        <v>10</v>
      </c>
      <c r="M330">
        <v>6000</v>
      </c>
      <c r="N330" t="s">
        <v>30</v>
      </c>
      <c r="O330">
        <v>0</v>
      </c>
      <c r="P330">
        <v>0</v>
      </c>
      <c r="Q330">
        <v>0</v>
      </c>
      <c r="R330">
        <v>361</v>
      </c>
      <c r="S330">
        <v>370</v>
      </c>
      <c r="T330">
        <v>350</v>
      </c>
      <c r="U330">
        <v>10</v>
      </c>
      <c r="V330" t="s">
        <v>30</v>
      </c>
      <c r="W330" t="s">
        <v>263</v>
      </c>
      <c r="X330" t="s">
        <v>32</v>
      </c>
      <c r="Y330" t="s">
        <v>33</v>
      </c>
    </row>
    <row r="331" spans="1:25" x14ac:dyDescent="0.25">
      <c r="A331">
        <v>2025</v>
      </c>
      <c r="B331" t="s">
        <v>260</v>
      </c>
      <c r="C331" t="s">
        <v>261</v>
      </c>
      <c r="D331" t="s">
        <v>272</v>
      </c>
      <c r="E331" t="s">
        <v>28</v>
      </c>
      <c r="F331" t="s">
        <v>95</v>
      </c>
      <c r="G331">
        <v>108</v>
      </c>
      <c r="H331">
        <v>101</v>
      </c>
      <c r="I331">
        <v>105</v>
      </c>
      <c r="J331">
        <v>750</v>
      </c>
      <c r="K331">
        <v>9</v>
      </c>
      <c r="L331">
        <v>10</v>
      </c>
      <c r="M331">
        <v>5750</v>
      </c>
      <c r="N331" t="s">
        <v>30</v>
      </c>
      <c r="O331">
        <v>0</v>
      </c>
      <c r="P331">
        <v>0</v>
      </c>
      <c r="Q331">
        <v>0</v>
      </c>
      <c r="R331">
        <v>427</v>
      </c>
      <c r="S331">
        <v>439</v>
      </c>
      <c r="T331">
        <v>412</v>
      </c>
      <c r="U331">
        <v>13</v>
      </c>
      <c r="V331" t="s">
        <v>30</v>
      </c>
      <c r="W331" t="s">
        <v>274</v>
      </c>
      <c r="X331" t="s">
        <v>32</v>
      </c>
      <c r="Y331" t="s">
        <v>33</v>
      </c>
    </row>
    <row r="332" spans="1:25" x14ac:dyDescent="0.25">
      <c r="A332">
        <v>2025</v>
      </c>
      <c r="B332" t="s">
        <v>260</v>
      </c>
      <c r="C332" t="s">
        <v>261</v>
      </c>
      <c r="D332" t="s">
        <v>272</v>
      </c>
      <c r="E332" t="s">
        <v>28</v>
      </c>
      <c r="F332" t="s">
        <v>95</v>
      </c>
      <c r="G332">
        <v>31</v>
      </c>
      <c r="H332">
        <v>33</v>
      </c>
      <c r="I332">
        <v>32</v>
      </c>
      <c r="J332">
        <v>750</v>
      </c>
      <c r="K332">
        <v>9</v>
      </c>
      <c r="L332">
        <v>10</v>
      </c>
      <c r="M332">
        <v>5750</v>
      </c>
      <c r="N332" t="s">
        <v>30</v>
      </c>
      <c r="O332">
        <v>0</v>
      </c>
      <c r="P332">
        <v>0</v>
      </c>
      <c r="Q332">
        <v>0</v>
      </c>
      <c r="R332">
        <v>427</v>
      </c>
      <c r="S332">
        <v>439</v>
      </c>
      <c r="T332">
        <v>412</v>
      </c>
      <c r="U332">
        <v>13</v>
      </c>
      <c r="V332" t="s">
        <v>30</v>
      </c>
      <c r="W332" t="s">
        <v>274</v>
      </c>
      <c r="X332" t="s">
        <v>32</v>
      </c>
      <c r="Y332" t="s">
        <v>33</v>
      </c>
    </row>
    <row r="333" spans="1:25" x14ac:dyDescent="0.25">
      <c r="A333">
        <v>2025</v>
      </c>
      <c r="B333" t="s">
        <v>260</v>
      </c>
      <c r="C333" t="s">
        <v>261</v>
      </c>
      <c r="D333" t="s">
        <v>275</v>
      </c>
      <c r="E333" t="s">
        <v>28</v>
      </c>
      <c r="F333" t="s">
        <v>29</v>
      </c>
      <c r="G333">
        <v>113</v>
      </c>
      <c r="H333">
        <v>103</v>
      </c>
      <c r="I333">
        <v>108</v>
      </c>
      <c r="J333">
        <v>750</v>
      </c>
      <c r="K333">
        <v>9</v>
      </c>
      <c r="L333">
        <v>10</v>
      </c>
      <c r="M333">
        <v>5750</v>
      </c>
      <c r="N333" t="s">
        <v>30</v>
      </c>
      <c r="O333">
        <v>0</v>
      </c>
      <c r="P333">
        <v>0</v>
      </c>
      <c r="Q333">
        <v>0</v>
      </c>
      <c r="R333">
        <v>450</v>
      </c>
      <c r="S333">
        <v>469</v>
      </c>
      <c r="T333">
        <v>426</v>
      </c>
      <c r="U333">
        <v>9.5</v>
      </c>
      <c r="V333" t="s">
        <v>30</v>
      </c>
      <c r="W333" t="s">
        <v>276</v>
      </c>
      <c r="X333" t="s">
        <v>32</v>
      </c>
      <c r="Y333" t="s">
        <v>33</v>
      </c>
    </row>
    <row r="334" spans="1:25" x14ac:dyDescent="0.25">
      <c r="A334">
        <v>2025</v>
      </c>
      <c r="B334" t="s">
        <v>260</v>
      </c>
      <c r="C334" t="s">
        <v>261</v>
      </c>
      <c r="D334" t="s">
        <v>275</v>
      </c>
      <c r="E334" t="s">
        <v>28</v>
      </c>
      <c r="F334" t="s">
        <v>29</v>
      </c>
      <c r="G334">
        <v>30</v>
      </c>
      <c r="H334">
        <v>33</v>
      </c>
      <c r="I334">
        <v>31</v>
      </c>
      <c r="J334">
        <v>750</v>
      </c>
      <c r="K334">
        <v>9</v>
      </c>
      <c r="L334">
        <v>10</v>
      </c>
      <c r="M334">
        <v>5750</v>
      </c>
      <c r="N334" t="s">
        <v>30</v>
      </c>
      <c r="O334">
        <v>0</v>
      </c>
      <c r="P334">
        <v>0</v>
      </c>
      <c r="Q334">
        <v>0</v>
      </c>
      <c r="R334">
        <v>450</v>
      </c>
      <c r="S334">
        <v>469</v>
      </c>
      <c r="T334">
        <v>426</v>
      </c>
      <c r="U334">
        <v>9.5</v>
      </c>
      <c r="V334" t="s">
        <v>30</v>
      </c>
      <c r="W334" t="s">
        <v>276</v>
      </c>
      <c r="X334" t="s">
        <v>32</v>
      </c>
      <c r="Y334" t="s">
        <v>33</v>
      </c>
    </row>
    <row r="335" spans="1:25" x14ac:dyDescent="0.25">
      <c r="A335">
        <v>2025</v>
      </c>
      <c r="B335" t="s">
        <v>260</v>
      </c>
      <c r="C335" t="s">
        <v>261</v>
      </c>
      <c r="D335" t="s">
        <v>277</v>
      </c>
      <c r="E335" t="s">
        <v>28</v>
      </c>
      <c r="F335" t="s">
        <v>29</v>
      </c>
      <c r="G335">
        <v>102</v>
      </c>
      <c r="H335">
        <v>94</v>
      </c>
      <c r="I335">
        <v>98</v>
      </c>
      <c r="J335">
        <v>800</v>
      </c>
      <c r="K335">
        <v>9</v>
      </c>
      <c r="L335">
        <v>10</v>
      </c>
      <c r="M335">
        <v>5500</v>
      </c>
      <c r="N335" t="s">
        <v>30</v>
      </c>
      <c r="O335">
        <v>0</v>
      </c>
      <c r="P335">
        <v>0</v>
      </c>
      <c r="Q335">
        <v>0</v>
      </c>
      <c r="R335">
        <v>407</v>
      </c>
      <c r="S335">
        <v>422</v>
      </c>
      <c r="T335">
        <v>389</v>
      </c>
      <c r="U335">
        <v>9.5</v>
      </c>
      <c r="V335" t="s">
        <v>30</v>
      </c>
      <c r="W335" t="s">
        <v>276</v>
      </c>
      <c r="X335" t="s">
        <v>32</v>
      </c>
      <c r="Y335" t="s">
        <v>33</v>
      </c>
    </row>
    <row r="336" spans="1:25" x14ac:dyDescent="0.25">
      <c r="A336">
        <v>2025</v>
      </c>
      <c r="B336" t="s">
        <v>260</v>
      </c>
      <c r="C336" t="s">
        <v>261</v>
      </c>
      <c r="D336" t="s">
        <v>277</v>
      </c>
      <c r="E336" t="s">
        <v>28</v>
      </c>
      <c r="F336" t="s">
        <v>29</v>
      </c>
      <c r="G336">
        <v>33</v>
      </c>
      <c r="H336">
        <v>36</v>
      </c>
      <c r="I336">
        <v>34</v>
      </c>
      <c r="J336">
        <v>800</v>
      </c>
      <c r="K336">
        <v>9</v>
      </c>
      <c r="L336">
        <v>10</v>
      </c>
      <c r="M336">
        <v>5500</v>
      </c>
      <c r="N336" t="s">
        <v>30</v>
      </c>
      <c r="O336">
        <v>0</v>
      </c>
      <c r="P336">
        <v>0</v>
      </c>
      <c r="Q336">
        <v>0</v>
      </c>
      <c r="R336">
        <v>407</v>
      </c>
      <c r="S336">
        <v>422</v>
      </c>
      <c r="T336">
        <v>389</v>
      </c>
      <c r="U336">
        <v>9.5</v>
      </c>
      <c r="V336" t="s">
        <v>30</v>
      </c>
      <c r="W336" t="s">
        <v>276</v>
      </c>
      <c r="X336" t="s">
        <v>32</v>
      </c>
      <c r="Y336" t="s">
        <v>33</v>
      </c>
    </row>
    <row r="337" spans="1:25" x14ac:dyDescent="0.25">
      <c r="A337">
        <v>2025</v>
      </c>
      <c r="B337" t="s">
        <v>260</v>
      </c>
      <c r="C337" t="s">
        <v>261</v>
      </c>
      <c r="D337" t="s">
        <v>278</v>
      </c>
      <c r="E337" t="s">
        <v>28</v>
      </c>
      <c r="F337" t="s">
        <v>29</v>
      </c>
      <c r="G337">
        <v>102</v>
      </c>
      <c r="H337">
        <v>94</v>
      </c>
      <c r="I337">
        <v>98</v>
      </c>
      <c r="J337">
        <v>800</v>
      </c>
      <c r="K337">
        <v>9</v>
      </c>
      <c r="L337">
        <v>10</v>
      </c>
      <c r="M337">
        <v>5500</v>
      </c>
      <c r="N337" t="s">
        <v>30</v>
      </c>
      <c r="O337">
        <v>0</v>
      </c>
      <c r="P337">
        <v>0</v>
      </c>
      <c r="Q337">
        <v>0</v>
      </c>
      <c r="R337">
        <v>407</v>
      </c>
      <c r="S337">
        <v>422</v>
      </c>
      <c r="T337">
        <v>389</v>
      </c>
      <c r="U337">
        <v>9.5</v>
      </c>
      <c r="V337" t="s">
        <v>30</v>
      </c>
      <c r="W337" t="s">
        <v>276</v>
      </c>
      <c r="X337" t="s">
        <v>32</v>
      </c>
      <c r="Y337" t="s">
        <v>33</v>
      </c>
    </row>
    <row r="338" spans="1:25" x14ac:dyDescent="0.25">
      <c r="A338">
        <v>2025</v>
      </c>
      <c r="B338" t="s">
        <v>260</v>
      </c>
      <c r="C338" t="s">
        <v>261</v>
      </c>
      <c r="D338" t="s">
        <v>278</v>
      </c>
      <c r="E338" t="s">
        <v>28</v>
      </c>
      <c r="F338" t="s">
        <v>29</v>
      </c>
      <c r="G338">
        <v>33</v>
      </c>
      <c r="H338">
        <v>36</v>
      </c>
      <c r="I338">
        <v>34</v>
      </c>
      <c r="J338">
        <v>800</v>
      </c>
      <c r="K338">
        <v>9</v>
      </c>
      <c r="L338">
        <v>10</v>
      </c>
      <c r="M338">
        <v>5500</v>
      </c>
      <c r="N338" t="s">
        <v>30</v>
      </c>
      <c r="O338">
        <v>0</v>
      </c>
      <c r="P338">
        <v>0</v>
      </c>
      <c r="Q338">
        <v>0</v>
      </c>
      <c r="R338">
        <v>407</v>
      </c>
      <c r="S338">
        <v>422</v>
      </c>
      <c r="T338">
        <v>389</v>
      </c>
      <c r="U338">
        <v>9.5</v>
      </c>
      <c r="V338" t="s">
        <v>30</v>
      </c>
      <c r="W338" t="s">
        <v>276</v>
      </c>
      <c r="X338" t="s">
        <v>32</v>
      </c>
      <c r="Y338" t="s">
        <v>33</v>
      </c>
    </row>
    <row r="339" spans="1:25" x14ac:dyDescent="0.25">
      <c r="A339">
        <v>2025</v>
      </c>
      <c r="B339" t="s">
        <v>260</v>
      </c>
      <c r="C339" t="s">
        <v>261</v>
      </c>
      <c r="D339" t="s">
        <v>279</v>
      </c>
      <c r="E339" t="s">
        <v>28</v>
      </c>
      <c r="F339" t="s">
        <v>29</v>
      </c>
      <c r="G339">
        <v>108</v>
      </c>
      <c r="H339">
        <v>100</v>
      </c>
      <c r="I339">
        <v>104</v>
      </c>
      <c r="J339">
        <v>750</v>
      </c>
      <c r="K339">
        <v>9</v>
      </c>
      <c r="L339">
        <v>10</v>
      </c>
      <c r="M339">
        <v>5750</v>
      </c>
      <c r="N339" t="s">
        <v>30</v>
      </c>
      <c r="O339">
        <v>0</v>
      </c>
      <c r="P339">
        <v>0</v>
      </c>
      <c r="Q339">
        <v>0</v>
      </c>
      <c r="R339">
        <v>437</v>
      </c>
      <c r="S339">
        <v>451</v>
      </c>
      <c r="T339">
        <v>419</v>
      </c>
      <c r="U339">
        <v>9.5</v>
      </c>
      <c r="V339" t="s">
        <v>30</v>
      </c>
      <c r="W339" t="s">
        <v>276</v>
      </c>
      <c r="X339" t="s">
        <v>32</v>
      </c>
      <c r="Y339" t="s">
        <v>33</v>
      </c>
    </row>
    <row r="340" spans="1:25" x14ac:dyDescent="0.25">
      <c r="A340">
        <v>2025</v>
      </c>
      <c r="B340" t="s">
        <v>260</v>
      </c>
      <c r="C340" t="s">
        <v>261</v>
      </c>
      <c r="D340" t="s">
        <v>279</v>
      </c>
      <c r="E340" t="s">
        <v>28</v>
      </c>
      <c r="F340" t="s">
        <v>29</v>
      </c>
      <c r="G340">
        <v>31</v>
      </c>
      <c r="H340">
        <v>34</v>
      </c>
      <c r="I340">
        <v>32</v>
      </c>
      <c r="J340">
        <v>750</v>
      </c>
      <c r="K340">
        <v>9</v>
      </c>
      <c r="L340">
        <v>10</v>
      </c>
      <c r="M340">
        <v>5750</v>
      </c>
      <c r="N340" t="s">
        <v>30</v>
      </c>
      <c r="O340">
        <v>0</v>
      </c>
      <c r="P340">
        <v>0</v>
      </c>
      <c r="Q340">
        <v>0</v>
      </c>
      <c r="R340">
        <v>437</v>
      </c>
      <c r="S340">
        <v>451</v>
      </c>
      <c r="T340">
        <v>419</v>
      </c>
      <c r="U340">
        <v>9.5</v>
      </c>
      <c r="V340" t="s">
        <v>30</v>
      </c>
      <c r="W340" t="s">
        <v>276</v>
      </c>
      <c r="X340" t="s">
        <v>32</v>
      </c>
      <c r="Y340" t="s">
        <v>33</v>
      </c>
    </row>
    <row r="341" spans="1:25" x14ac:dyDescent="0.25">
      <c r="A341">
        <v>2025</v>
      </c>
      <c r="B341" t="s">
        <v>260</v>
      </c>
      <c r="C341" t="s">
        <v>261</v>
      </c>
      <c r="D341" t="s">
        <v>280</v>
      </c>
      <c r="E341" t="s">
        <v>28</v>
      </c>
      <c r="F341" t="s">
        <v>29</v>
      </c>
      <c r="G341">
        <v>96</v>
      </c>
      <c r="H341">
        <v>89</v>
      </c>
      <c r="I341">
        <v>92</v>
      </c>
      <c r="J341">
        <v>850</v>
      </c>
      <c r="K341">
        <v>9</v>
      </c>
      <c r="L341">
        <v>10</v>
      </c>
      <c r="M341">
        <v>5250</v>
      </c>
      <c r="N341" t="s">
        <v>30</v>
      </c>
      <c r="O341">
        <v>0</v>
      </c>
      <c r="P341">
        <v>0</v>
      </c>
      <c r="Q341">
        <v>0</v>
      </c>
      <c r="R341">
        <v>386</v>
      </c>
      <c r="S341">
        <v>399</v>
      </c>
      <c r="T341">
        <v>370</v>
      </c>
      <c r="U341">
        <v>9.5</v>
      </c>
      <c r="V341" t="s">
        <v>30</v>
      </c>
      <c r="W341" t="s">
        <v>276</v>
      </c>
      <c r="X341" t="s">
        <v>32</v>
      </c>
      <c r="Y341" t="s">
        <v>33</v>
      </c>
    </row>
    <row r="342" spans="1:25" x14ac:dyDescent="0.25">
      <c r="A342">
        <v>2025</v>
      </c>
      <c r="B342" t="s">
        <v>260</v>
      </c>
      <c r="C342" t="s">
        <v>261</v>
      </c>
      <c r="D342" t="s">
        <v>280</v>
      </c>
      <c r="E342" t="s">
        <v>28</v>
      </c>
      <c r="F342" t="s">
        <v>29</v>
      </c>
      <c r="G342">
        <v>35</v>
      </c>
      <c r="H342">
        <v>38</v>
      </c>
      <c r="I342">
        <v>36</v>
      </c>
      <c r="J342">
        <v>850</v>
      </c>
      <c r="K342">
        <v>9</v>
      </c>
      <c r="L342">
        <v>10</v>
      </c>
      <c r="M342">
        <v>5250</v>
      </c>
      <c r="N342" t="s">
        <v>30</v>
      </c>
      <c r="O342">
        <v>0</v>
      </c>
      <c r="P342">
        <v>0</v>
      </c>
      <c r="Q342">
        <v>0</v>
      </c>
      <c r="R342">
        <v>386</v>
      </c>
      <c r="S342">
        <v>399</v>
      </c>
      <c r="T342">
        <v>370</v>
      </c>
      <c r="U342">
        <v>9.5</v>
      </c>
      <c r="V342" t="s">
        <v>30</v>
      </c>
      <c r="W342" t="s">
        <v>276</v>
      </c>
      <c r="X342" t="s">
        <v>32</v>
      </c>
      <c r="Y342" t="s">
        <v>33</v>
      </c>
    </row>
    <row r="343" spans="1:25" x14ac:dyDescent="0.25">
      <c r="A343">
        <v>2025</v>
      </c>
      <c r="B343" t="s">
        <v>260</v>
      </c>
      <c r="C343" t="s">
        <v>261</v>
      </c>
      <c r="D343" t="s">
        <v>281</v>
      </c>
      <c r="E343" t="s">
        <v>28</v>
      </c>
      <c r="F343" t="s">
        <v>29</v>
      </c>
      <c r="G343">
        <v>96</v>
      </c>
      <c r="H343">
        <v>89</v>
      </c>
      <c r="I343">
        <v>92</v>
      </c>
      <c r="J343">
        <v>850</v>
      </c>
      <c r="K343">
        <v>9</v>
      </c>
      <c r="L343">
        <v>10</v>
      </c>
      <c r="M343">
        <v>5250</v>
      </c>
      <c r="N343" t="s">
        <v>30</v>
      </c>
      <c r="O343">
        <v>0</v>
      </c>
      <c r="P343">
        <v>0</v>
      </c>
      <c r="Q343">
        <v>0</v>
      </c>
      <c r="R343">
        <v>386</v>
      </c>
      <c r="S343">
        <v>399</v>
      </c>
      <c r="T343">
        <v>370</v>
      </c>
      <c r="U343">
        <v>9.5</v>
      </c>
      <c r="V343" t="s">
        <v>30</v>
      </c>
      <c r="W343" t="s">
        <v>276</v>
      </c>
      <c r="X343" t="s">
        <v>32</v>
      </c>
      <c r="Y343" t="s">
        <v>33</v>
      </c>
    </row>
    <row r="344" spans="1:25" x14ac:dyDescent="0.25">
      <c r="A344">
        <v>2025</v>
      </c>
      <c r="B344" t="s">
        <v>260</v>
      </c>
      <c r="C344" t="s">
        <v>261</v>
      </c>
      <c r="D344" t="s">
        <v>281</v>
      </c>
      <c r="E344" t="s">
        <v>28</v>
      </c>
      <c r="F344" t="s">
        <v>29</v>
      </c>
      <c r="G344">
        <v>35</v>
      </c>
      <c r="H344">
        <v>38</v>
      </c>
      <c r="I344">
        <v>36</v>
      </c>
      <c r="J344">
        <v>850</v>
      </c>
      <c r="K344">
        <v>9</v>
      </c>
      <c r="L344">
        <v>10</v>
      </c>
      <c r="M344">
        <v>5250</v>
      </c>
      <c r="N344" t="s">
        <v>30</v>
      </c>
      <c r="O344">
        <v>0</v>
      </c>
      <c r="P344">
        <v>0</v>
      </c>
      <c r="Q344">
        <v>0</v>
      </c>
      <c r="R344">
        <v>386</v>
      </c>
      <c r="S344">
        <v>399</v>
      </c>
      <c r="T344">
        <v>370</v>
      </c>
      <c r="U344">
        <v>9.5</v>
      </c>
      <c r="V344" t="s">
        <v>30</v>
      </c>
      <c r="W344" t="s">
        <v>276</v>
      </c>
      <c r="X344" t="s">
        <v>32</v>
      </c>
      <c r="Y344" t="s">
        <v>33</v>
      </c>
    </row>
    <row r="345" spans="1:25" x14ac:dyDescent="0.25">
      <c r="A345">
        <v>2025</v>
      </c>
      <c r="B345" t="s">
        <v>282</v>
      </c>
      <c r="C345" t="s">
        <v>283</v>
      </c>
      <c r="D345" t="s">
        <v>284</v>
      </c>
      <c r="E345" t="s">
        <v>28</v>
      </c>
      <c r="F345" t="s">
        <v>118</v>
      </c>
      <c r="G345">
        <v>80</v>
      </c>
      <c r="H345">
        <v>70</v>
      </c>
      <c r="I345">
        <v>75</v>
      </c>
      <c r="J345">
        <v>1100</v>
      </c>
      <c r="K345">
        <v>9</v>
      </c>
      <c r="L345">
        <v>10</v>
      </c>
      <c r="M345">
        <v>4000</v>
      </c>
      <c r="N345" t="s">
        <v>30</v>
      </c>
      <c r="O345">
        <v>0</v>
      </c>
      <c r="P345">
        <v>0</v>
      </c>
      <c r="Q345">
        <v>0</v>
      </c>
      <c r="R345">
        <v>245</v>
      </c>
      <c r="S345">
        <v>261</v>
      </c>
      <c r="T345">
        <v>226</v>
      </c>
      <c r="U345">
        <v>11</v>
      </c>
      <c r="V345" t="s">
        <v>30</v>
      </c>
      <c r="W345" t="s">
        <v>285</v>
      </c>
      <c r="X345" t="s">
        <v>32</v>
      </c>
      <c r="Y345" t="s">
        <v>33</v>
      </c>
    </row>
    <row r="346" spans="1:25" x14ac:dyDescent="0.25">
      <c r="A346">
        <v>2025</v>
      </c>
      <c r="B346" t="s">
        <v>282</v>
      </c>
      <c r="C346" t="s">
        <v>283</v>
      </c>
      <c r="D346" t="s">
        <v>284</v>
      </c>
      <c r="E346" t="s">
        <v>28</v>
      </c>
      <c r="F346" t="s">
        <v>118</v>
      </c>
      <c r="G346">
        <v>42</v>
      </c>
      <c r="H346">
        <v>48</v>
      </c>
      <c r="I346">
        <v>45</v>
      </c>
      <c r="J346">
        <v>1100</v>
      </c>
      <c r="K346">
        <v>9</v>
      </c>
      <c r="L346">
        <v>10</v>
      </c>
      <c r="M346">
        <v>4000</v>
      </c>
      <c r="N346" t="s">
        <v>30</v>
      </c>
      <c r="O346">
        <v>0</v>
      </c>
      <c r="P346">
        <v>0</v>
      </c>
      <c r="Q346">
        <v>0</v>
      </c>
      <c r="R346">
        <v>245</v>
      </c>
      <c r="S346">
        <v>261</v>
      </c>
      <c r="T346">
        <v>226</v>
      </c>
      <c r="U346">
        <v>11</v>
      </c>
      <c r="V346" t="s">
        <v>30</v>
      </c>
      <c r="W346" t="s">
        <v>285</v>
      </c>
      <c r="X346" t="s">
        <v>32</v>
      </c>
      <c r="Y346" t="s">
        <v>33</v>
      </c>
    </row>
    <row r="347" spans="1:25" x14ac:dyDescent="0.25">
      <c r="A347">
        <v>2025</v>
      </c>
      <c r="B347" t="s">
        <v>282</v>
      </c>
      <c r="C347" t="s">
        <v>283</v>
      </c>
      <c r="D347" t="s">
        <v>286</v>
      </c>
      <c r="E347" t="s">
        <v>28</v>
      </c>
      <c r="F347" t="s">
        <v>118</v>
      </c>
      <c r="G347">
        <v>65</v>
      </c>
      <c r="H347">
        <v>59</v>
      </c>
      <c r="I347">
        <v>62</v>
      </c>
      <c r="J347">
        <v>1300</v>
      </c>
      <c r="K347">
        <v>8</v>
      </c>
      <c r="L347">
        <v>10</v>
      </c>
      <c r="M347">
        <v>3000</v>
      </c>
      <c r="N347" t="s">
        <v>30</v>
      </c>
      <c r="O347">
        <v>0</v>
      </c>
      <c r="P347">
        <v>0</v>
      </c>
      <c r="Q347">
        <v>0</v>
      </c>
      <c r="R347">
        <v>206</v>
      </c>
      <c r="S347">
        <v>214</v>
      </c>
      <c r="T347">
        <v>196</v>
      </c>
      <c r="U347">
        <v>11</v>
      </c>
      <c r="V347" t="s">
        <v>30</v>
      </c>
      <c r="W347" t="s">
        <v>285</v>
      </c>
      <c r="X347" t="s">
        <v>32</v>
      </c>
      <c r="Y347" t="s">
        <v>33</v>
      </c>
    </row>
    <row r="348" spans="1:25" x14ac:dyDescent="0.25">
      <c r="A348">
        <v>2025</v>
      </c>
      <c r="B348" t="s">
        <v>282</v>
      </c>
      <c r="C348" t="s">
        <v>283</v>
      </c>
      <c r="D348" t="s">
        <v>286</v>
      </c>
      <c r="E348" t="s">
        <v>28</v>
      </c>
      <c r="F348" t="s">
        <v>118</v>
      </c>
      <c r="G348">
        <v>52</v>
      </c>
      <c r="H348">
        <v>57</v>
      </c>
      <c r="I348">
        <v>54</v>
      </c>
      <c r="J348">
        <v>1300</v>
      </c>
      <c r="K348">
        <v>8</v>
      </c>
      <c r="L348">
        <v>10</v>
      </c>
      <c r="M348">
        <v>3000</v>
      </c>
      <c r="N348" t="s">
        <v>30</v>
      </c>
      <c r="O348">
        <v>0</v>
      </c>
      <c r="P348">
        <v>0</v>
      </c>
      <c r="Q348">
        <v>0</v>
      </c>
      <c r="R348">
        <v>206</v>
      </c>
      <c r="S348">
        <v>214</v>
      </c>
      <c r="T348">
        <v>196</v>
      </c>
      <c r="U348">
        <v>11</v>
      </c>
      <c r="V348" t="s">
        <v>30</v>
      </c>
      <c r="W348" t="s">
        <v>285</v>
      </c>
      <c r="X348" t="s">
        <v>32</v>
      </c>
      <c r="Y348" t="s">
        <v>33</v>
      </c>
    </row>
    <row r="349" spans="1:25" x14ac:dyDescent="0.25">
      <c r="A349">
        <v>2025</v>
      </c>
      <c r="B349" t="s">
        <v>282</v>
      </c>
      <c r="C349" t="s">
        <v>283</v>
      </c>
      <c r="D349" t="s">
        <v>287</v>
      </c>
      <c r="E349" t="s">
        <v>28</v>
      </c>
      <c r="F349" t="s">
        <v>36</v>
      </c>
      <c r="G349">
        <v>85</v>
      </c>
      <c r="H349">
        <v>81</v>
      </c>
      <c r="I349">
        <v>83</v>
      </c>
      <c r="J349">
        <v>950</v>
      </c>
      <c r="K349">
        <v>9</v>
      </c>
      <c r="L349">
        <v>10</v>
      </c>
      <c r="M349">
        <v>4750</v>
      </c>
      <c r="N349" t="s">
        <v>30</v>
      </c>
      <c r="O349">
        <v>0</v>
      </c>
      <c r="P349">
        <v>0</v>
      </c>
      <c r="Q349">
        <v>0</v>
      </c>
      <c r="R349">
        <v>233</v>
      </c>
      <c r="S349">
        <v>238</v>
      </c>
      <c r="T349">
        <v>227</v>
      </c>
      <c r="U349">
        <v>9</v>
      </c>
      <c r="V349" t="s">
        <v>30</v>
      </c>
      <c r="W349" t="s">
        <v>288</v>
      </c>
      <c r="X349" t="s">
        <v>32</v>
      </c>
      <c r="Y349" t="s">
        <v>33</v>
      </c>
    </row>
    <row r="350" spans="1:25" x14ac:dyDescent="0.25">
      <c r="A350">
        <v>2025</v>
      </c>
      <c r="B350" t="s">
        <v>282</v>
      </c>
      <c r="C350" t="s">
        <v>283</v>
      </c>
      <c r="D350" t="s">
        <v>287</v>
      </c>
      <c r="E350" t="s">
        <v>28</v>
      </c>
      <c r="F350" t="s">
        <v>36</v>
      </c>
      <c r="G350">
        <v>40</v>
      </c>
      <c r="H350">
        <v>42</v>
      </c>
      <c r="I350">
        <v>41</v>
      </c>
      <c r="J350">
        <v>950</v>
      </c>
      <c r="K350">
        <v>9</v>
      </c>
      <c r="L350">
        <v>10</v>
      </c>
      <c r="M350">
        <v>4750</v>
      </c>
      <c r="N350" t="s">
        <v>30</v>
      </c>
      <c r="O350">
        <v>0</v>
      </c>
      <c r="P350">
        <v>0</v>
      </c>
      <c r="Q350">
        <v>0</v>
      </c>
      <c r="R350">
        <v>233</v>
      </c>
      <c r="S350">
        <v>238</v>
      </c>
      <c r="T350">
        <v>227</v>
      </c>
      <c r="U350">
        <v>9</v>
      </c>
      <c r="V350" t="s">
        <v>30</v>
      </c>
      <c r="W350" t="s">
        <v>288</v>
      </c>
      <c r="X350" t="s">
        <v>32</v>
      </c>
      <c r="Y350" t="s">
        <v>33</v>
      </c>
    </row>
    <row r="351" spans="1:25" x14ac:dyDescent="0.25">
      <c r="A351">
        <v>2025</v>
      </c>
      <c r="B351" t="s">
        <v>282</v>
      </c>
      <c r="C351" t="s">
        <v>283</v>
      </c>
      <c r="D351" t="s">
        <v>289</v>
      </c>
      <c r="E351" t="s">
        <v>28</v>
      </c>
      <c r="F351" t="s">
        <v>36</v>
      </c>
      <c r="G351">
        <v>83</v>
      </c>
      <c r="H351">
        <v>81</v>
      </c>
      <c r="I351">
        <v>82</v>
      </c>
      <c r="J351">
        <v>1000</v>
      </c>
      <c r="K351">
        <v>9</v>
      </c>
      <c r="L351">
        <v>10</v>
      </c>
      <c r="M351">
        <v>4500</v>
      </c>
      <c r="N351" t="s">
        <v>30</v>
      </c>
      <c r="O351">
        <v>0</v>
      </c>
      <c r="P351">
        <v>0</v>
      </c>
      <c r="Q351">
        <v>0</v>
      </c>
      <c r="R351">
        <v>229</v>
      </c>
      <c r="S351">
        <v>232</v>
      </c>
      <c r="T351">
        <v>226</v>
      </c>
      <c r="U351">
        <v>9</v>
      </c>
      <c r="V351" t="s">
        <v>30</v>
      </c>
      <c r="W351" t="s">
        <v>288</v>
      </c>
      <c r="X351" t="s">
        <v>32</v>
      </c>
      <c r="Y351" t="s">
        <v>33</v>
      </c>
    </row>
    <row r="352" spans="1:25" x14ac:dyDescent="0.25">
      <c r="A352">
        <v>2025</v>
      </c>
      <c r="B352" t="s">
        <v>282</v>
      </c>
      <c r="C352" t="s">
        <v>283</v>
      </c>
      <c r="D352" t="s">
        <v>289</v>
      </c>
      <c r="E352" t="s">
        <v>28</v>
      </c>
      <c r="F352" t="s">
        <v>36</v>
      </c>
      <c r="G352">
        <v>41</v>
      </c>
      <c r="H352">
        <v>42</v>
      </c>
      <c r="I352">
        <v>41</v>
      </c>
      <c r="J352">
        <v>1000</v>
      </c>
      <c r="K352">
        <v>9</v>
      </c>
      <c r="L352">
        <v>10</v>
      </c>
      <c r="M352">
        <v>4500</v>
      </c>
      <c r="N352" t="s">
        <v>30</v>
      </c>
      <c r="O352">
        <v>0</v>
      </c>
      <c r="P352">
        <v>0</v>
      </c>
      <c r="Q352">
        <v>0</v>
      </c>
      <c r="R352">
        <v>229</v>
      </c>
      <c r="S352">
        <v>232</v>
      </c>
      <c r="T352">
        <v>226</v>
      </c>
      <c r="U352">
        <v>9</v>
      </c>
      <c r="V352" t="s">
        <v>30</v>
      </c>
      <c r="W352" t="s">
        <v>288</v>
      </c>
      <c r="X352" t="s">
        <v>32</v>
      </c>
      <c r="Y352" t="s">
        <v>33</v>
      </c>
    </row>
    <row r="353" spans="1:25" x14ac:dyDescent="0.25">
      <c r="A353">
        <v>2025</v>
      </c>
      <c r="B353" t="s">
        <v>290</v>
      </c>
      <c r="C353" t="s">
        <v>290</v>
      </c>
      <c r="D353" t="s">
        <v>291</v>
      </c>
      <c r="E353" t="s">
        <v>107</v>
      </c>
      <c r="F353" t="s">
        <v>29</v>
      </c>
      <c r="G353">
        <v>68</v>
      </c>
      <c r="H353">
        <v>56</v>
      </c>
      <c r="I353">
        <v>62</v>
      </c>
      <c r="J353">
        <v>1300</v>
      </c>
      <c r="K353">
        <v>8</v>
      </c>
      <c r="L353">
        <v>10</v>
      </c>
      <c r="M353">
        <v>3000</v>
      </c>
      <c r="N353" t="s">
        <v>30</v>
      </c>
      <c r="O353">
        <v>0</v>
      </c>
      <c r="P353">
        <v>0</v>
      </c>
      <c r="Q353">
        <v>0</v>
      </c>
      <c r="R353">
        <v>239</v>
      </c>
      <c r="S353">
        <v>258</v>
      </c>
      <c r="T353">
        <v>215</v>
      </c>
      <c r="U353">
        <v>14</v>
      </c>
      <c r="V353" t="s">
        <v>30</v>
      </c>
      <c r="W353" t="s">
        <v>292</v>
      </c>
      <c r="X353" t="s">
        <v>32</v>
      </c>
      <c r="Y353" t="s">
        <v>33</v>
      </c>
    </row>
    <row r="354" spans="1:25" x14ac:dyDescent="0.25">
      <c r="A354">
        <v>2025</v>
      </c>
      <c r="B354" t="s">
        <v>290</v>
      </c>
      <c r="C354" t="s">
        <v>290</v>
      </c>
      <c r="D354" t="s">
        <v>291</v>
      </c>
      <c r="E354" t="s">
        <v>107</v>
      </c>
      <c r="F354" t="s">
        <v>29</v>
      </c>
      <c r="G354">
        <v>40</v>
      </c>
      <c r="H354">
        <v>42</v>
      </c>
      <c r="I354">
        <v>41</v>
      </c>
      <c r="J354">
        <v>1300</v>
      </c>
      <c r="K354">
        <v>8</v>
      </c>
      <c r="L354">
        <v>10</v>
      </c>
      <c r="M354">
        <v>3000</v>
      </c>
      <c r="N354" t="s">
        <v>30</v>
      </c>
      <c r="O354">
        <v>0</v>
      </c>
      <c r="P354">
        <v>0</v>
      </c>
      <c r="Q354">
        <v>0</v>
      </c>
      <c r="R354">
        <v>239</v>
      </c>
      <c r="S354">
        <v>258</v>
      </c>
      <c r="T354">
        <v>215</v>
      </c>
      <c r="U354">
        <v>14</v>
      </c>
      <c r="V354" t="s">
        <v>30</v>
      </c>
      <c r="W354" t="s">
        <v>292</v>
      </c>
      <c r="X354" t="s">
        <v>32</v>
      </c>
      <c r="Y354" t="s">
        <v>33</v>
      </c>
    </row>
    <row r="355" spans="1:25" x14ac:dyDescent="0.25">
      <c r="A355">
        <v>2025</v>
      </c>
      <c r="B355" t="s">
        <v>290</v>
      </c>
      <c r="C355" t="s">
        <v>290</v>
      </c>
      <c r="D355" t="s">
        <v>293</v>
      </c>
      <c r="E355" t="s">
        <v>28</v>
      </c>
      <c r="F355" t="s">
        <v>95</v>
      </c>
      <c r="G355">
        <v>76</v>
      </c>
      <c r="H355">
        <v>81</v>
      </c>
      <c r="I355">
        <v>78</v>
      </c>
      <c r="J355">
        <v>1000</v>
      </c>
      <c r="K355">
        <v>9</v>
      </c>
      <c r="L355">
        <v>10</v>
      </c>
      <c r="M355">
        <v>4250</v>
      </c>
      <c r="N355" t="s">
        <v>30</v>
      </c>
      <c r="O355">
        <v>0</v>
      </c>
      <c r="P355">
        <v>0</v>
      </c>
      <c r="Q355">
        <v>0</v>
      </c>
      <c r="R355">
        <v>315</v>
      </c>
      <c r="S355">
        <v>305</v>
      </c>
      <c r="T355">
        <v>327</v>
      </c>
      <c r="U355">
        <v>12.75</v>
      </c>
      <c r="V355" t="s">
        <v>30</v>
      </c>
      <c r="W355" t="s">
        <v>294</v>
      </c>
      <c r="X355" t="s">
        <v>32</v>
      </c>
      <c r="Y355" t="s">
        <v>33</v>
      </c>
    </row>
    <row r="356" spans="1:25" x14ac:dyDescent="0.25">
      <c r="A356">
        <v>2025</v>
      </c>
      <c r="B356" t="s">
        <v>290</v>
      </c>
      <c r="C356" t="s">
        <v>290</v>
      </c>
      <c r="D356" t="s">
        <v>293</v>
      </c>
      <c r="E356" t="s">
        <v>28</v>
      </c>
      <c r="F356" t="s">
        <v>95</v>
      </c>
      <c r="G356">
        <v>44</v>
      </c>
      <c r="H356">
        <v>41</v>
      </c>
      <c r="I356">
        <v>43</v>
      </c>
      <c r="J356">
        <v>1050</v>
      </c>
      <c r="K356">
        <v>9</v>
      </c>
      <c r="L356">
        <v>10</v>
      </c>
      <c r="M356">
        <v>4250</v>
      </c>
      <c r="N356" t="s">
        <v>30</v>
      </c>
      <c r="O356">
        <v>0</v>
      </c>
      <c r="P356">
        <v>0</v>
      </c>
      <c r="Q356">
        <v>0</v>
      </c>
      <c r="R356">
        <v>315</v>
      </c>
      <c r="S356">
        <v>305</v>
      </c>
      <c r="T356">
        <v>327</v>
      </c>
      <c r="U356">
        <v>12.75</v>
      </c>
      <c r="V356" t="s">
        <v>30</v>
      </c>
      <c r="W356" t="s">
        <v>294</v>
      </c>
      <c r="X356" t="s">
        <v>32</v>
      </c>
      <c r="Y356" t="s">
        <v>33</v>
      </c>
    </row>
    <row r="357" spans="1:25" x14ac:dyDescent="0.25">
      <c r="A357">
        <v>2025</v>
      </c>
      <c r="B357" t="s">
        <v>290</v>
      </c>
      <c r="C357" t="s">
        <v>290</v>
      </c>
      <c r="D357" t="s">
        <v>295</v>
      </c>
      <c r="E357" t="s">
        <v>46</v>
      </c>
      <c r="F357" t="s">
        <v>95</v>
      </c>
      <c r="G357">
        <v>98</v>
      </c>
      <c r="H357">
        <v>98</v>
      </c>
      <c r="I357">
        <v>98</v>
      </c>
      <c r="J357">
        <v>800</v>
      </c>
      <c r="K357">
        <v>9</v>
      </c>
      <c r="L357">
        <v>10</v>
      </c>
      <c r="M357">
        <v>5500</v>
      </c>
      <c r="N357" t="s">
        <v>30</v>
      </c>
      <c r="O357">
        <v>0</v>
      </c>
      <c r="P357">
        <v>0</v>
      </c>
      <c r="Q357">
        <v>0</v>
      </c>
      <c r="R357">
        <v>390</v>
      </c>
      <c r="S357">
        <v>390</v>
      </c>
      <c r="T357">
        <v>390</v>
      </c>
      <c r="U357">
        <v>14</v>
      </c>
      <c r="V357" t="s">
        <v>30</v>
      </c>
      <c r="W357" t="s">
        <v>296</v>
      </c>
      <c r="X357" t="s">
        <v>32</v>
      </c>
      <c r="Y357" t="s">
        <v>33</v>
      </c>
    </row>
    <row r="358" spans="1:25" x14ac:dyDescent="0.25">
      <c r="A358">
        <v>2025</v>
      </c>
      <c r="B358" t="s">
        <v>290</v>
      </c>
      <c r="C358" t="s">
        <v>290</v>
      </c>
      <c r="D358" t="s">
        <v>295</v>
      </c>
      <c r="E358" t="s">
        <v>46</v>
      </c>
      <c r="F358" t="s">
        <v>95</v>
      </c>
      <c r="G358">
        <v>34</v>
      </c>
      <c r="H358">
        <v>34</v>
      </c>
      <c r="I358">
        <v>34</v>
      </c>
      <c r="J358">
        <v>800</v>
      </c>
      <c r="K358">
        <v>9</v>
      </c>
      <c r="L358">
        <v>10</v>
      </c>
      <c r="M358">
        <v>5500</v>
      </c>
      <c r="N358" t="s">
        <v>30</v>
      </c>
      <c r="O358">
        <v>0</v>
      </c>
      <c r="P358">
        <v>0</v>
      </c>
      <c r="Q358">
        <v>0</v>
      </c>
      <c r="R358">
        <v>390</v>
      </c>
      <c r="S358">
        <v>390</v>
      </c>
      <c r="T358">
        <v>390</v>
      </c>
      <c r="U358">
        <v>14</v>
      </c>
      <c r="V358" t="s">
        <v>30</v>
      </c>
      <c r="W358" t="s">
        <v>296</v>
      </c>
      <c r="X358" t="s">
        <v>32</v>
      </c>
      <c r="Y358" t="s">
        <v>33</v>
      </c>
    </row>
    <row r="359" spans="1:25" x14ac:dyDescent="0.25">
      <c r="A359">
        <v>2025</v>
      </c>
      <c r="B359" t="s">
        <v>290</v>
      </c>
      <c r="C359" t="s">
        <v>290</v>
      </c>
      <c r="D359" t="s">
        <v>297</v>
      </c>
      <c r="E359" t="s">
        <v>28</v>
      </c>
      <c r="F359" t="s">
        <v>95</v>
      </c>
      <c r="G359">
        <v>93</v>
      </c>
      <c r="H359">
        <v>93</v>
      </c>
      <c r="I359">
        <v>93</v>
      </c>
      <c r="J359">
        <v>850</v>
      </c>
      <c r="K359">
        <v>9</v>
      </c>
      <c r="L359">
        <v>10</v>
      </c>
      <c r="M359">
        <v>5250</v>
      </c>
      <c r="N359" t="s">
        <v>30</v>
      </c>
      <c r="O359">
        <v>0</v>
      </c>
      <c r="P359">
        <v>0</v>
      </c>
      <c r="Q359">
        <v>0</v>
      </c>
      <c r="R359">
        <v>371</v>
      </c>
      <c r="S359">
        <v>370</v>
      </c>
      <c r="T359">
        <v>372</v>
      </c>
      <c r="U359">
        <v>11.5</v>
      </c>
      <c r="V359" t="s">
        <v>30</v>
      </c>
      <c r="W359" t="s">
        <v>294</v>
      </c>
      <c r="X359" t="s">
        <v>32</v>
      </c>
      <c r="Y359" t="s">
        <v>33</v>
      </c>
    </row>
    <row r="360" spans="1:25" x14ac:dyDescent="0.25">
      <c r="A360">
        <v>2025</v>
      </c>
      <c r="B360" t="s">
        <v>290</v>
      </c>
      <c r="C360" t="s">
        <v>290</v>
      </c>
      <c r="D360" t="s">
        <v>297</v>
      </c>
      <c r="E360" t="s">
        <v>28</v>
      </c>
      <c r="F360" t="s">
        <v>95</v>
      </c>
      <c r="G360">
        <v>36</v>
      </c>
      <c r="H360">
        <v>36</v>
      </c>
      <c r="I360">
        <v>36</v>
      </c>
      <c r="J360">
        <v>850</v>
      </c>
      <c r="K360">
        <v>9</v>
      </c>
      <c r="L360">
        <v>10</v>
      </c>
      <c r="M360">
        <v>5250</v>
      </c>
      <c r="N360" t="s">
        <v>30</v>
      </c>
      <c r="O360">
        <v>0</v>
      </c>
      <c r="P360">
        <v>0</v>
      </c>
      <c r="Q360">
        <v>0</v>
      </c>
      <c r="R360">
        <v>371</v>
      </c>
      <c r="S360">
        <v>370</v>
      </c>
      <c r="T360">
        <v>372</v>
      </c>
      <c r="U360">
        <v>11.5</v>
      </c>
      <c r="V360" t="s">
        <v>30</v>
      </c>
      <c r="W360" t="s">
        <v>294</v>
      </c>
      <c r="X360" t="s">
        <v>32</v>
      </c>
      <c r="Y360" t="s">
        <v>33</v>
      </c>
    </row>
    <row r="361" spans="1:25" x14ac:dyDescent="0.25">
      <c r="A361">
        <v>2025</v>
      </c>
      <c r="B361" t="s">
        <v>290</v>
      </c>
      <c r="C361" t="s">
        <v>290</v>
      </c>
      <c r="D361" t="s">
        <v>298</v>
      </c>
      <c r="E361" t="s">
        <v>46</v>
      </c>
      <c r="F361" t="s">
        <v>47</v>
      </c>
      <c r="G361">
        <v>84</v>
      </c>
      <c r="H361">
        <v>79</v>
      </c>
      <c r="I361">
        <v>82</v>
      </c>
      <c r="J361">
        <v>1000</v>
      </c>
      <c r="K361">
        <v>9</v>
      </c>
      <c r="L361">
        <v>10</v>
      </c>
      <c r="M361">
        <v>4500</v>
      </c>
      <c r="N361" t="s">
        <v>30</v>
      </c>
      <c r="O361">
        <v>0</v>
      </c>
      <c r="P361">
        <v>0</v>
      </c>
      <c r="Q361">
        <v>0</v>
      </c>
      <c r="R361">
        <v>323</v>
      </c>
      <c r="S361">
        <v>329</v>
      </c>
      <c r="T361">
        <v>316</v>
      </c>
      <c r="U361">
        <v>14</v>
      </c>
      <c r="V361" t="s">
        <v>30</v>
      </c>
      <c r="W361" t="s">
        <v>296</v>
      </c>
      <c r="X361" t="s">
        <v>32</v>
      </c>
      <c r="Y361" t="s">
        <v>33</v>
      </c>
    </row>
    <row r="362" spans="1:25" x14ac:dyDescent="0.25">
      <c r="A362">
        <v>2025</v>
      </c>
      <c r="B362" t="s">
        <v>290</v>
      </c>
      <c r="C362" t="s">
        <v>290</v>
      </c>
      <c r="D362" t="s">
        <v>298</v>
      </c>
      <c r="E362" t="s">
        <v>46</v>
      </c>
      <c r="F362" t="s">
        <v>47</v>
      </c>
      <c r="G362">
        <v>40</v>
      </c>
      <c r="H362">
        <v>42</v>
      </c>
      <c r="I362">
        <v>42</v>
      </c>
      <c r="J362">
        <v>1000</v>
      </c>
      <c r="K362">
        <v>9</v>
      </c>
      <c r="L362">
        <v>10</v>
      </c>
      <c r="M362">
        <v>4500</v>
      </c>
      <c r="N362" t="s">
        <v>30</v>
      </c>
      <c r="O362">
        <v>0</v>
      </c>
      <c r="P362">
        <v>0</v>
      </c>
      <c r="Q362">
        <v>0</v>
      </c>
      <c r="R362">
        <v>323</v>
      </c>
      <c r="S362">
        <v>329</v>
      </c>
      <c r="T362">
        <v>316</v>
      </c>
      <c r="U362">
        <v>14</v>
      </c>
      <c r="V362" t="s">
        <v>30</v>
      </c>
      <c r="W362" t="s">
        <v>296</v>
      </c>
      <c r="X362" t="s">
        <v>32</v>
      </c>
      <c r="Y362" t="s">
        <v>33</v>
      </c>
    </row>
    <row r="363" spans="1:25" x14ac:dyDescent="0.25">
      <c r="A363">
        <v>2025</v>
      </c>
      <c r="B363" t="s">
        <v>290</v>
      </c>
      <c r="C363" t="s">
        <v>290</v>
      </c>
      <c r="D363" t="s">
        <v>299</v>
      </c>
      <c r="E363" t="s">
        <v>28</v>
      </c>
      <c r="F363" t="s">
        <v>95</v>
      </c>
      <c r="G363">
        <v>91</v>
      </c>
      <c r="H363">
        <v>93</v>
      </c>
      <c r="I363">
        <v>92</v>
      </c>
      <c r="J363">
        <v>900</v>
      </c>
      <c r="K363">
        <v>9</v>
      </c>
      <c r="L363">
        <v>10</v>
      </c>
      <c r="M363">
        <v>5000</v>
      </c>
      <c r="N363" t="s">
        <v>30</v>
      </c>
      <c r="O363">
        <v>0</v>
      </c>
      <c r="P363">
        <v>0</v>
      </c>
      <c r="Q363">
        <v>0</v>
      </c>
      <c r="R363">
        <v>367</v>
      </c>
      <c r="S363">
        <v>362</v>
      </c>
      <c r="T363">
        <v>373</v>
      </c>
      <c r="U363">
        <v>12.75</v>
      </c>
      <c r="V363" t="s">
        <v>30</v>
      </c>
      <c r="W363" t="s">
        <v>294</v>
      </c>
      <c r="X363" t="s">
        <v>32</v>
      </c>
      <c r="Y363" t="s">
        <v>33</v>
      </c>
    </row>
    <row r="364" spans="1:25" x14ac:dyDescent="0.25">
      <c r="A364">
        <v>2025</v>
      </c>
      <c r="B364" t="s">
        <v>290</v>
      </c>
      <c r="C364" t="s">
        <v>290</v>
      </c>
      <c r="D364" t="s">
        <v>299</v>
      </c>
      <c r="E364" t="s">
        <v>28</v>
      </c>
      <c r="F364" t="s">
        <v>95</v>
      </c>
      <c r="G364">
        <v>36</v>
      </c>
      <c r="H364">
        <v>35</v>
      </c>
      <c r="I364">
        <v>36</v>
      </c>
      <c r="J364">
        <v>900</v>
      </c>
      <c r="K364">
        <v>9</v>
      </c>
      <c r="L364">
        <v>10</v>
      </c>
      <c r="M364">
        <v>5000</v>
      </c>
      <c r="N364" t="s">
        <v>30</v>
      </c>
      <c r="O364">
        <v>0</v>
      </c>
      <c r="P364">
        <v>0</v>
      </c>
      <c r="Q364">
        <v>0</v>
      </c>
      <c r="R364">
        <v>367</v>
      </c>
      <c r="S364">
        <v>362</v>
      </c>
      <c r="T364">
        <v>373</v>
      </c>
      <c r="U364">
        <v>12.75</v>
      </c>
      <c r="V364" t="s">
        <v>30</v>
      </c>
      <c r="W364" t="s">
        <v>294</v>
      </c>
      <c r="X364" t="s">
        <v>32</v>
      </c>
      <c r="Y364" t="s">
        <v>33</v>
      </c>
    </row>
    <row r="365" spans="1:25" x14ac:dyDescent="0.25">
      <c r="A365">
        <v>2025</v>
      </c>
      <c r="B365" t="s">
        <v>290</v>
      </c>
      <c r="C365" t="s">
        <v>290</v>
      </c>
      <c r="D365" t="s">
        <v>300</v>
      </c>
      <c r="E365" t="s">
        <v>128</v>
      </c>
      <c r="F365" t="s">
        <v>115</v>
      </c>
      <c r="G365">
        <v>114</v>
      </c>
      <c r="H365">
        <v>100</v>
      </c>
      <c r="I365">
        <v>107</v>
      </c>
      <c r="J365">
        <v>750</v>
      </c>
      <c r="K365">
        <v>9</v>
      </c>
      <c r="L365">
        <v>10</v>
      </c>
      <c r="M365">
        <v>5750</v>
      </c>
      <c r="N365" t="s">
        <v>30</v>
      </c>
      <c r="O365">
        <v>0</v>
      </c>
      <c r="P365">
        <v>0</v>
      </c>
      <c r="Q365">
        <v>0</v>
      </c>
      <c r="R365">
        <v>251</v>
      </c>
      <c r="S365">
        <v>265</v>
      </c>
      <c r="T365">
        <v>234</v>
      </c>
      <c r="U365">
        <v>8.25</v>
      </c>
      <c r="V365" t="s">
        <v>30</v>
      </c>
      <c r="W365" t="s">
        <v>301</v>
      </c>
      <c r="X365" t="s">
        <v>32</v>
      </c>
      <c r="Y365" t="s">
        <v>33</v>
      </c>
    </row>
    <row r="366" spans="1:25" x14ac:dyDescent="0.25">
      <c r="A366">
        <v>2025</v>
      </c>
      <c r="B366" t="s">
        <v>290</v>
      </c>
      <c r="C366" t="s">
        <v>290</v>
      </c>
      <c r="D366" t="s">
        <v>300</v>
      </c>
      <c r="E366" t="s">
        <v>128</v>
      </c>
      <c r="F366" t="s">
        <v>115</v>
      </c>
      <c r="G366">
        <v>30</v>
      </c>
      <c r="H366">
        <v>34</v>
      </c>
      <c r="I366">
        <v>31</v>
      </c>
      <c r="J366">
        <v>750</v>
      </c>
      <c r="K366">
        <v>9</v>
      </c>
      <c r="L366">
        <v>10</v>
      </c>
      <c r="M366">
        <v>5750</v>
      </c>
      <c r="N366" t="s">
        <v>30</v>
      </c>
      <c r="O366">
        <v>0</v>
      </c>
      <c r="P366">
        <v>0</v>
      </c>
      <c r="Q366">
        <v>0</v>
      </c>
      <c r="R366">
        <v>251</v>
      </c>
      <c r="S366">
        <v>265</v>
      </c>
      <c r="T366">
        <v>234</v>
      </c>
      <c r="U366">
        <v>8.25</v>
      </c>
      <c r="V366" t="s">
        <v>30</v>
      </c>
      <c r="W366" t="s">
        <v>301</v>
      </c>
      <c r="X366" t="s">
        <v>32</v>
      </c>
      <c r="Y366" t="s">
        <v>33</v>
      </c>
    </row>
    <row r="367" spans="1:25" x14ac:dyDescent="0.25">
      <c r="A367">
        <v>2025</v>
      </c>
      <c r="B367" t="s">
        <v>290</v>
      </c>
      <c r="C367" t="s">
        <v>290</v>
      </c>
      <c r="D367" t="s">
        <v>302</v>
      </c>
      <c r="E367" t="s">
        <v>28</v>
      </c>
      <c r="F367" t="s">
        <v>118</v>
      </c>
      <c r="G367">
        <v>89</v>
      </c>
      <c r="H367">
        <v>85</v>
      </c>
      <c r="I367">
        <v>87</v>
      </c>
      <c r="J367">
        <v>950</v>
      </c>
      <c r="K367">
        <v>9</v>
      </c>
      <c r="L367">
        <v>10</v>
      </c>
      <c r="M367">
        <v>4750</v>
      </c>
      <c r="N367" t="s">
        <v>30</v>
      </c>
      <c r="O367">
        <v>0</v>
      </c>
      <c r="P367">
        <v>0</v>
      </c>
      <c r="Q367">
        <v>0</v>
      </c>
      <c r="R367">
        <v>205</v>
      </c>
      <c r="S367">
        <v>210</v>
      </c>
      <c r="T367">
        <v>199</v>
      </c>
      <c r="U367">
        <v>8.32</v>
      </c>
      <c r="V367" t="s">
        <v>30</v>
      </c>
      <c r="W367" t="s">
        <v>303</v>
      </c>
      <c r="X367" t="s">
        <v>32</v>
      </c>
      <c r="Y367" t="s">
        <v>33</v>
      </c>
    </row>
    <row r="368" spans="1:25" x14ac:dyDescent="0.25">
      <c r="A368">
        <v>2025</v>
      </c>
      <c r="B368" t="s">
        <v>290</v>
      </c>
      <c r="C368" t="s">
        <v>290</v>
      </c>
      <c r="D368" t="s">
        <v>302</v>
      </c>
      <c r="E368" t="s">
        <v>28</v>
      </c>
      <c r="F368" t="s">
        <v>118</v>
      </c>
      <c r="G368">
        <v>38</v>
      </c>
      <c r="H368">
        <v>40</v>
      </c>
      <c r="I368">
        <v>39</v>
      </c>
      <c r="J368">
        <v>950</v>
      </c>
      <c r="K368">
        <v>9</v>
      </c>
      <c r="L368">
        <v>10</v>
      </c>
      <c r="M368">
        <v>4750</v>
      </c>
      <c r="N368" t="s">
        <v>30</v>
      </c>
      <c r="O368">
        <v>0</v>
      </c>
      <c r="P368">
        <v>0</v>
      </c>
      <c r="Q368">
        <v>0</v>
      </c>
      <c r="R368">
        <v>205</v>
      </c>
      <c r="S368">
        <v>210</v>
      </c>
      <c r="T368">
        <v>199</v>
      </c>
      <c r="U368">
        <v>8.32</v>
      </c>
      <c r="V368" t="s">
        <v>30</v>
      </c>
      <c r="W368" t="s">
        <v>303</v>
      </c>
      <c r="X368" t="s">
        <v>32</v>
      </c>
      <c r="Y368" t="s">
        <v>33</v>
      </c>
    </row>
    <row r="369" spans="1:25" x14ac:dyDescent="0.25">
      <c r="A369">
        <v>2025</v>
      </c>
      <c r="B369" t="s">
        <v>290</v>
      </c>
      <c r="C369" t="s">
        <v>290</v>
      </c>
      <c r="D369" t="s">
        <v>304</v>
      </c>
      <c r="E369" t="s">
        <v>28</v>
      </c>
      <c r="F369" t="s">
        <v>118</v>
      </c>
      <c r="G369">
        <v>89</v>
      </c>
      <c r="H369">
        <v>85</v>
      </c>
      <c r="I369">
        <v>87</v>
      </c>
      <c r="J369">
        <v>950</v>
      </c>
      <c r="K369">
        <v>9</v>
      </c>
      <c r="L369">
        <v>10</v>
      </c>
      <c r="M369">
        <v>4750</v>
      </c>
      <c r="N369" t="s">
        <v>30</v>
      </c>
      <c r="O369">
        <v>0</v>
      </c>
      <c r="P369">
        <v>0</v>
      </c>
      <c r="Q369">
        <v>0</v>
      </c>
      <c r="R369">
        <v>207</v>
      </c>
      <c r="S369">
        <v>211</v>
      </c>
      <c r="T369">
        <v>202</v>
      </c>
      <c r="U369">
        <v>8.25</v>
      </c>
      <c r="V369" t="s">
        <v>30</v>
      </c>
      <c r="W369" t="s">
        <v>303</v>
      </c>
      <c r="X369" t="s">
        <v>32</v>
      </c>
      <c r="Y369" t="s">
        <v>33</v>
      </c>
    </row>
    <row r="370" spans="1:25" x14ac:dyDescent="0.25">
      <c r="A370">
        <v>2025</v>
      </c>
      <c r="B370" t="s">
        <v>290</v>
      </c>
      <c r="C370" t="s">
        <v>290</v>
      </c>
      <c r="D370" t="s">
        <v>304</v>
      </c>
      <c r="E370" t="s">
        <v>28</v>
      </c>
      <c r="F370" t="s">
        <v>118</v>
      </c>
      <c r="G370">
        <v>38</v>
      </c>
      <c r="H370">
        <v>40</v>
      </c>
      <c r="I370">
        <v>39</v>
      </c>
      <c r="J370">
        <v>950</v>
      </c>
      <c r="K370">
        <v>9</v>
      </c>
      <c r="L370">
        <v>10</v>
      </c>
      <c r="M370">
        <v>4750</v>
      </c>
      <c r="N370" t="s">
        <v>30</v>
      </c>
      <c r="O370">
        <v>0</v>
      </c>
      <c r="P370">
        <v>0</v>
      </c>
      <c r="Q370">
        <v>0</v>
      </c>
      <c r="R370">
        <v>207</v>
      </c>
      <c r="S370">
        <v>211</v>
      </c>
      <c r="T370">
        <v>202</v>
      </c>
      <c r="U370">
        <v>8.25</v>
      </c>
      <c r="V370" t="s">
        <v>30</v>
      </c>
      <c r="W370" t="s">
        <v>303</v>
      </c>
      <c r="X370" t="s">
        <v>32</v>
      </c>
      <c r="Y370" t="s">
        <v>33</v>
      </c>
    </row>
    <row r="371" spans="1:25" x14ac:dyDescent="0.25">
      <c r="A371">
        <v>2025</v>
      </c>
      <c r="B371" t="s">
        <v>290</v>
      </c>
      <c r="C371" t="s">
        <v>290</v>
      </c>
      <c r="D371" t="s">
        <v>305</v>
      </c>
      <c r="E371" t="s">
        <v>28</v>
      </c>
      <c r="F371" t="s">
        <v>186</v>
      </c>
      <c r="G371">
        <v>69</v>
      </c>
      <c r="H371">
        <v>71</v>
      </c>
      <c r="I371">
        <v>70</v>
      </c>
      <c r="J371">
        <v>1150</v>
      </c>
      <c r="K371">
        <v>9</v>
      </c>
      <c r="L371">
        <v>10</v>
      </c>
      <c r="M371">
        <v>3750</v>
      </c>
      <c r="N371" t="s">
        <v>30</v>
      </c>
      <c r="O371">
        <v>0</v>
      </c>
      <c r="P371">
        <v>0</v>
      </c>
      <c r="Q371">
        <v>0</v>
      </c>
      <c r="R371">
        <v>220</v>
      </c>
      <c r="S371">
        <v>218</v>
      </c>
      <c r="T371">
        <v>222</v>
      </c>
      <c r="U371">
        <v>10.75</v>
      </c>
      <c r="V371" t="s">
        <v>30</v>
      </c>
      <c r="W371" t="s">
        <v>306</v>
      </c>
      <c r="X371" t="s">
        <v>32</v>
      </c>
      <c r="Y371" t="s">
        <v>33</v>
      </c>
    </row>
    <row r="372" spans="1:25" x14ac:dyDescent="0.25">
      <c r="A372">
        <v>2025</v>
      </c>
      <c r="B372" t="s">
        <v>290</v>
      </c>
      <c r="C372" t="s">
        <v>290</v>
      </c>
      <c r="D372" t="s">
        <v>305</v>
      </c>
      <c r="E372" t="s">
        <v>28</v>
      </c>
      <c r="F372" t="s">
        <v>186</v>
      </c>
      <c r="G372">
        <v>48</v>
      </c>
      <c r="H372">
        <v>47</v>
      </c>
      <c r="I372">
        <v>47</v>
      </c>
      <c r="J372">
        <v>1150</v>
      </c>
      <c r="K372">
        <v>9</v>
      </c>
      <c r="L372">
        <v>10</v>
      </c>
      <c r="M372">
        <v>3750</v>
      </c>
      <c r="N372" t="s">
        <v>30</v>
      </c>
      <c r="O372">
        <v>0</v>
      </c>
      <c r="P372">
        <v>0</v>
      </c>
      <c r="Q372">
        <v>0</v>
      </c>
      <c r="R372">
        <v>220</v>
      </c>
      <c r="S372">
        <v>218</v>
      </c>
      <c r="T372">
        <v>222</v>
      </c>
      <c r="U372">
        <v>10.75</v>
      </c>
      <c r="V372" t="s">
        <v>30</v>
      </c>
      <c r="W372" t="s">
        <v>306</v>
      </c>
      <c r="X372" t="s">
        <v>32</v>
      </c>
      <c r="Y372" t="s">
        <v>33</v>
      </c>
    </row>
    <row r="373" spans="1:25" x14ac:dyDescent="0.25">
      <c r="A373">
        <v>2025</v>
      </c>
      <c r="B373" t="s">
        <v>290</v>
      </c>
      <c r="C373" t="s">
        <v>290</v>
      </c>
      <c r="D373" t="s">
        <v>307</v>
      </c>
      <c r="E373" t="s">
        <v>46</v>
      </c>
      <c r="F373" t="s">
        <v>186</v>
      </c>
      <c r="G373">
        <v>94</v>
      </c>
      <c r="H373">
        <v>94</v>
      </c>
      <c r="I373">
        <v>94</v>
      </c>
      <c r="J373">
        <v>850</v>
      </c>
      <c r="K373">
        <v>9</v>
      </c>
      <c r="L373">
        <v>10</v>
      </c>
      <c r="M373">
        <v>5250</v>
      </c>
      <c r="N373" t="s">
        <v>30</v>
      </c>
      <c r="O373">
        <v>0</v>
      </c>
      <c r="P373">
        <v>0</v>
      </c>
      <c r="Q373">
        <v>0</v>
      </c>
      <c r="R373">
        <v>308</v>
      </c>
      <c r="S373">
        <v>308</v>
      </c>
      <c r="T373">
        <v>308</v>
      </c>
      <c r="U373">
        <v>11.5</v>
      </c>
      <c r="V373" t="s">
        <v>30</v>
      </c>
      <c r="W373" t="s">
        <v>308</v>
      </c>
      <c r="X373" t="s">
        <v>32</v>
      </c>
      <c r="Y373" t="s">
        <v>33</v>
      </c>
    </row>
    <row r="374" spans="1:25" x14ac:dyDescent="0.25">
      <c r="A374">
        <v>2025</v>
      </c>
      <c r="B374" t="s">
        <v>290</v>
      </c>
      <c r="C374" t="s">
        <v>290</v>
      </c>
      <c r="D374" t="s">
        <v>307</v>
      </c>
      <c r="E374" t="s">
        <v>46</v>
      </c>
      <c r="F374" t="s">
        <v>186</v>
      </c>
      <c r="G374">
        <v>36</v>
      </c>
      <c r="H374">
        <v>36</v>
      </c>
      <c r="I374">
        <v>36</v>
      </c>
      <c r="J374">
        <v>850</v>
      </c>
      <c r="K374">
        <v>9</v>
      </c>
      <c r="L374">
        <v>10</v>
      </c>
      <c r="M374">
        <v>5250</v>
      </c>
      <c r="N374" t="s">
        <v>30</v>
      </c>
      <c r="O374">
        <v>0</v>
      </c>
      <c r="P374">
        <v>0</v>
      </c>
      <c r="Q374">
        <v>0</v>
      </c>
      <c r="R374">
        <v>308</v>
      </c>
      <c r="S374">
        <v>308</v>
      </c>
      <c r="T374">
        <v>308</v>
      </c>
      <c r="U374">
        <v>11.5</v>
      </c>
      <c r="V374" t="s">
        <v>30</v>
      </c>
      <c r="W374" t="s">
        <v>308</v>
      </c>
      <c r="X374" t="s">
        <v>32</v>
      </c>
      <c r="Y374" t="s">
        <v>33</v>
      </c>
    </row>
    <row r="375" spans="1:25" x14ac:dyDescent="0.25">
      <c r="A375">
        <v>2025</v>
      </c>
      <c r="B375" t="s">
        <v>290</v>
      </c>
      <c r="C375" t="s">
        <v>290</v>
      </c>
      <c r="D375" t="s">
        <v>309</v>
      </c>
      <c r="E375" t="s">
        <v>28</v>
      </c>
      <c r="F375" t="s">
        <v>186</v>
      </c>
      <c r="G375">
        <v>87</v>
      </c>
      <c r="H375">
        <v>85</v>
      </c>
      <c r="I375">
        <v>86</v>
      </c>
      <c r="J375">
        <v>950</v>
      </c>
      <c r="K375">
        <v>9</v>
      </c>
      <c r="L375">
        <v>10</v>
      </c>
      <c r="M375">
        <v>4750</v>
      </c>
      <c r="N375" t="s">
        <v>30</v>
      </c>
      <c r="O375">
        <v>0</v>
      </c>
      <c r="P375">
        <v>0</v>
      </c>
      <c r="Q375">
        <v>0</v>
      </c>
      <c r="R375">
        <v>267</v>
      </c>
      <c r="S375">
        <v>266</v>
      </c>
      <c r="T375">
        <v>269</v>
      </c>
      <c r="U375">
        <v>10.75</v>
      </c>
      <c r="V375" t="s">
        <v>30</v>
      </c>
      <c r="W375" t="s">
        <v>310</v>
      </c>
      <c r="X375" t="s">
        <v>32</v>
      </c>
      <c r="Y375" t="s">
        <v>33</v>
      </c>
    </row>
    <row r="376" spans="1:25" x14ac:dyDescent="0.25">
      <c r="A376">
        <v>2025</v>
      </c>
      <c r="B376" t="s">
        <v>290</v>
      </c>
      <c r="C376" t="s">
        <v>290</v>
      </c>
      <c r="D376" t="s">
        <v>309</v>
      </c>
      <c r="E376" t="s">
        <v>28</v>
      </c>
      <c r="F376" t="s">
        <v>186</v>
      </c>
      <c r="G376">
        <v>38</v>
      </c>
      <c r="H376">
        <v>39</v>
      </c>
      <c r="I376">
        <v>38</v>
      </c>
      <c r="J376">
        <v>950</v>
      </c>
      <c r="K376">
        <v>9</v>
      </c>
      <c r="L376">
        <v>10</v>
      </c>
      <c r="M376">
        <v>4750</v>
      </c>
      <c r="N376" t="s">
        <v>30</v>
      </c>
      <c r="O376">
        <v>0</v>
      </c>
      <c r="P376">
        <v>0</v>
      </c>
      <c r="Q376">
        <v>0</v>
      </c>
      <c r="R376">
        <v>267</v>
      </c>
      <c r="S376">
        <v>266</v>
      </c>
      <c r="T376">
        <v>269</v>
      </c>
      <c r="U376">
        <v>10.75</v>
      </c>
      <c r="V376" t="s">
        <v>30</v>
      </c>
      <c r="W376" t="s">
        <v>310</v>
      </c>
      <c r="X376" t="s">
        <v>32</v>
      </c>
      <c r="Y376" t="s">
        <v>33</v>
      </c>
    </row>
    <row r="377" spans="1:25" x14ac:dyDescent="0.25">
      <c r="A377">
        <v>2025</v>
      </c>
      <c r="B377" t="s">
        <v>290</v>
      </c>
      <c r="C377" t="s">
        <v>290</v>
      </c>
      <c r="D377" t="s">
        <v>311</v>
      </c>
      <c r="E377" t="s">
        <v>28</v>
      </c>
      <c r="F377" t="s">
        <v>186</v>
      </c>
      <c r="G377">
        <v>85</v>
      </c>
      <c r="H377">
        <v>84</v>
      </c>
      <c r="I377">
        <v>85</v>
      </c>
      <c r="J377">
        <v>950</v>
      </c>
      <c r="K377">
        <v>9</v>
      </c>
      <c r="L377">
        <v>10</v>
      </c>
      <c r="M377">
        <v>4750</v>
      </c>
      <c r="N377" t="s">
        <v>30</v>
      </c>
      <c r="O377">
        <v>0</v>
      </c>
      <c r="P377">
        <v>0</v>
      </c>
      <c r="Q377">
        <v>0</v>
      </c>
      <c r="R377">
        <v>266</v>
      </c>
      <c r="S377">
        <v>269</v>
      </c>
      <c r="T377">
        <v>262</v>
      </c>
      <c r="U377">
        <v>11.5</v>
      </c>
      <c r="V377" t="s">
        <v>30</v>
      </c>
      <c r="W377" t="s">
        <v>310</v>
      </c>
      <c r="X377" t="s">
        <v>32</v>
      </c>
      <c r="Y377" t="s">
        <v>33</v>
      </c>
    </row>
    <row r="378" spans="1:25" x14ac:dyDescent="0.25">
      <c r="A378">
        <v>2025</v>
      </c>
      <c r="B378" t="s">
        <v>290</v>
      </c>
      <c r="C378" t="s">
        <v>290</v>
      </c>
      <c r="D378" t="s">
        <v>311</v>
      </c>
      <c r="E378" t="s">
        <v>28</v>
      </c>
      <c r="F378" t="s">
        <v>186</v>
      </c>
      <c r="G378">
        <v>38</v>
      </c>
      <c r="H378">
        <v>39</v>
      </c>
      <c r="I378">
        <v>39</v>
      </c>
      <c r="J378">
        <v>950</v>
      </c>
      <c r="K378">
        <v>9</v>
      </c>
      <c r="L378">
        <v>10</v>
      </c>
      <c r="M378">
        <v>4750</v>
      </c>
      <c r="N378" t="s">
        <v>30</v>
      </c>
      <c r="O378">
        <v>0</v>
      </c>
      <c r="P378">
        <v>0</v>
      </c>
      <c r="Q378">
        <v>0</v>
      </c>
      <c r="R378">
        <v>266</v>
      </c>
      <c r="S378">
        <v>269</v>
      </c>
      <c r="T378">
        <v>262</v>
      </c>
      <c r="U378">
        <v>11.5</v>
      </c>
      <c r="V378" t="s">
        <v>30</v>
      </c>
      <c r="W378" t="s">
        <v>310</v>
      </c>
      <c r="X378" t="s">
        <v>32</v>
      </c>
      <c r="Y378" t="s">
        <v>33</v>
      </c>
    </row>
    <row r="379" spans="1:25" x14ac:dyDescent="0.25">
      <c r="A379">
        <v>2025</v>
      </c>
      <c r="B379" t="s">
        <v>290</v>
      </c>
      <c r="C379" t="s">
        <v>290</v>
      </c>
      <c r="D379" t="s">
        <v>312</v>
      </c>
      <c r="E379" t="s">
        <v>46</v>
      </c>
      <c r="F379" t="s">
        <v>313</v>
      </c>
      <c r="G379">
        <v>98</v>
      </c>
      <c r="H379">
        <v>87</v>
      </c>
      <c r="I379">
        <v>93</v>
      </c>
      <c r="J379">
        <v>850</v>
      </c>
      <c r="K379">
        <v>9</v>
      </c>
      <c r="L379">
        <v>10</v>
      </c>
      <c r="M379">
        <v>5250</v>
      </c>
      <c r="N379" t="s">
        <v>30</v>
      </c>
      <c r="O379">
        <v>0</v>
      </c>
      <c r="P379">
        <v>0</v>
      </c>
      <c r="Q379">
        <v>0</v>
      </c>
      <c r="R379">
        <v>302</v>
      </c>
      <c r="S379">
        <v>320</v>
      </c>
      <c r="T379">
        <v>280</v>
      </c>
      <c r="U379">
        <v>11.5</v>
      </c>
      <c r="V379" t="s">
        <v>30</v>
      </c>
      <c r="W379" t="s">
        <v>308</v>
      </c>
      <c r="X379" t="s">
        <v>32</v>
      </c>
      <c r="Y379" t="s">
        <v>33</v>
      </c>
    </row>
    <row r="380" spans="1:25" x14ac:dyDescent="0.25">
      <c r="A380">
        <v>2025</v>
      </c>
      <c r="B380" t="s">
        <v>290</v>
      </c>
      <c r="C380" t="s">
        <v>290</v>
      </c>
      <c r="D380" t="s">
        <v>312</v>
      </c>
      <c r="E380" t="s">
        <v>46</v>
      </c>
      <c r="F380" t="s">
        <v>313</v>
      </c>
      <c r="G380">
        <v>34</v>
      </c>
      <c r="H380">
        <v>38</v>
      </c>
      <c r="I380">
        <v>36</v>
      </c>
      <c r="J380">
        <v>850</v>
      </c>
      <c r="K380">
        <v>9</v>
      </c>
      <c r="L380">
        <v>10</v>
      </c>
      <c r="M380">
        <v>5250</v>
      </c>
      <c r="N380" t="s">
        <v>30</v>
      </c>
      <c r="O380">
        <v>0</v>
      </c>
      <c r="P380">
        <v>0</v>
      </c>
      <c r="Q380">
        <v>0</v>
      </c>
      <c r="R380">
        <v>302</v>
      </c>
      <c r="S380">
        <v>320</v>
      </c>
      <c r="T380">
        <v>280</v>
      </c>
      <c r="U380">
        <v>11.5</v>
      </c>
      <c r="V380" t="s">
        <v>30</v>
      </c>
      <c r="W380" t="s">
        <v>308</v>
      </c>
      <c r="X380" t="s">
        <v>32</v>
      </c>
      <c r="Y380" t="s">
        <v>33</v>
      </c>
    </row>
    <row r="381" spans="1:25" x14ac:dyDescent="0.25">
      <c r="A381">
        <v>2025</v>
      </c>
      <c r="B381" t="s">
        <v>290</v>
      </c>
      <c r="C381" t="s">
        <v>290</v>
      </c>
      <c r="D381" t="s">
        <v>314</v>
      </c>
      <c r="E381" t="s">
        <v>28</v>
      </c>
      <c r="F381" t="s">
        <v>313</v>
      </c>
      <c r="G381">
        <v>84</v>
      </c>
      <c r="H381">
        <v>78</v>
      </c>
      <c r="I381">
        <v>81</v>
      </c>
      <c r="J381">
        <v>1000</v>
      </c>
      <c r="K381">
        <v>9</v>
      </c>
      <c r="L381">
        <v>10</v>
      </c>
      <c r="M381">
        <v>4500</v>
      </c>
      <c r="N381" t="s">
        <v>30</v>
      </c>
      <c r="O381">
        <v>0</v>
      </c>
      <c r="P381">
        <v>0</v>
      </c>
      <c r="Q381">
        <v>0</v>
      </c>
      <c r="R381">
        <v>253</v>
      </c>
      <c r="S381">
        <v>261</v>
      </c>
      <c r="T381">
        <v>243</v>
      </c>
      <c r="U381">
        <v>10.75</v>
      </c>
      <c r="V381" t="s">
        <v>30</v>
      </c>
      <c r="W381" t="s">
        <v>310</v>
      </c>
      <c r="X381" t="s">
        <v>32</v>
      </c>
      <c r="Y381" t="s">
        <v>33</v>
      </c>
    </row>
    <row r="382" spans="1:25" x14ac:dyDescent="0.25">
      <c r="A382">
        <v>2025</v>
      </c>
      <c r="B382" t="s">
        <v>290</v>
      </c>
      <c r="C382" t="s">
        <v>290</v>
      </c>
      <c r="D382" t="s">
        <v>314</v>
      </c>
      <c r="E382" t="s">
        <v>28</v>
      </c>
      <c r="F382" t="s">
        <v>313</v>
      </c>
      <c r="G382">
        <v>39</v>
      </c>
      <c r="H382">
        <v>42</v>
      </c>
      <c r="I382">
        <v>40</v>
      </c>
      <c r="J382">
        <v>1000</v>
      </c>
      <c r="K382">
        <v>9</v>
      </c>
      <c r="L382">
        <v>10</v>
      </c>
      <c r="M382">
        <v>4500</v>
      </c>
      <c r="N382" t="s">
        <v>30</v>
      </c>
      <c r="O382">
        <v>0</v>
      </c>
      <c r="P382">
        <v>0</v>
      </c>
      <c r="Q382">
        <v>0</v>
      </c>
      <c r="R382">
        <v>253</v>
      </c>
      <c r="S382">
        <v>261</v>
      </c>
      <c r="T382">
        <v>243</v>
      </c>
      <c r="U382">
        <v>10.75</v>
      </c>
      <c r="V382" t="s">
        <v>30</v>
      </c>
      <c r="W382" t="s">
        <v>310</v>
      </c>
      <c r="X382" t="s">
        <v>32</v>
      </c>
      <c r="Y382" t="s">
        <v>33</v>
      </c>
    </row>
    <row r="383" spans="1:25" x14ac:dyDescent="0.25">
      <c r="A383">
        <v>2025</v>
      </c>
      <c r="B383" t="s">
        <v>290</v>
      </c>
      <c r="C383" t="s">
        <v>290</v>
      </c>
      <c r="D383" t="s">
        <v>315</v>
      </c>
      <c r="E383" t="s">
        <v>28</v>
      </c>
      <c r="F383" t="s">
        <v>29</v>
      </c>
      <c r="G383">
        <v>80</v>
      </c>
      <c r="H383">
        <v>78</v>
      </c>
      <c r="I383">
        <v>79</v>
      </c>
      <c r="J383">
        <v>1050</v>
      </c>
      <c r="K383">
        <v>9</v>
      </c>
      <c r="L383">
        <v>10</v>
      </c>
      <c r="M383">
        <v>4250</v>
      </c>
      <c r="N383" t="s">
        <v>30</v>
      </c>
      <c r="O383">
        <v>0</v>
      </c>
      <c r="P383">
        <v>0</v>
      </c>
      <c r="Q383">
        <v>0</v>
      </c>
      <c r="R383">
        <v>312</v>
      </c>
      <c r="S383">
        <v>316</v>
      </c>
      <c r="T383">
        <v>307</v>
      </c>
      <c r="U383">
        <v>14</v>
      </c>
      <c r="V383" t="s">
        <v>30</v>
      </c>
      <c r="W383" t="s">
        <v>294</v>
      </c>
      <c r="X383" t="s">
        <v>32</v>
      </c>
      <c r="Y383" t="s">
        <v>33</v>
      </c>
    </row>
    <row r="384" spans="1:25" x14ac:dyDescent="0.25">
      <c r="A384">
        <v>2025</v>
      </c>
      <c r="B384" t="s">
        <v>290</v>
      </c>
      <c r="C384" t="s">
        <v>290</v>
      </c>
      <c r="D384" t="s">
        <v>315</v>
      </c>
      <c r="E384" t="s">
        <v>28</v>
      </c>
      <c r="F384" t="s">
        <v>29</v>
      </c>
      <c r="G384">
        <v>42</v>
      </c>
      <c r="H384">
        <v>43</v>
      </c>
      <c r="I384">
        <v>42</v>
      </c>
      <c r="J384">
        <v>1050</v>
      </c>
      <c r="K384">
        <v>9</v>
      </c>
      <c r="L384">
        <v>10</v>
      </c>
      <c r="M384">
        <v>4250</v>
      </c>
      <c r="N384" t="s">
        <v>30</v>
      </c>
      <c r="O384">
        <v>0</v>
      </c>
      <c r="P384">
        <v>0</v>
      </c>
      <c r="Q384">
        <v>0</v>
      </c>
      <c r="R384">
        <v>312</v>
      </c>
      <c r="S384">
        <v>316</v>
      </c>
      <c r="T384">
        <v>307</v>
      </c>
      <c r="U384">
        <v>14</v>
      </c>
      <c r="V384" t="s">
        <v>30</v>
      </c>
      <c r="W384" t="s">
        <v>294</v>
      </c>
      <c r="X384" t="s">
        <v>32</v>
      </c>
      <c r="Y384" t="s">
        <v>33</v>
      </c>
    </row>
    <row r="385" spans="1:25" x14ac:dyDescent="0.25">
      <c r="A385">
        <v>2025</v>
      </c>
      <c r="B385" t="s">
        <v>290</v>
      </c>
      <c r="C385" t="s">
        <v>290</v>
      </c>
      <c r="D385" t="s">
        <v>316</v>
      </c>
      <c r="E385" t="s">
        <v>28</v>
      </c>
      <c r="F385" t="s">
        <v>29</v>
      </c>
      <c r="G385">
        <v>82</v>
      </c>
      <c r="H385">
        <v>78</v>
      </c>
      <c r="I385">
        <v>80</v>
      </c>
      <c r="J385">
        <v>1000</v>
      </c>
      <c r="K385">
        <v>9</v>
      </c>
      <c r="L385">
        <v>10</v>
      </c>
      <c r="M385">
        <v>4500</v>
      </c>
      <c r="N385" t="s">
        <v>30</v>
      </c>
      <c r="O385">
        <v>0</v>
      </c>
      <c r="P385">
        <v>0</v>
      </c>
      <c r="Q385">
        <v>0</v>
      </c>
      <c r="R385">
        <v>317</v>
      </c>
      <c r="S385">
        <v>324</v>
      </c>
      <c r="T385">
        <v>309</v>
      </c>
      <c r="U385">
        <v>14</v>
      </c>
      <c r="V385" t="s">
        <v>30</v>
      </c>
      <c r="W385" t="s">
        <v>294</v>
      </c>
      <c r="X385" t="s">
        <v>32</v>
      </c>
      <c r="Y385" t="s">
        <v>33</v>
      </c>
    </row>
    <row r="386" spans="1:25" x14ac:dyDescent="0.25">
      <c r="A386">
        <v>2025</v>
      </c>
      <c r="B386" t="s">
        <v>290</v>
      </c>
      <c r="C386" t="s">
        <v>290</v>
      </c>
      <c r="D386" t="s">
        <v>316</v>
      </c>
      <c r="E386" t="s">
        <v>28</v>
      </c>
      <c r="F386" t="s">
        <v>29</v>
      </c>
      <c r="G386">
        <v>40</v>
      </c>
      <c r="H386">
        <v>42</v>
      </c>
      <c r="I386">
        <v>41</v>
      </c>
      <c r="J386">
        <v>1000</v>
      </c>
      <c r="K386">
        <v>9</v>
      </c>
      <c r="L386">
        <v>10</v>
      </c>
      <c r="M386">
        <v>4500</v>
      </c>
      <c r="N386" t="s">
        <v>30</v>
      </c>
      <c r="O386">
        <v>0</v>
      </c>
      <c r="P386">
        <v>0</v>
      </c>
      <c r="Q386">
        <v>0</v>
      </c>
      <c r="R386">
        <v>317</v>
      </c>
      <c r="S386">
        <v>324</v>
      </c>
      <c r="T386">
        <v>309</v>
      </c>
      <c r="U386">
        <v>14</v>
      </c>
      <c r="V386" t="s">
        <v>30</v>
      </c>
      <c r="W386" t="s">
        <v>294</v>
      </c>
      <c r="X386" t="s">
        <v>32</v>
      </c>
      <c r="Y386" t="s">
        <v>33</v>
      </c>
    </row>
    <row r="387" spans="1:25" x14ac:dyDescent="0.25">
      <c r="A387">
        <v>2025</v>
      </c>
      <c r="B387" t="s">
        <v>290</v>
      </c>
      <c r="C387" t="s">
        <v>290</v>
      </c>
      <c r="D387" t="s">
        <v>317</v>
      </c>
      <c r="E387" t="s">
        <v>28</v>
      </c>
      <c r="F387" t="s">
        <v>313</v>
      </c>
      <c r="G387">
        <v>83</v>
      </c>
      <c r="H387">
        <v>78</v>
      </c>
      <c r="I387">
        <v>81</v>
      </c>
      <c r="J387">
        <v>1000</v>
      </c>
      <c r="K387">
        <v>9</v>
      </c>
      <c r="L387">
        <v>10</v>
      </c>
      <c r="M387">
        <v>4500</v>
      </c>
      <c r="N387" t="s">
        <v>30</v>
      </c>
      <c r="O387">
        <v>0</v>
      </c>
      <c r="P387">
        <v>0</v>
      </c>
      <c r="Q387">
        <v>0</v>
      </c>
      <c r="R387">
        <v>264</v>
      </c>
      <c r="S387">
        <v>268</v>
      </c>
      <c r="T387">
        <v>259</v>
      </c>
      <c r="U387">
        <v>11.5</v>
      </c>
      <c r="V387" t="s">
        <v>30</v>
      </c>
      <c r="W387" t="s">
        <v>310</v>
      </c>
      <c r="X387" t="s">
        <v>32</v>
      </c>
      <c r="Y387" t="s">
        <v>33</v>
      </c>
    </row>
    <row r="388" spans="1:25" x14ac:dyDescent="0.25">
      <c r="A388">
        <v>2025</v>
      </c>
      <c r="B388" t="s">
        <v>290</v>
      </c>
      <c r="C388" t="s">
        <v>290</v>
      </c>
      <c r="D388" t="s">
        <v>317</v>
      </c>
      <c r="E388" t="s">
        <v>28</v>
      </c>
      <c r="F388" t="s">
        <v>313</v>
      </c>
      <c r="G388">
        <v>40</v>
      </c>
      <c r="H388">
        <v>43</v>
      </c>
      <c r="I388">
        <v>41</v>
      </c>
      <c r="J388">
        <v>1000</v>
      </c>
      <c r="K388">
        <v>9</v>
      </c>
      <c r="L388">
        <v>10</v>
      </c>
      <c r="M388">
        <v>4500</v>
      </c>
      <c r="N388" t="s">
        <v>30</v>
      </c>
      <c r="O388">
        <v>0</v>
      </c>
      <c r="P388">
        <v>0</v>
      </c>
      <c r="Q388">
        <v>0</v>
      </c>
      <c r="R388">
        <v>264</v>
      </c>
      <c r="S388">
        <v>268</v>
      </c>
      <c r="T388">
        <v>259</v>
      </c>
      <c r="U388">
        <v>11.5</v>
      </c>
      <c r="V388" t="s">
        <v>30</v>
      </c>
      <c r="W388" t="s">
        <v>310</v>
      </c>
      <c r="X388" t="s">
        <v>32</v>
      </c>
      <c r="Y388" t="s">
        <v>33</v>
      </c>
    </row>
    <row r="389" spans="1:25" x14ac:dyDescent="0.25">
      <c r="A389">
        <v>2025</v>
      </c>
      <c r="B389" t="s">
        <v>290</v>
      </c>
      <c r="C389" t="s">
        <v>290</v>
      </c>
      <c r="D389" t="s">
        <v>318</v>
      </c>
      <c r="E389" t="s">
        <v>28</v>
      </c>
      <c r="F389" t="s">
        <v>29</v>
      </c>
      <c r="G389">
        <v>76</v>
      </c>
      <c r="H389">
        <v>76</v>
      </c>
      <c r="I389">
        <v>76</v>
      </c>
      <c r="J389">
        <v>1050</v>
      </c>
      <c r="K389">
        <v>9</v>
      </c>
      <c r="L389">
        <v>10</v>
      </c>
      <c r="M389">
        <v>4250</v>
      </c>
      <c r="N389" t="s">
        <v>30</v>
      </c>
      <c r="O389">
        <v>0</v>
      </c>
      <c r="P389">
        <v>0</v>
      </c>
      <c r="Q389">
        <v>0</v>
      </c>
      <c r="R389">
        <v>302</v>
      </c>
      <c r="S389">
        <v>303</v>
      </c>
      <c r="T389">
        <v>301</v>
      </c>
      <c r="U389">
        <v>14</v>
      </c>
      <c r="V389" t="s">
        <v>30</v>
      </c>
      <c r="W389" t="s">
        <v>294</v>
      </c>
      <c r="X389" t="s">
        <v>32</v>
      </c>
      <c r="Y389" t="s">
        <v>33</v>
      </c>
    </row>
    <row r="390" spans="1:25" x14ac:dyDescent="0.25">
      <c r="A390">
        <v>2025</v>
      </c>
      <c r="B390" t="s">
        <v>290</v>
      </c>
      <c r="C390" t="s">
        <v>290</v>
      </c>
      <c r="D390" t="s">
        <v>318</v>
      </c>
      <c r="E390" t="s">
        <v>28</v>
      </c>
      <c r="F390" t="s">
        <v>29</v>
      </c>
      <c r="G390">
        <v>44</v>
      </c>
      <c r="H390">
        <v>43</v>
      </c>
      <c r="I390">
        <v>44</v>
      </c>
      <c r="J390">
        <v>1050</v>
      </c>
      <c r="K390">
        <v>9</v>
      </c>
      <c r="L390">
        <v>10</v>
      </c>
      <c r="M390">
        <v>4250</v>
      </c>
      <c r="N390" t="s">
        <v>30</v>
      </c>
      <c r="O390">
        <v>0</v>
      </c>
      <c r="P390">
        <v>0</v>
      </c>
      <c r="Q390">
        <v>0</v>
      </c>
      <c r="R390">
        <v>302</v>
      </c>
      <c r="S390">
        <v>303</v>
      </c>
      <c r="T390">
        <v>301</v>
      </c>
      <c r="U390">
        <v>14</v>
      </c>
      <c r="V390" t="s">
        <v>30</v>
      </c>
      <c r="W390" t="s">
        <v>294</v>
      </c>
      <c r="X390" t="s">
        <v>32</v>
      </c>
      <c r="Y390" t="s">
        <v>33</v>
      </c>
    </row>
    <row r="391" spans="1:25" x14ac:dyDescent="0.25">
      <c r="A391">
        <v>2025</v>
      </c>
      <c r="B391" t="s">
        <v>290</v>
      </c>
      <c r="C391" t="s">
        <v>290</v>
      </c>
      <c r="D391" t="s">
        <v>319</v>
      </c>
      <c r="E391" t="s">
        <v>28</v>
      </c>
      <c r="F391" t="s">
        <v>313</v>
      </c>
      <c r="G391">
        <v>76</v>
      </c>
      <c r="H391">
        <v>72</v>
      </c>
      <c r="I391">
        <v>74</v>
      </c>
      <c r="J391">
        <v>1100</v>
      </c>
      <c r="K391">
        <v>9</v>
      </c>
      <c r="L391">
        <v>10</v>
      </c>
      <c r="M391">
        <v>4000</v>
      </c>
      <c r="N391" t="s">
        <v>30</v>
      </c>
      <c r="O391">
        <v>0</v>
      </c>
      <c r="P391">
        <v>0</v>
      </c>
      <c r="Q391">
        <v>0</v>
      </c>
      <c r="R391">
        <v>230</v>
      </c>
      <c r="S391">
        <v>236</v>
      </c>
      <c r="T391">
        <v>223</v>
      </c>
      <c r="U391">
        <v>10.75</v>
      </c>
      <c r="V391" t="s">
        <v>30</v>
      </c>
      <c r="W391" t="s">
        <v>306</v>
      </c>
      <c r="X391" t="s">
        <v>32</v>
      </c>
      <c r="Y391" t="s">
        <v>33</v>
      </c>
    </row>
    <row r="392" spans="1:25" x14ac:dyDescent="0.25">
      <c r="A392">
        <v>2025</v>
      </c>
      <c r="B392" t="s">
        <v>290</v>
      </c>
      <c r="C392" t="s">
        <v>290</v>
      </c>
      <c r="D392" t="s">
        <v>319</v>
      </c>
      <c r="E392" t="s">
        <v>28</v>
      </c>
      <c r="F392" t="s">
        <v>313</v>
      </c>
      <c r="G392">
        <v>44</v>
      </c>
      <c r="H392">
        <v>47</v>
      </c>
      <c r="I392">
        <v>46</v>
      </c>
      <c r="J392">
        <v>1100</v>
      </c>
      <c r="K392">
        <v>9</v>
      </c>
      <c r="L392">
        <v>10</v>
      </c>
      <c r="M392">
        <v>4000</v>
      </c>
      <c r="N392" t="s">
        <v>30</v>
      </c>
      <c r="O392">
        <v>0</v>
      </c>
      <c r="P392">
        <v>0</v>
      </c>
      <c r="Q392">
        <v>0</v>
      </c>
      <c r="R392">
        <v>230</v>
      </c>
      <c r="S392">
        <v>236</v>
      </c>
      <c r="T392">
        <v>223</v>
      </c>
      <c r="U392">
        <v>10.75</v>
      </c>
      <c r="V392" t="s">
        <v>30</v>
      </c>
      <c r="W392" t="s">
        <v>306</v>
      </c>
      <c r="X392" t="s">
        <v>32</v>
      </c>
      <c r="Y392" t="s">
        <v>33</v>
      </c>
    </row>
    <row r="393" spans="1:25" x14ac:dyDescent="0.25">
      <c r="A393">
        <v>2025</v>
      </c>
      <c r="B393" t="s">
        <v>63</v>
      </c>
      <c r="C393" t="s">
        <v>320</v>
      </c>
      <c r="D393" t="s">
        <v>321</v>
      </c>
      <c r="E393" t="s">
        <v>28</v>
      </c>
      <c r="F393" t="s">
        <v>118</v>
      </c>
      <c r="G393">
        <v>99</v>
      </c>
      <c r="H393">
        <v>94</v>
      </c>
      <c r="I393">
        <v>96</v>
      </c>
      <c r="J393">
        <v>850</v>
      </c>
      <c r="K393">
        <v>9</v>
      </c>
      <c r="L393">
        <v>10</v>
      </c>
      <c r="M393">
        <v>5250</v>
      </c>
      <c r="N393" t="s">
        <v>30</v>
      </c>
      <c r="O393">
        <v>0</v>
      </c>
      <c r="P393">
        <v>0</v>
      </c>
      <c r="Q393">
        <v>0</v>
      </c>
      <c r="R393">
        <v>212</v>
      </c>
      <c r="S393">
        <v>217</v>
      </c>
      <c r="T393">
        <v>206</v>
      </c>
      <c r="U393">
        <v>8</v>
      </c>
      <c r="V393" t="s">
        <v>30</v>
      </c>
      <c r="W393" t="s">
        <v>60</v>
      </c>
      <c r="X393" t="s">
        <v>32</v>
      </c>
      <c r="Y393" t="s">
        <v>33</v>
      </c>
    </row>
    <row r="394" spans="1:25" x14ac:dyDescent="0.25">
      <c r="A394">
        <v>2025</v>
      </c>
      <c r="B394" t="s">
        <v>63</v>
      </c>
      <c r="C394" t="s">
        <v>320</v>
      </c>
      <c r="D394" t="s">
        <v>321</v>
      </c>
      <c r="E394" t="s">
        <v>28</v>
      </c>
      <c r="F394" t="s">
        <v>118</v>
      </c>
      <c r="G394">
        <v>34</v>
      </c>
      <c r="H394">
        <v>36</v>
      </c>
      <c r="I394">
        <v>35</v>
      </c>
      <c r="J394">
        <v>850</v>
      </c>
      <c r="K394">
        <v>9</v>
      </c>
      <c r="L394">
        <v>10</v>
      </c>
      <c r="M394">
        <v>5250</v>
      </c>
      <c r="N394" t="s">
        <v>30</v>
      </c>
      <c r="O394">
        <v>0</v>
      </c>
      <c r="P394">
        <v>0</v>
      </c>
      <c r="Q394">
        <v>0</v>
      </c>
      <c r="R394">
        <v>212</v>
      </c>
      <c r="S394">
        <v>217</v>
      </c>
      <c r="T394">
        <v>206</v>
      </c>
      <c r="U394">
        <v>8</v>
      </c>
      <c r="V394" t="s">
        <v>30</v>
      </c>
      <c r="W394" t="s">
        <v>60</v>
      </c>
      <c r="X394" t="s">
        <v>32</v>
      </c>
      <c r="Y394" t="s">
        <v>33</v>
      </c>
    </row>
    <row r="395" spans="1:25" x14ac:dyDescent="0.25">
      <c r="A395">
        <v>2025</v>
      </c>
      <c r="B395" t="s">
        <v>63</v>
      </c>
      <c r="C395" t="s">
        <v>320</v>
      </c>
      <c r="D395" t="s">
        <v>322</v>
      </c>
      <c r="E395" t="s">
        <v>28</v>
      </c>
      <c r="F395" t="s">
        <v>118</v>
      </c>
      <c r="G395">
        <v>94</v>
      </c>
      <c r="H395">
        <v>88</v>
      </c>
      <c r="I395">
        <v>91</v>
      </c>
      <c r="J395">
        <v>900</v>
      </c>
      <c r="K395">
        <v>9</v>
      </c>
      <c r="L395">
        <v>10</v>
      </c>
      <c r="M395">
        <v>5000</v>
      </c>
      <c r="N395" t="s">
        <v>30</v>
      </c>
      <c r="O395">
        <v>0</v>
      </c>
      <c r="P395">
        <v>0</v>
      </c>
      <c r="Q395">
        <v>0</v>
      </c>
      <c r="R395">
        <v>204</v>
      </c>
      <c r="S395">
        <v>210</v>
      </c>
      <c r="T395">
        <v>197</v>
      </c>
      <c r="U395">
        <v>8</v>
      </c>
      <c r="V395" t="s">
        <v>30</v>
      </c>
      <c r="W395" t="s">
        <v>60</v>
      </c>
      <c r="X395" t="s">
        <v>32</v>
      </c>
      <c r="Y395" t="s">
        <v>33</v>
      </c>
    </row>
    <row r="396" spans="1:25" x14ac:dyDescent="0.25">
      <c r="A396">
        <v>2025</v>
      </c>
      <c r="B396" t="s">
        <v>63</v>
      </c>
      <c r="C396" t="s">
        <v>320</v>
      </c>
      <c r="D396" t="s">
        <v>322</v>
      </c>
      <c r="E396" t="s">
        <v>28</v>
      </c>
      <c r="F396" t="s">
        <v>118</v>
      </c>
      <c r="G396">
        <v>36</v>
      </c>
      <c r="H396">
        <v>38</v>
      </c>
      <c r="I396">
        <v>37</v>
      </c>
      <c r="J396">
        <v>900</v>
      </c>
      <c r="K396">
        <v>9</v>
      </c>
      <c r="L396">
        <v>10</v>
      </c>
      <c r="M396">
        <v>5000</v>
      </c>
      <c r="N396" t="s">
        <v>30</v>
      </c>
      <c r="O396">
        <v>0</v>
      </c>
      <c r="P396">
        <v>0</v>
      </c>
      <c r="Q396">
        <v>0</v>
      </c>
      <c r="R396">
        <v>204</v>
      </c>
      <c r="S396">
        <v>210</v>
      </c>
      <c r="T396">
        <v>197</v>
      </c>
      <c r="U396">
        <v>8</v>
      </c>
      <c r="V396" t="s">
        <v>30</v>
      </c>
      <c r="W396" t="s">
        <v>60</v>
      </c>
      <c r="X396" t="s">
        <v>32</v>
      </c>
      <c r="Y396" t="s">
        <v>33</v>
      </c>
    </row>
    <row r="397" spans="1:25" x14ac:dyDescent="0.25">
      <c r="A397">
        <v>2025</v>
      </c>
      <c r="B397" t="s">
        <v>323</v>
      </c>
      <c r="C397" t="s">
        <v>324</v>
      </c>
      <c r="D397" t="s">
        <v>325</v>
      </c>
      <c r="E397" t="s">
        <v>28</v>
      </c>
      <c r="F397" t="s">
        <v>118</v>
      </c>
      <c r="G397">
        <v>97</v>
      </c>
      <c r="H397">
        <v>86</v>
      </c>
      <c r="I397">
        <v>92</v>
      </c>
      <c r="J397">
        <v>900</v>
      </c>
      <c r="K397">
        <v>9</v>
      </c>
      <c r="L397">
        <v>10</v>
      </c>
      <c r="M397">
        <v>5000</v>
      </c>
      <c r="N397" t="s">
        <v>30</v>
      </c>
      <c r="O397">
        <v>0</v>
      </c>
      <c r="P397">
        <v>0</v>
      </c>
      <c r="Q397">
        <v>0</v>
      </c>
      <c r="R397">
        <v>272</v>
      </c>
      <c r="S397">
        <v>286</v>
      </c>
      <c r="T397">
        <v>254</v>
      </c>
      <c r="U397">
        <v>13</v>
      </c>
      <c r="V397" t="s">
        <v>30</v>
      </c>
      <c r="W397" t="s">
        <v>326</v>
      </c>
      <c r="X397" t="s">
        <v>32</v>
      </c>
      <c r="Y397" t="s">
        <v>33</v>
      </c>
    </row>
    <row r="398" spans="1:25" x14ac:dyDescent="0.25">
      <c r="A398">
        <v>2025</v>
      </c>
      <c r="B398" t="s">
        <v>323</v>
      </c>
      <c r="C398" t="s">
        <v>324</v>
      </c>
      <c r="D398" t="s">
        <v>325</v>
      </c>
      <c r="E398" t="s">
        <v>28</v>
      </c>
      <c r="F398" t="s">
        <v>118</v>
      </c>
      <c r="G398">
        <v>35</v>
      </c>
      <c r="H398">
        <v>39</v>
      </c>
      <c r="I398">
        <v>37</v>
      </c>
      <c r="J398">
        <v>900</v>
      </c>
      <c r="K398">
        <v>9</v>
      </c>
      <c r="L398">
        <v>10</v>
      </c>
      <c r="M398">
        <v>5000</v>
      </c>
      <c r="N398" t="s">
        <v>30</v>
      </c>
      <c r="O398">
        <v>0</v>
      </c>
      <c r="P398">
        <v>0</v>
      </c>
      <c r="Q398">
        <v>0</v>
      </c>
      <c r="R398">
        <v>272</v>
      </c>
      <c r="S398">
        <v>286</v>
      </c>
      <c r="T398">
        <v>254</v>
      </c>
      <c r="U398">
        <v>13</v>
      </c>
      <c r="V398" t="s">
        <v>30</v>
      </c>
      <c r="W398" t="s">
        <v>326</v>
      </c>
      <c r="X398" t="s">
        <v>32</v>
      </c>
      <c r="Y398" t="s">
        <v>33</v>
      </c>
    </row>
    <row r="399" spans="1:25" x14ac:dyDescent="0.25">
      <c r="A399">
        <v>2025</v>
      </c>
      <c r="B399" t="s">
        <v>323</v>
      </c>
      <c r="C399" t="s">
        <v>324</v>
      </c>
      <c r="D399" t="s">
        <v>327</v>
      </c>
      <c r="E399" t="s">
        <v>28</v>
      </c>
      <c r="F399" t="s">
        <v>118</v>
      </c>
      <c r="G399">
        <v>93</v>
      </c>
      <c r="H399">
        <v>87</v>
      </c>
      <c r="I399">
        <v>90</v>
      </c>
      <c r="J399">
        <v>900</v>
      </c>
      <c r="K399">
        <v>9</v>
      </c>
      <c r="L399">
        <v>10</v>
      </c>
      <c r="M399">
        <v>5000</v>
      </c>
      <c r="N399" t="s">
        <v>30</v>
      </c>
      <c r="O399">
        <v>0</v>
      </c>
      <c r="P399">
        <v>0</v>
      </c>
      <c r="Q399">
        <v>0</v>
      </c>
      <c r="R399">
        <v>267</v>
      </c>
      <c r="S399">
        <v>276</v>
      </c>
      <c r="T399">
        <v>256</v>
      </c>
      <c r="U399">
        <v>14</v>
      </c>
      <c r="V399" t="s">
        <v>30</v>
      </c>
      <c r="W399" t="s">
        <v>326</v>
      </c>
      <c r="X399" t="s">
        <v>32</v>
      </c>
      <c r="Y399" t="s">
        <v>33</v>
      </c>
    </row>
    <row r="400" spans="1:25" x14ac:dyDescent="0.25">
      <c r="A400">
        <v>2025</v>
      </c>
      <c r="B400" t="s">
        <v>323</v>
      </c>
      <c r="C400" t="s">
        <v>324</v>
      </c>
      <c r="D400" t="s">
        <v>327</v>
      </c>
      <c r="E400" t="s">
        <v>28</v>
      </c>
      <c r="F400" t="s">
        <v>118</v>
      </c>
      <c r="G400">
        <v>36</v>
      </c>
      <c r="H400">
        <v>39</v>
      </c>
      <c r="I400">
        <v>37</v>
      </c>
      <c r="J400">
        <v>900</v>
      </c>
      <c r="K400">
        <v>9</v>
      </c>
      <c r="L400">
        <v>10</v>
      </c>
      <c r="M400">
        <v>5000</v>
      </c>
      <c r="N400" t="s">
        <v>30</v>
      </c>
      <c r="O400">
        <v>0</v>
      </c>
      <c r="P400">
        <v>0</v>
      </c>
      <c r="Q400">
        <v>0</v>
      </c>
      <c r="R400">
        <v>267</v>
      </c>
      <c r="S400">
        <v>276</v>
      </c>
      <c r="T400">
        <v>256</v>
      </c>
      <c r="U400">
        <v>14</v>
      </c>
      <c r="V400" t="s">
        <v>30</v>
      </c>
      <c r="W400" t="s">
        <v>326</v>
      </c>
      <c r="X400" t="s">
        <v>32</v>
      </c>
      <c r="Y400" t="s">
        <v>33</v>
      </c>
    </row>
    <row r="401" spans="1:25" x14ac:dyDescent="0.25">
      <c r="A401">
        <v>2025</v>
      </c>
      <c r="B401" t="s">
        <v>323</v>
      </c>
      <c r="C401" t="s">
        <v>324</v>
      </c>
      <c r="D401" t="s">
        <v>328</v>
      </c>
      <c r="E401" t="s">
        <v>28</v>
      </c>
      <c r="F401" t="s">
        <v>118</v>
      </c>
      <c r="G401">
        <v>89</v>
      </c>
      <c r="H401">
        <v>84</v>
      </c>
      <c r="I401">
        <v>87</v>
      </c>
      <c r="J401">
        <v>950</v>
      </c>
      <c r="K401">
        <v>9</v>
      </c>
      <c r="L401">
        <v>10</v>
      </c>
      <c r="M401">
        <v>4750</v>
      </c>
      <c r="N401" t="s">
        <v>30</v>
      </c>
      <c r="O401">
        <v>0</v>
      </c>
      <c r="P401">
        <v>0</v>
      </c>
      <c r="Q401">
        <v>0</v>
      </c>
      <c r="R401">
        <v>257</v>
      </c>
      <c r="S401">
        <v>264</v>
      </c>
      <c r="T401">
        <v>248</v>
      </c>
      <c r="U401">
        <v>14</v>
      </c>
      <c r="V401" t="s">
        <v>30</v>
      </c>
      <c r="W401" t="s">
        <v>326</v>
      </c>
      <c r="X401" t="s">
        <v>32</v>
      </c>
      <c r="Y401" t="s">
        <v>33</v>
      </c>
    </row>
    <row r="402" spans="1:25" x14ac:dyDescent="0.25">
      <c r="A402">
        <v>2025</v>
      </c>
      <c r="B402" t="s">
        <v>323</v>
      </c>
      <c r="C402" t="s">
        <v>324</v>
      </c>
      <c r="D402" t="s">
        <v>328</v>
      </c>
      <c r="E402" t="s">
        <v>28</v>
      </c>
      <c r="F402" t="s">
        <v>118</v>
      </c>
      <c r="G402">
        <v>38</v>
      </c>
      <c r="H402">
        <v>40</v>
      </c>
      <c r="I402">
        <v>39</v>
      </c>
      <c r="J402">
        <v>950</v>
      </c>
      <c r="K402">
        <v>9</v>
      </c>
      <c r="L402">
        <v>10</v>
      </c>
      <c r="M402">
        <v>4750</v>
      </c>
      <c r="N402" t="s">
        <v>30</v>
      </c>
      <c r="O402">
        <v>0</v>
      </c>
      <c r="P402">
        <v>0</v>
      </c>
      <c r="Q402">
        <v>0</v>
      </c>
      <c r="R402">
        <v>257</v>
      </c>
      <c r="S402">
        <v>264</v>
      </c>
      <c r="T402">
        <v>248</v>
      </c>
      <c r="U402">
        <v>14</v>
      </c>
      <c r="V402" t="s">
        <v>30</v>
      </c>
      <c r="W402" t="s">
        <v>326</v>
      </c>
      <c r="X402" t="s">
        <v>32</v>
      </c>
      <c r="Y402" t="s">
        <v>33</v>
      </c>
    </row>
    <row r="403" spans="1:25" x14ac:dyDescent="0.25">
      <c r="A403">
        <v>2025</v>
      </c>
      <c r="B403" t="s">
        <v>323</v>
      </c>
      <c r="C403" t="s">
        <v>324</v>
      </c>
      <c r="D403" t="s">
        <v>329</v>
      </c>
      <c r="E403" t="s">
        <v>128</v>
      </c>
      <c r="F403" t="s">
        <v>115</v>
      </c>
      <c r="G403">
        <v>105</v>
      </c>
      <c r="H403">
        <v>91</v>
      </c>
      <c r="I403">
        <v>98</v>
      </c>
      <c r="J403">
        <v>800</v>
      </c>
      <c r="K403">
        <v>9</v>
      </c>
      <c r="L403">
        <v>10</v>
      </c>
      <c r="M403">
        <v>5500</v>
      </c>
      <c r="N403" t="s">
        <v>30</v>
      </c>
      <c r="O403">
        <v>0</v>
      </c>
      <c r="P403">
        <v>0</v>
      </c>
      <c r="Q403">
        <v>0</v>
      </c>
      <c r="R403">
        <v>289</v>
      </c>
      <c r="S403">
        <v>308</v>
      </c>
      <c r="T403">
        <v>266</v>
      </c>
      <c r="U403">
        <v>14</v>
      </c>
      <c r="V403" t="s">
        <v>30</v>
      </c>
      <c r="W403" t="s">
        <v>330</v>
      </c>
      <c r="X403" t="s">
        <v>32</v>
      </c>
      <c r="Y403" t="s">
        <v>33</v>
      </c>
    </row>
    <row r="404" spans="1:25" x14ac:dyDescent="0.25">
      <c r="A404">
        <v>2025</v>
      </c>
      <c r="B404" t="s">
        <v>323</v>
      </c>
      <c r="C404" t="s">
        <v>324</v>
      </c>
      <c r="D404" t="s">
        <v>329</v>
      </c>
      <c r="E404" t="s">
        <v>128</v>
      </c>
      <c r="F404" t="s">
        <v>115</v>
      </c>
      <c r="G404">
        <v>32</v>
      </c>
      <c r="H404">
        <v>37</v>
      </c>
      <c r="I404">
        <v>34</v>
      </c>
      <c r="J404">
        <v>800</v>
      </c>
      <c r="K404">
        <v>9</v>
      </c>
      <c r="L404">
        <v>10</v>
      </c>
      <c r="M404">
        <v>5500</v>
      </c>
      <c r="N404" t="s">
        <v>30</v>
      </c>
      <c r="O404">
        <v>0</v>
      </c>
      <c r="P404">
        <v>0</v>
      </c>
      <c r="Q404">
        <v>0</v>
      </c>
      <c r="R404">
        <v>289</v>
      </c>
      <c r="S404">
        <v>308</v>
      </c>
      <c r="T404">
        <v>266</v>
      </c>
      <c r="U404">
        <v>14</v>
      </c>
      <c r="V404" t="s">
        <v>30</v>
      </c>
      <c r="W404" t="s">
        <v>330</v>
      </c>
      <c r="X404" t="s">
        <v>32</v>
      </c>
      <c r="Y404" t="s">
        <v>33</v>
      </c>
    </row>
    <row r="405" spans="1:25" x14ac:dyDescent="0.25">
      <c r="A405">
        <v>2025</v>
      </c>
      <c r="B405" t="s">
        <v>323</v>
      </c>
      <c r="C405" t="s">
        <v>324</v>
      </c>
      <c r="D405" t="s">
        <v>331</v>
      </c>
      <c r="E405" t="s">
        <v>128</v>
      </c>
      <c r="F405" t="s">
        <v>115</v>
      </c>
      <c r="G405">
        <v>109</v>
      </c>
      <c r="H405">
        <v>94</v>
      </c>
      <c r="I405">
        <v>101</v>
      </c>
      <c r="J405">
        <v>800</v>
      </c>
      <c r="K405">
        <v>9</v>
      </c>
      <c r="L405">
        <v>10</v>
      </c>
      <c r="M405">
        <v>5500</v>
      </c>
      <c r="N405" t="s">
        <v>30</v>
      </c>
      <c r="O405">
        <v>0</v>
      </c>
      <c r="P405">
        <v>0</v>
      </c>
      <c r="Q405">
        <v>0</v>
      </c>
      <c r="R405">
        <v>216</v>
      </c>
      <c r="S405">
        <v>230</v>
      </c>
      <c r="T405">
        <v>199</v>
      </c>
      <c r="U405">
        <v>10</v>
      </c>
      <c r="V405" t="s">
        <v>30</v>
      </c>
      <c r="W405" t="s">
        <v>248</v>
      </c>
      <c r="X405" t="s">
        <v>32</v>
      </c>
      <c r="Y405" t="s">
        <v>33</v>
      </c>
    </row>
    <row r="406" spans="1:25" x14ac:dyDescent="0.25">
      <c r="A406">
        <v>2025</v>
      </c>
      <c r="B406" t="s">
        <v>323</v>
      </c>
      <c r="C406" t="s">
        <v>324</v>
      </c>
      <c r="D406" t="s">
        <v>331</v>
      </c>
      <c r="E406" t="s">
        <v>128</v>
      </c>
      <c r="F406" t="s">
        <v>115</v>
      </c>
      <c r="G406">
        <v>31</v>
      </c>
      <c r="H406">
        <v>36</v>
      </c>
      <c r="I406">
        <v>33</v>
      </c>
      <c r="J406">
        <v>800</v>
      </c>
      <c r="K406">
        <v>9</v>
      </c>
      <c r="L406">
        <v>10</v>
      </c>
      <c r="M406">
        <v>5500</v>
      </c>
      <c r="N406" t="s">
        <v>30</v>
      </c>
      <c r="O406">
        <v>0</v>
      </c>
      <c r="P406">
        <v>0</v>
      </c>
      <c r="Q406">
        <v>0</v>
      </c>
      <c r="R406">
        <v>216</v>
      </c>
      <c r="S406">
        <v>230</v>
      </c>
      <c r="T406">
        <v>199</v>
      </c>
      <c r="U406">
        <v>10</v>
      </c>
      <c r="V406" t="s">
        <v>30</v>
      </c>
      <c r="W406" t="s">
        <v>248</v>
      </c>
      <c r="X406" t="s">
        <v>32</v>
      </c>
      <c r="Y406" t="s">
        <v>33</v>
      </c>
    </row>
    <row r="407" spans="1:25" x14ac:dyDescent="0.25">
      <c r="A407">
        <v>2025</v>
      </c>
      <c r="B407" t="s">
        <v>323</v>
      </c>
      <c r="C407" t="s">
        <v>324</v>
      </c>
      <c r="D407" t="s">
        <v>332</v>
      </c>
      <c r="E407" t="s">
        <v>28</v>
      </c>
      <c r="F407" t="s">
        <v>118</v>
      </c>
      <c r="G407">
        <v>101</v>
      </c>
      <c r="H407">
        <v>89</v>
      </c>
      <c r="I407">
        <v>95</v>
      </c>
      <c r="J407">
        <v>850</v>
      </c>
      <c r="K407">
        <v>9</v>
      </c>
      <c r="L407">
        <v>10</v>
      </c>
      <c r="M407">
        <v>5250</v>
      </c>
      <c r="N407" t="s">
        <v>30</v>
      </c>
      <c r="O407">
        <v>0</v>
      </c>
      <c r="P407">
        <v>0</v>
      </c>
      <c r="Q407">
        <v>0</v>
      </c>
      <c r="R407">
        <v>205</v>
      </c>
      <c r="S407">
        <v>216</v>
      </c>
      <c r="T407">
        <v>191</v>
      </c>
      <c r="U407">
        <v>10</v>
      </c>
      <c r="V407" t="s">
        <v>30</v>
      </c>
      <c r="W407" t="s">
        <v>326</v>
      </c>
      <c r="X407" t="s">
        <v>32</v>
      </c>
      <c r="Y407" t="s">
        <v>33</v>
      </c>
    </row>
    <row r="408" spans="1:25" x14ac:dyDescent="0.25">
      <c r="A408">
        <v>2025</v>
      </c>
      <c r="B408" t="s">
        <v>323</v>
      </c>
      <c r="C408" t="s">
        <v>324</v>
      </c>
      <c r="D408" t="s">
        <v>332</v>
      </c>
      <c r="E408" t="s">
        <v>28</v>
      </c>
      <c r="F408" t="s">
        <v>118</v>
      </c>
      <c r="G408">
        <v>33</v>
      </c>
      <c r="H408">
        <v>38</v>
      </c>
      <c r="I408">
        <v>35</v>
      </c>
      <c r="J408">
        <v>850</v>
      </c>
      <c r="K408">
        <v>9</v>
      </c>
      <c r="L408">
        <v>10</v>
      </c>
      <c r="M408">
        <v>5250</v>
      </c>
      <c r="N408" t="s">
        <v>30</v>
      </c>
      <c r="O408">
        <v>0</v>
      </c>
      <c r="P408">
        <v>0</v>
      </c>
      <c r="Q408">
        <v>0</v>
      </c>
      <c r="R408">
        <v>205</v>
      </c>
      <c r="S408">
        <v>216</v>
      </c>
      <c r="T408">
        <v>191</v>
      </c>
      <c r="U408">
        <v>10</v>
      </c>
      <c r="V408" t="s">
        <v>30</v>
      </c>
      <c r="W408" t="s">
        <v>326</v>
      </c>
      <c r="X408" t="s">
        <v>32</v>
      </c>
      <c r="Y408" t="s">
        <v>33</v>
      </c>
    </row>
    <row r="409" spans="1:25" x14ac:dyDescent="0.25">
      <c r="A409">
        <v>2025</v>
      </c>
      <c r="B409" t="s">
        <v>323</v>
      </c>
      <c r="C409" t="s">
        <v>324</v>
      </c>
      <c r="D409" t="s">
        <v>333</v>
      </c>
      <c r="E409" t="s">
        <v>128</v>
      </c>
      <c r="F409" t="s">
        <v>186</v>
      </c>
      <c r="G409">
        <v>123</v>
      </c>
      <c r="H409">
        <v>99</v>
      </c>
      <c r="I409">
        <v>111</v>
      </c>
      <c r="J409">
        <v>700</v>
      </c>
      <c r="K409">
        <v>9</v>
      </c>
      <c r="L409">
        <v>10</v>
      </c>
      <c r="M409">
        <v>6000</v>
      </c>
      <c r="N409" t="s">
        <v>30</v>
      </c>
      <c r="O409">
        <v>0</v>
      </c>
      <c r="P409">
        <v>0</v>
      </c>
      <c r="Q409">
        <v>0</v>
      </c>
      <c r="R409">
        <v>149</v>
      </c>
      <c r="S409">
        <v>163</v>
      </c>
      <c r="T409">
        <v>131</v>
      </c>
      <c r="U409">
        <v>8</v>
      </c>
      <c r="V409" t="s">
        <v>30</v>
      </c>
      <c r="W409" t="s">
        <v>334</v>
      </c>
      <c r="X409" t="s">
        <v>32</v>
      </c>
      <c r="Y409" t="s">
        <v>33</v>
      </c>
    </row>
    <row r="410" spans="1:25" x14ac:dyDescent="0.25">
      <c r="A410">
        <v>2025</v>
      </c>
      <c r="B410" t="s">
        <v>323</v>
      </c>
      <c r="C410" t="s">
        <v>324</v>
      </c>
      <c r="D410" t="s">
        <v>333</v>
      </c>
      <c r="E410" t="s">
        <v>128</v>
      </c>
      <c r="F410" t="s">
        <v>186</v>
      </c>
      <c r="G410">
        <v>27</v>
      </c>
      <c r="H410">
        <v>34</v>
      </c>
      <c r="I410">
        <v>30</v>
      </c>
      <c r="J410">
        <v>700</v>
      </c>
      <c r="K410">
        <v>9</v>
      </c>
      <c r="L410">
        <v>10</v>
      </c>
      <c r="M410">
        <v>6000</v>
      </c>
      <c r="N410" t="s">
        <v>30</v>
      </c>
      <c r="O410">
        <v>0</v>
      </c>
      <c r="P410">
        <v>0</v>
      </c>
      <c r="Q410">
        <v>0</v>
      </c>
      <c r="R410">
        <v>149</v>
      </c>
      <c r="S410">
        <v>163</v>
      </c>
      <c r="T410">
        <v>131</v>
      </c>
      <c r="U410">
        <v>8</v>
      </c>
      <c r="V410" t="s">
        <v>30</v>
      </c>
      <c r="W410" t="s">
        <v>334</v>
      </c>
      <c r="X410" t="s">
        <v>32</v>
      </c>
      <c r="Y410" t="s">
        <v>33</v>
      </c>
    </row>
    <row r="411" spans="1:25" x14ac:dyDescent="0.25">
      <c r="A411">
        <v>2025</v>
      </c>
      <c r="B411" t="s">
        <v>323</v>
      </c>
      <c r="C411" t="s">
        <v>324</v>
      </c>
      <c r="D411" t="s">
        <v>333</v>
      </c>
      <c r="E411" t="s">
        <v>128</v>
      </c>
      <c r="F411" t="s">
        <v>186</v>
      </c>
      <c r="G411">
        <v>121</v>
      </c>
      <c r="H411">
        <v>98</v>
      </c>
      <c r="I411">
        <v>109</v>
      </c>
      <c r="J411">
        <v>750</v>
      </c>
      <c r="K411">
        <v>9</v>
      </c>
      <c r="L411">
        <v>10</v>
      </c>
      <c r="M411">
        <v>5750</v>
      </c>
      <c r="N411" t="s">
        <v>30</v>
      </c>
      <c r="O411">
        <v>0</v>
      </c>
      <c r="P411">
        <v>0</v>
      </c>
      <c r="Q411">
        <v>0</v>
      </c>
      <c r="R411">
        <v>212</v>
      </c>
      <c r="S411">
        <v>232</v>
      </c>
      <c r="T411">
        <v>188</v>
      </c>
      <c r="U411">
        <v>11</v>
      </c>
      <c r="V411" t="s">
        <v>30</v>
      </c>
      <c r="W411" t="s">
        <v>248</v>
      </c>
      <c r="X411" t="s">
        <v>32</v>
      </c>
      <c r="Y411" t="s">
        <v>33</v>
      </c>
    </row>
    <row r="412" spans="1:25" x14ac:dyDescent="0.25">
      <c r="A412">
        <v>2025</v>
      </c>
      <c r="B412" t="s">
        <v>323</v>
      </c>
      <c r="C412" t="s">
        <v>324</v>
      </c>
      <c r="D412" t="s">
        <v>333</v>
      </c>
      <c r="E412" t="s">
        <v>128</v>
      </c>
      <c r="F412" t="s">
        <v>186</v>
      </c>
      <c r="G412">
        <v>28</v>
      </c>
      <c r="H412">
        <v>34</v>
      </c>
      <c r="I412">
        <v>31</v>
      </c>
      <c r="J412">
        <v>750</v>
      </c>
      <c r="K412">
        <v>9</v>
      </c>
      <c r="L412">
        <v>10</v>
      </c>
      <c r="M412">
        <v>5750</v>
      </c>
      <c r="N412" t="s">
        <v>30</v>
      </c>
      <c r="O412">
        <v>0</v>
      </c>
      <c r="P412">
        <v>0</v>
      </c>
      <c r="Q412">
        <v>0</v>
      </c>
      <c r="R412">
        <v>212</v>
      </c>
      <c r="S412">
        <v>232</v>
      </c>
      <c r="T412">
        <v>188</v>
      </c>
      <c r="U412">
        <v>11</v>
      </c>
      <c r="V412" t="s">
        <v>30</v>
      </c>
      <c r="W412" t="s">
        <v>248</v>
      </c>
      <c r="X412" t="s">
        <v>32</v>
      </c>
      <c r="Y412" t="s">
        <v>33</v>
      </c>
    </row>
    <row r="413" spans="1:25" x14ac:dyDescent="0.25">
      <c r="A413">
        <v>2025</v>
      </c>
      <c r="B413" t="s">
        <v>335</v>
      </c>
      <c r="C413" t="s">
        <v>336</v>
      </c>
      <c r="D413" t="s">
        <v>337</v>
      </c>
      <c r="E413" t="s">
        <v>28</v>
      </c>
      <c r="F413" t="s">
        <v>186</v>
      </c>
      <c r="G413">
        <v>105</v>
      </c>
      <c r="H413">
        <v>95</v>
      </c>
      <c r="I413">
        <v>101</v>
      </c>
      <c r="J413">
        <v>800</v>
      </c>
      <c r="K413">
        <v>9</v>
      </c>
      <c r="L413">
        <v>10</v>
      </c>
      <c r="M413">
        <v>5500</v>
      </c>
      <c r="N413" t="s">
        <v>30</v>
      </c>
      <c r="O413">
        <v>0</v>
      </c>
      <c r="P413">
        <v>0</v>
      </c>
      <c r="Q413">
        <v>0</v>
      </c>
      <c r="R413">
        <v>278</v>
      </c>
      <c r="S413">
        <v>290</v>
      </c>
      <c r="T413">
        <v>263</v>
      </c>
      <c r="U413">
        <v>8</v>
      </c>
      <c r="V413" t="s">
        <v>30</v>
      </c>
      <c r="W413" t="s">
        <v>338</v>
      </c>
      <c r="X413" t="s">
        <v>32</v>
      </c>
      <c r="Y413" t="s">
        <v>33</v>
      </c>
    </row>
    <row r="414" spans="1:25" x14ac:dyDescent="0.25">
      <c r="A414">
        <v>2025</v>
      </c>
      <c r="B414" t="s">
        <v>335</v>
      </c>
      <c r="C414" t="s">
        <v>336</v>
      </c>
      <c r="D414" t="s">
        <v>337</v>
      </c>
      <c r="E414" t="s">
        <v>28</v>
      </c>
      <c r="F414" t="s">
        <v>186</v>
      </c>
      <c r="G414">
        <v>32</v>
      </c>
      <c r="H414">
        <v>35</v>
      </c>
      <c r="I414">
        <v>34</v>
      </c>
      <c r="J414">
        <v>800</v>
      </c>
      <c r="K414">
        <v>9</v>
      </c>
      <c r="L414">
        <v>10</v>
      </c>
      <c r="M414">
        <v>5500</v>
      </c>
      <c r="N414" t="s">
        <v>30</v>
      </c>
      <c r="O414">
        <v>0</v>
      </c>
      <c r="P414">
        <v>0</v>
      </c>
      <c r="Q414">
        <v>0</v>
      </c>
      <c r="R414">
        <v>278</v>
      </c>
      <c r="S414">
        <v>290</v>
      </c>
      <c r="T414">
        <v>263</v>
      </c>
      <c r="U414">
        <v>8</v>
      </c>
      <c r="V414" t="s">
        <v>30</v>
      </c>
      <c r="W414" t="s">
        <v>338</v>
      </c>
      <c r="X414" t="s">
        <v>32</v>
      </c>
      <c r="Y414" t="s">
        <v>33</v>
      </c>
    </row>
    <row r="415" spans="1:25" x14ac:dyDescent="0.25">
      <c r="A415">
        <v>2025</v>
      </c>
      <c r="B415" t="s">
        <v>335</v>
      </c>
      <c r="C415" t="s">
        <v>336</v>
      </c>
      <c r="D415" t="s">
        <v>339</v>
      </c>
      <c r="E415" t="s">
        <v>46</v>
      </c>
      <c r="F415" t="s">
        <v>186</v>
      </c>
      <c r="G415">
        <v>123</v>
      </c>
      <c r="H415">
        <v>104</v>
      </c>
      <c r="I415">
        <v>114</v>
      </c>
      <c r="J415">
        <v>700</v>
      </c>
      <c r="K415">
        <v>9</v>
      </c>
      <c r="L415">
        <v>10</v>
      </c>
      <c r="M415">
        <v>6000</v>
      </c>
      <c r="N415" t="s">
        <v>30</v>
      </c>
      <c r="O415">
        <v>0</v>
      </c>
      <c r="P415">
        <v>0</v>
      </c>
      <c r="Q415">
        <v>0</v>
      </c>
      <c r="R415">
        <v>314</v>
      </c>
      <c r="S415">
        <v>337</v>
      </c>
      <c r="T415">
        <v>286</v>
      </c>
      <c r="U415">
        <v>8</v>
      </c>
      <c r="V415" t="s">
        <v>30</v>
      </c>
      <c r="W415" t="s">
        <v>340</v>
      </c>
      <c r="X415" t="s">
        <v>32</v>
      </c>
      <c r="Y415" t="s">
        <v>33</v>
      </c>
    </row>
    <row r="416" spans="1:25" x14ac:dyDescent="0.25">
      <c r="A416">
        <v>2025</v>
      </c>
      <c r="B416" t="s">
        <v>335</v>
      </c>
      <c r="C416" t="s">
        <v>336</v>
      </c>
      <c r="D416" t="s">
        <v>339</v>
      </c>
      <c r="E416" t="s">
        <v>46</v>
      </c>
      <c r="F416" t="s">
        <v>186</v>
      </c>
      <c r="G416">
        <v>27</v>
      </c>
      <c r="H416">
        <v>32</v>
      </c>
      <c r="I416">
        <v>30</v>
      </c>
      <c r="J416">
        <v>700</v>
      </c>
      <c r="K416">
        <v>9</v>
      </c>
      <c r="L416">
        <v>10</v>
      </c>
      <c r="M416">
        <v>6000</v>
      </c>
      <c r="N416" t="s">
        <v>30</v>
      </c>
      <c r="O416">
        <v>0</v>
      </c>
      <c r="P416">
        <v>0</v>
      </c>
      <c r="Q416">
        <v>0</v>
      </c>
      <c r="R416">
        <v>314</v>
      </c>
      <c r="S416">
        <v>337</v>
      </c>
      <c r="T416">
        <v>286</v>
      </c>
      <c r="U416">
        <v>8</v>
      </c>
      <c r="V416" t="s">
        <v>30</v>
      </c>
      <c r="W416" t="s">
        <v>340</v>
      </c>
      <c r="X416" t="s">
        <v>32</v>
      </c>
      <c r="Y416" t="s">
        <v>33</v>
      </c>
    </row>
    <row r="417" spans="1:25" x14ac:dyDescent="0.25">
      <c r="A417">
        <v>2025</v>
      </c>
      <c r="B417" t="s">
        <v>335</v>
      </c>
      <c r="C417" t="s">
        <v>336</v>
      </c>
      <c r="D417" t="s">
        <v>341</v>
      </c>
      <c r="E417" t="s">
        <v>28</v>
      </c>
      <c r="F417" t="s">
        <v>29</v>
      </c>
      <c r="G417">
        <v>92</v>
      </c>
      <c r="H417">
        <v>84</v>
      </c>
      <c r="I417">
        <v>88</v>
      </c>
      <c r="J417">
        <v>900</v>
      </c>
      <c r="K417">
        <v>9</v>
      </c>
      <c r="L417">
        <v>10</v>
      </c>
      <c r="M417">
        <v>5000</v>
      </c>
      <c r="N417" t="s">
        <v>30</v>
      </c>
      <c r="O417">
        <v>0</v>
      </c>
      <c r="P417">
        <v>0</v>
      </c>
      <c r="Q417">
        <v>0</v>
      </c>
      <c r="R417">
        <v>315</v>
      </c>
      <c r="S417">
        <v>328</v>
      </c>
      <c r="T417">
        <v>299</v>
      </c>
      <c r="U417">
        <v>10</v>
      </c>
      <c r="V417" t="s">
        <v>30</v>
      </c>
      <c r="W417" t="s">
        <v>342</v>
      </c>
      <c r="X417" t="s">
        <v>32</v>
      </c>
      <c r="Y417" t="s">
        <v>33</v>
      </c>
    </row>
    <row r="418" spans="1:25" x14ac:dyDescent="0.25">
      <c r="A418">
        <v>2025</v>
      </c>
      <c r="B418" t="s">
        <v>335</v>
      </c>
      <c r="C418" t="s">
        <v>336</v>
      </c>
      <c r="D418" t="s">
        <v>341</v>
      </c>
      <c r="E418" t="s">
        <v>28</v>
      </c>
      <c r="F418" t="s">
        <v>29</v>
      </c>
      <c r="G418">
        <v>37</v>
      </c>
      <c r="H418">
        <v>40</v>
      </c>
      <c r="I418">
        <v>38</v>
      </c>
      <c r="J418">
        <v>900</v>
      </c>
      <c r="K418">
        <v>9</v>
      </c>
      <c r="L418">
        <v>10</v>
      </c>
      <c r="M418">
        <v>5000</v>
      </c>
      <c r="N418" t="s">
        <v>30</v>
      </c>
      <c r="O418">
        <v>0</v>
      </c>
      <c r="P418">
        <v>0</v>
      </c>
      <c r="Q418">
        <v>0</v>
      </c>
      <c r="R418">
        <v>315</v>
      </c>
      <c r="S418">
        <v>328</v>
      </c>
      <c r="T418">
        <v>299</v>
      </c>
      <c r="U418">
        <v>10</v>
      </c>
      <c r="V418" t="s">
        <v>30</v>
      </c>
      <c r="W418" t="s">
        <v>342</v>
      </c>
      <c r="X418" t="s">
        <v>32</v>
      </c>
      <c r="Y418" t="s">
        <v>33</v>
      </c>
    </row>
    <row r="419" spans="1:25" x14ac:dyDescent="0.25">
      <c r="A419">
        <v>2025</v>
      </c>
      <c r="B419" t="s">
        <v>335</v>
      </c>
      <c r="C419" t="s">
        <v>336</v>
      </c>
      <c r="D419" t="s">
        <v>343</v>
      </c>
      <c r="E419" t="s">
        <v>28</v>
      </c>
      <c r="F419" t="s">
        <v>29</v>
      </c>
      <c r="G419">
        <v>84</v>
      </c>
      <c r="H419">
        <v>76</v>
      </c>
      <c r="I419">
        <v>80</v>
      </c>
      <c r="J419">
        <v>1000</v>
      </c>
      <c r="K419">
        <v>9</v>
      </c>
      <c r="L419">
        <v>10</v>
      </c>
      <c r="M419">
        <v>4500</v>
      </c>
      <c r="N419" t="s">
        <v>30</v>
      </c>
      <c r="O419">
        <v>0</v>
      </c>
      <c r="P419">
        <v>0</v>
      </c>
      <c r="Q419">
        <v>0</v>
      </c>
      <c r="R419">
        <v>287</v>
      </c>
      <c r="S419">
        <v>299</v>
      </c>
      <c r="T419">
        <v>272</v>
      </c>
      <c r="U419">
        <v>10</v>
      </c>
      <c r="V419" t="s">
        <v>30</v>
      </c>
      <c r="W419" t="s">
        <v>344</v>
      </c>
      <c r="X419" t="s">
        <v>32</v>
      </c>
      <c r="Y419" t="s">
        <v>33</v>
      </c>
    </row>
    <row r="420" spans="1:25" x14ac:dyDescent="0.25">
      <c r="A420">
        <v>2025</v>
      </c>
      <c r="B420" t="s">
        <v>335</v>
      </c>
      <c r="C420" t="s">
        <v>336</v>
      </c>
      <c r="D420" t="s">
        <v>343</v>
      </c>
      <c r="E420" t="s">
        <v>28</v>
      </c>
      <c r="F420" t="s">
        <v>29</v>
      </c>
      <c r="G420">
        <v>40</v>
      </c>
      <c r="H420">
        <v>44</v>
      </c>
      <c r="I420">
        <v>42</v>
      </c>
      <c r="J420">
        <v>1000</v>
      </c>
      <c r="K420">
        <v>9</v>
      </c>
      <c r="L420">
        <v>10</v>
      </c>
      <c r="M420">
        <v>4500</v>
      </c>
      <c r="N420" t="s">
        <v>30</v>
      </c>
      <c r="O420">
        <v>0</v>
      </c>
      <c r="P420">
        <v>0</v>
      </c>
      <c r="Q420">
        <v>0</v>
      </c>
      <c r="R420">
        <v>287</v>
      </c>
      <c r="S420">
        <v>299</v>
      </c>
      <c r="T420">
        <v>272</v>
      </c>
      <c r="U420">
        <v>10</v>
      </c>
      <c r="V420" t="s">
        <v>30</v>
      </c>
      <c r="W420" t="s">
        <v>344</v>
      </c>
      <c r="X420" t="s">
        <v>32</v>
      </c>
      <c r="Y420" t="s">
        <v>33</v>
      </c>
    </row>
    <row r="421" spans="1:25" x14ac:dyDescent="0.25">
      <c r="A421">
        <v>2025</v>
      </c>
      <c r="B421" t="s">
        <v>335</v>
      </c>
      <c r="C421" t="s">
        <v>336</v>
      </c>
      <c r="D421" t="s">
        <v>345</v>
      </c>
      <c r="E421" t="s">
        <v>28</v>
      </c>
      <c r="F421" t="s">
        <v>186</v>
      </c>
      <c r="G421">
        <v>101</v>
      </c>
      <c r="H421">
        <v>92</v>
      </c>
      <c r="I421">
        <v>97</v>
      </c>
      <c r="J421">
        <v>850</v>
      </c>
      <c r="K421">
        <v>9</v>
      </c>
      <c r="L421">
        <v>10</v>
      </c>
      <c r="M421">
        <v>5250</v>
      </c>
      <c r="N421" t="s">
        <v>30</v>
      </c>
      <c r="O421">
        <v>0</v>
      </c>
      <c r="P421">
        <v>0</v>
      </c>
      <c r="Q421">
        <v>0</v>
      </c>
      <c r="R421">
        <v>268</v>
      </c>
      <c r="S421">
        <v>282</v>
      </c>
      <c r="T421">
        <v>251</v>
      </c>
      <c r="U421">
        <v>8</v>
      </c>
      <c r="V421" t="s">
        <v>30</v>
      </c>
      <c r="W421" t="s">
        <v>346</v>
      </c>
      <c r="X421" t="s">
        <v>32</v>
      </c>
      <c r="Y421" t="s">
        <v>33</v>
      </c>
    </row>
    <row r="422" spans="1:25" x14ac:dyDescent="0.25">
      <c r="A422">
        <v>2025</v>
      </c>
      <c r="B422" t="s">
        <v>335</v>
      </c>
      <c r="C422" t="s">
        <v>336</v>
      </c>
      <c r="D422" t="s">
        <v>345</v>
      </c>
      <c r="E422" t="s">
        <v>28</v>
      </c>
      <c r="F422" t="s">
        <v>186</v>
      </c>
      <c r="G422">
        <v>33</v>
      </c>
      <c r="H422">
        <v>37</v>
      </c>
      <c r="I422">
        <v>35</v>
      </c>
      <c r="J422">
        <v>850</v>
      </c>
      <c r="K422">
        <v>9</v>
      </c>
      <c r="L422">
        <v>10</v>
      </c>
      <c r="M422">
        <v>5250</v>
      </c>
      <c r="N422" t="s">
        <v>30</v>
      </c>
      <c r="O422">
        <v>0</v>
      </c>
      <c r="P422">
        <v>0</v>
      </c>
      <c r="Q422">
        <v>0</v>
      </c>
      <c r="R422">
        <v>268</v>
      </c>
      <c r="S422">
        <v>282</v>
      </c>
      <c r="T422">
        <v>251</v>
      </c>
      <c r="U422">
        <v>8</v>
      </c>
      <c r="V422" t="s">
        <v>30</v>
      </c>
      <c r="W422" t="s">
        <v>346</v>
      </c>
      <c r="X422" t="s">
        <v>32</v>
      </c>
      <c r="Y422" t="s">
        <v>33</v>
      </c>
    </row>
    <row r="423" spans="1:25" x14ac:dyDescent="0.25">
      <c r="A423">
        <v>2025</v>
      </c>
      <c r="B423" t="s">
        <v>335</v>
      </c>
      <c r="C423" t="s">
        <v>336</v>
      </c>
      <c r="D423" t="s">
        <v>347</v>
      </c>
      <c r="E423" t="s">
        <v>46</v>
      </c>
      <c r="F423" t="s">
        <v>186</v>
      </c>
      <c r="G423">
        <v>117</v>
      </c>
      <c r="H423">
        <v>101</v>
      </c>
      <c r="I423">
        <v>109</v>
      </c>
      <c r="J423">
        <v>750</v>
      </c>
      <c r="K423">
        <v>9</v>
      </c>
      <c r="L423">
        <v>10</v>
      </c>
      <c r="M423">
        <v>5750</v>
      </c>
      <c r="N423" t="s">
        <v>30</v>
      </c>
      <c r="O423">
        <v>0</v>
      </c>
      <c r="P423">
        <v>0</v>
      </c>
      <c r="Q423">
        <v>0</v>
      </c>
      <c r="R423">
        <v>300</v>
      </c>
      <c r="S423">
        <v>320</v>
      </c>
      <c r="T423">
        <v>275</v>
      </c>
      <c r="U423">
        <v>8</v>
      </c>
      <c r="V423" t="s">
        <v>30</v>
      </c>
      <c r="W423" t="s">
        <v>340</v>
      </c>
      <c r="X423" t="s">
        <v>32</v>
      </c>
      <c r="Y423" t="s">
        <v>33</v>
      </c>
    </row>
    <row r="424" spans="1:25" x14ac:dyDescent="0.25">
      <c r="A424">
        <v>2025</v>
      </c>
      <c r="B424" t="s">
        <v>335</v>
      </c>
      <c r="C424" t="s">
        <v>336</v>
      </c>
      <c r="D424" t="s">
        <v>347</v>
      </c>
      <c r="E424" t="s">
        <v>46</v>
      </c>
      <c r="F424" t="s">
        <v>186</v>
      </c>
      <c r="G424">
        <v>29</v>
      </c>
      <c r="H424">
        <v>33</v>
      </c>
      <c r="I424">
        <v>31</v>
      </c>
      <c r="J424">
        <v>750</v>
      </c>
      <c r="K424">
        <v>9</v>
      </c>
      <c r="L424">
        <v>10</v>
      </c>
      <c r="M424">
        <v>5750</v>
      </c>
      <c r="N424" t="s">
        <v>30</v>
      </c>
      <c r="O424">
        <v>0</v>
      </c>
      <c r="P424">
        <v>0</v>
      </c>
      <c r="Q424">
        <v>0</v>
      </c>
      <c r="R424">
        <v>300</v>
      </c>
      <c r="S424">
        <v>320</v>
      </c>
      <c r="T424">
        <v>275</v>
      </c>
      <c r="U424">
        <v>8</v>
      </c>
      <c r="V424" t="s">
        <v>30</v>
      </c>
      <c r="W424" t="s">
        <v>340</v>
      </c>
      <c r="X424" t="s">
        <v>32</v>
      </c>
      <c r="Y424" t="s">
        <v>33</v>
      </c>
    </row>
    <row r="425" spans="1:25" x14ac:dyDescent="0.25">
      <c r="A425">
        <v>2025</v>
      </c>
      <c r="B425" t="s">
        <v>335</v>
      </c>
      <c r="C425" t="s">
        <v>336</v>
      </c>
      <c r="D425" t="s">
        <v>348</v>
      </c>
      <c r="E425" t="s">
        <v>28</v>
      </c>
      <c r="F425" t="s">
        <v>186</v>
      </c>
      <c r="G425">
        <v>95</v>
      </c>
      <c r="H425">
        <v>87</v>
      </c>
      <c r="I425">
        <v>91</v>
      </c>
      <c r="J425">
        <v>900</v>
      </c>
      <c r="K425">
        <v>9</v>
      </c>
      <c r="L425">
        <v>10</v>
      </c>
      <c r="M425">
        <v>5000</v>
      </c>
      <c r="N425" t="s">
        <v>30</v>
      </c>
      <c r="O425">
        <v>0</v>
      </c>
      <c r="P425">
        <v>0</v>
      </c>
      <c r="Q425">
        <v>0</v>
      </c>
      <c r="R425">
        <v>254</v>
      </c>
      <c r="S425">
        <v>264</v>
      </c>
      <c r="T425">
        <v>242</v>
      </c>
      <c r="U425">
        <v>8</v>
      </c>
      <c r="V425" t="s">
        <v>30</v>
      </c>
      <c r="W425" t="s">
        <v>346</v>
      </c>
      <c r="X425" t="s">
        <v>32</v>
      </c>
      <c r="Y425" t="s">
        <v>33</v>
      </c>
    </row>
    <row r="426" spans="1:25" x14ac:dyDescent="0.25">
      <c r="A426">
        <v>2025</v>
      </c>
      <c r="B426" t="s">
        <v>335</v>
      </c>
      <c r="C426" t="s">
        <v>336</v>
      </c>
      <c r="D426" t="s">
        <v>348</v>
      </c>
      <c r="E426" t="s">
        <v>28</v>
      </c>
      <c r="F426" t="s">
        <v>186</v>
      </c>
      <c r="G426">
        <v>35</v>
      </c>
      <c r="H426">
        <v>39</v>
      </c>
      <c r="I426">
        <v>37</v>
      </c>
      <c r="J426">
        <v>900</v>
      </c>
      <c r="K426">
        <v>9</v>
      </c>
      <c r="L426">
        <v>10</v>
      </c>
      <c r="M426">
        <v>5000</v>
      </c>
      <c r="N426" t="s">
        <v>30</v>
      </c>
      <c r="O426">
        <v>0</v>
      </c>
      <c r="P426">
        <v>0</v>
      </c>
      <c r="Q426">
        <v>0</v>
      </c>
      <c r="R426">
        <v>254</v>
      </c>
      <c r="S426">
        <v>264</v>
      </c>
      <c r="T426">
        <v>242</v>
      </c>
      <c r="U426">
        <v>8</v>
      </c>
      <c r="V426" t="s">
        <v>30</v>
      </c>
      <c r="W426" t="s">
        <v>346</v>
      </c>
      <c r="X426" t="s">
        <v>32</v>
      </c>
      <c r="Y426" t="s">
        <v>33</v>
      </c>
    </row>
    <row r="427" spans="1:25" x14ac:dyDescent="0.25">
      <c r="A427">
        <v>2025</v>
      </c>
      <c r="B427" t="s">
        <v>335</v>
      </c>
      <c r="C427" t="s">
        <v>336</v>
      </c>
      <c r="D427" t="s">
        <v>349</v>
      </c>
      <c r="E427" t="s">
        <v>28</v>
      </c>
      <c r="F427" t="s">
        <v>29</v>
      </c>
      <c r="G427">
        <v>81</v>
      </c>
      <c r="H427">
        <v>73</v>
      </c>
      <c r="I427">
        <v>77</v>
      </c>
      <c r="J427">
        <v>1050</v>
      </c>
      <c r="K427">
        <v>9</v>
      </c>
      <c r="L427">
        <v>10</v>
      </c>
      <c r="M427">
        <v>4250</v>
      </c>
      <c r="N427" t="s">
        <v>30</v>
      </c>
      <c r="O427">
        <v>0</v>
      </c>
      <c r="P427">
        <v>0</v>
      </c>
      <c r="Q427">
        <v>0</v>
      </c>
      <c r="R427">
        <v>279</v>
      </c>
      <c r="S427">
        <v>292</v>
      </c>
      <c r="T427">
        <v>263</v>
      </c>
      <c r="U427">
        <v>10</v>
      </c>
      <c r="V427" t="s">
        <v>30</v>
      </c>
      <c r="W427" t="s">
        <v>350</v>
      </c>
      <c r="X427" t="s">
        <v>32</v>
      </c>
      <c r="Y427" t="s">
        <v>33</v>
      </c>
    </row>
    <row r="428" spans="1:25" x14ac:dyDescent="0.25">
      <c r="A428">
        <v>2025</v>
      </c>
      <c r="B428" t="s">
        <v>335</v>
      </c>
      <c r="C428" t="s">
        <v>336</v>
      </c>
      <c r="D428" t="s">
        <v>349</v>
      </c>
      <c r="E428" t="s">
        <v>28</v>
      </c>
      <c r="F428" t="s">
        <v>29</v>
      </c>
      <c r="G428">
        <v>42</v>
      </c>
      <c r="H428">
        <v>46</v>
      </c>
      <c r="I428">
        <v>44</v>
      </c>
      <c r="J428">
        <v>1050</v>
      </c>
      <c r="K428">
        <v>9</v>
      </c>
      <c r="L428">
        <v>10</v>
      </c>
      <c r="M428">
        <v>4250</v>
      </c>
      <c r="N428" t="s">
        <v>30</v>
      </c>
      <c r="O428">
        <v>0</v>
      </c>
      <c r="P428">
        <v>0</v>
      </c>
      <c r="Q428">
        <v>0</v>
      </c>
      <c r="R428">
        <v>279</v>
      </c>
      <c r="S428">
        <v>292</v>
      </c>
      <c r="T428">
        <v>263</v>
      </c>
      <c r="U428">
        <v>10</v>
      </c>
      <c r="V428" t="s">
        <v>30</v>
      </c>
      <c r="W428" t="s">
        <v>350</v>
      </c>
      <c r="X428" t="s">
        <v>32</v>
      </c>
      <c r="Y428" t="s">
        <v>33</v>
      </c>
    </row>
    <row r="429" spans="1:25" x14ac:dyDescent="0.25">
      <c r="A429">
        <v>2025</v>
      </c>
      <c r="B429" t="s">
        <v>335</v>
      </c>
      <c r="C429" t="s">
        <v>336</v>
      </c>
      <c r="D429" t="s">
        <v>351</v>
      </c>
      <c r="E429" t="s">
        <v>28</v>
      </c>
      <c r="F429" t="s">
        <v>29</v>
      </c>
      <c r="G429">
        <v>91</v>
      </c>
      <c r="H429">
        <v>82</v>
      </c>
      <c r="I429">
        <v>87</v>
      </c>
      <c r="J429">
        <v>950</v>
      </c>
      <c r="K429">
        <v>9</v>
      </c>
      <c r="L429">
        <v>10</v>
      </c>
      <c r="M429">
        <v>4750</v>
      </c>
      <c r="N429" t="s">
        <v>30</v>
      </c>
      <c r="O429">
        <v>0</v>
      </c>
      <c r="P429">
        <v>0</v>
      </c>
      <c r="Q429">
        <v>0</v>
      </c>
      <c r="R429">
        <v>310</v>
      </c>
      <c r="S429">
        <v>321</v>
      </c>
      <c r="T429">
        <v>297</v>
      </c>
      <c r="U429">
        <v>10</v>
      </c>
      <c r="V429" t="s">
        <v>30</v>
      </c>
      <c r="W429" t="s">
        <v>352</v>
      </c>
      <c r="X429" t="s">
        <v>32</v>
      </c>
      <c r="Y429" t="s">
        <v>33</v>
      </c>
    </row>
    <row r="430" spans="1:25" x14ac:dyDescent="0.25">
      <c r="A430">
        <v>2025</v>
      </c>
      <c r="B430" t="s">
        <v>335</v>
      </c>
      <c r="C430" t="s">
        <v>336</v>
      </c>
      <c r="D430" t="s">
        <v>351</v>
      </c>
      <c r="E430" t="s">
        <v>28</v>
      </c>
      <c r="F430" t="s">
        <v>29</v>
      </c>
      <c r="G430">
        <v>38</v>
      </c>
      <c r="H430">
        <v>41</v>
      </c>
      <c r="I430">
        <v>39</v>
      </c>
      <c r="J430">
        <v>950</v>
      </c>
      <c r="K430">
        <v>9</v>
      </c>
      <c r="L430">
        <v>10</v>
      </c>
      <c r="M430">
        <v>4750</v>
      </c>
      <c r="N430" t="s">
        <v>30</v>
      </c>
      <c r="O430">
        <v>0</v>
      </c>
      <c r="P430">
        <v>0</v>
      </c>
      <c r="Q430">
        <v>0</v>
      </c>
      <c r="R430">
        <v>310</v>
      </c>
      <c r="S430">
        <v>321</v>
      </c>
      <c r="T430">
        <v>297</v>
      </c>
      <c r="U430">
        <v>10</v>
      </c>
      <c r="V430" t="s">
        <v>30</v>
      </c>
      <c r="W430" t="s">
        <v>352</v>
      </c>
      <c r="X430" t="s">
        <v>32</v>
      </c>
      <c r="Y430" t="s">
        <v>33</v>
      </c>
    </row>
    <row r="431" spans="1:25" x14ac:dyDescent="0.25">
      <c r="A431">
        <v>2025</v>
      </c>
      <c r="B431" t="s">
        <v>335</v>
      </c>
      <c r="C431" t="s">
        <v>336</v>
      </c>
      <c r="D431" t="s">
        <v>353</v>
      </c>
      <c r="E431" t="s">
        <v>28</v>
      </c>
      <c r="F431" t="s">
        <v>29</v>
      </c>
      <c r="G431">
        <v>86</v>
      </c>
      <c r="H431">
        <v>80</v>
      </c>
      <c r="I431">
        <v>83</v>
      </c>
      <c r="J431">
        <v>1000</v>
      </c>
      <c r="K431">
        <v>9</v>
      </c>
      <c r="L431">
        <v>10</v>
      </c>
      <c r="M431">
        <v>4500</v>
      </c>
      <c r="N431" t="s">
        <v>30</v>
      </c>
      <c r="O431">
        <v>0</v>
      </c>
      <c r="P431">
        <v>0</v>
      </c>
      <c r="Q431">
        <v>0</v>
      </c>
      <c r="R431">
        <v>272</v>
      </c>
      <c r="S431">
        <v>281</v>
      </c>
      <c r="T431">
        <v>261</v>
      </c>
      <c r="U431">
        <v>11</v>
      </c>
      <c r="V431" t="s">
        <v>30</v>
      </c>
      <c r="W431" t="s">
        <v>354</v>
      </c>
      <c r="X431" t="s">
        <v>32</v>
      </c>
      <c r="Y431" t="s">
        <v>33</v>
      </c>
    </row>
    <row r="432" spans="1:25" x14ac:dyDescent="0.25">
      <c r="A432">
        <v>2025</v>
      </c>
      <c r="B432" t="s">
        <v>335</v>
      </c>
      <c r="C432" t="s">
        <v>336</v>
      </c>
      <c r="D432" t="s">
        <v>353</v>
      </c>
      <c r="E432" t="s">
        <v>28</v>
      </c>
      <c r="F432" t="s">
        <v>29</v>
      </c>
      <c r="G432">
        <v>39</v>
      </c>
      <c r="H432">
        <v>42</v>
      </c>
      <c r="I432">
        <v>41</v>
      </c>
      <c r="J432">
        <v>1000</v>
      </c>
      <c r="K432">
        <v>9</v>
      </c>
      <c r="L432">
        <v>10</v>
      </c>
      <c r="M432">
        <v>4500</v>
      </c>
      <c r="N432" t="s">
        <v>30</v>
      </c>
      <c r="O432">
        <v>0</v>
      </c>
      <c r="P432">
        <v>0</v>
      </c>
      <c r="Q432">
        <v>0</v>
      </c>
      <c r="R432">
        <v>272</v>
      </c>
      <c r="S432">
        <v>281</v>
      </c>
      <c r="T432">
        <v>261</v>
      </c>
      <c r="U432">
        <v>11</v>
      </c>
      <c r="V432" t="s">
        <v>30</v>
      </c>
      <c r="W432" t="s">
        <v>354</v>
      </c>
      <c r="X432" t="s">
        <v>32</v>
      </c>
      <c r="Y432" t="s">
        <v>33</v>
      </c>
    </row>
    <row r="433" spans="1:25" x14ac:dyDescent="0.25">
      <c r="A433">
        <v>2025</v>
      </c>
      <c r="B433" t="s">
        <v>335</v>
      </c>
      <c r="C433" t="s">
        <v>336</v>
      </c>
      <c r="D433" t="s">
        <v>355</v>
      </c>
      <c r="E433" t="s">
        <v>46</v>
      </c>
      <c r="F433" t="s">
        <v>47</v>
      </c>
      <c r="G433">
        <v>93</v>
      </c>
      <c r="H433">
        <v>87</v>
      </c>
      <c r="I433">
        <v>90</v>
      </c>
      <c r="J433">
        <v>900</v>
      </c>
      <c r="K433">
        <v>9</v>
      </c>
      <c r="L433">
        <v>10</v>
      </c>
      <c r="M433">
        <v>5000</v>
      </c>
      <c r="N433" t="s">
        <v>30</v>
      </c>
      <c r="O433">
        <v>0</v>
      </c>
      <c r="P433">
        <v>0</v>
      </c>
      <c r="Q433">
        <v>0</v>
      </c>
      <c r="R433">
        <v>300</v>
      </c>
      <c r="S433">
        <v>311</v>
      </c>
      <c r="T433">
        <v>287</v>
      </c>
      <c r="U433">
        <v>11</v>
      </c>
      <c r="V433" t="s">
        <v>30</v>
      </c>
      <c r="W433" t="s">
        <v>354</v>
      </c>
      <c r="X433" t="s">
        <v>32</v>
      </c>
      <c r="Y433" t="s">
        <v>33</v>
      </c>
    </row>
    <row r="434" spans="1:25" x14ac:dyDescent="0.25">
      <c r="A434">
        <v>2025</v>
      </c>
      <c r="B434" t="s">
        <v>335</v>
      </c>
      <c r="C434" t="s">
        <v>336</v>
      </c>
      <c r="D434" t="s">
        <v>355</v>
      </c>
      <c r="E434" t="s">
        <v>46</v>
      </c>
      <c r="F434" t="s">
        <v>47</v>
      </c>
      <c r="G434">
        <v>35</v>
      </c>
      <c r="H434">
        <v>38</v>
      </c>
      <c r="I434">
        <v>36</v>
      </c>
      <c r="J434">
        <v>900</v>
      </c>
      <c r="K434">
        <v>9</v>
      </c>
      <c r="L434">
        <v>10</v>
      </c>
      <c r="M434">
        <v>5000</v>
      </c>
      <c r="N434" t="s">
        <v>30</v>
      </c>
      <c r="O434">
        <v>0</v>
      </c>
      <c r="P434">
        <v>0</v>
      </c>
      <c r="Q434">
        <v>0</v>
      </c>
      <c r="R434">
        <v>300</v>
      </c>
      <c r="S434">
        <v>311</v>
      </c>
      <c r="T434">
        <v>287</v>
      </c>
      <c r="U434">
        <v>11</v>
      </c>
      <c r="V434" t="s">
        <v>30</v>
      </c>
      <c r="W434" t="s">
        <v>354</v>
      </c>
      <c r="X434" t="s">
        <v>32</v>
      </c>
      <c r="Y434" t="s">
        <v>33</v>
      </c>
    </row>
    <row r="435" spans="1:25" x14ac:dyDescent="0.25">
      <c r="A435">
        <v>2025</v>
      </c>
      <c r="B435" t="s">
        <v>335</v>
      </c>
      <c r="C435" t="s">
        <v>336</v>
      </c>
      <c r="D435" t="s">
        <v>356</v>
      </c>
      <c r="E435" t="s">
        <v>46</v>
      </c>
      <c r="F435" t="s">
        <v>47</v>
      </c>
      <c r="G435">
        <v>103</v>
      </c>
      <c r="H435">
        <v>84</v>
      </c>
      <c r="I435">
        <v>94</v>
      </c>
      <c r="J435">
        <v>850</v>
      </c>
      <c r="K435">
        <v>9</v>
      </c>
      <c r="L435">
        <v>10</v>
      </c>
      <c r="M435">
        <v>5250</v>
      </c>
      <c r="N435" t="s">
        <v>30</v>
      </c>
      <c r="O435">
        <v>0</v>
      </c>
      <c r="P435">
        <v>0</v>
      </c>
      <c r="Q435">
        <v>0</v>
      </c>
      <c r="R435">
        <v>342</v>
      </c>
      <c r="S435">
        <v>374</v>
      </c>
      <c r="T435">
        <v>303</v>
      </c>
      <c r="U435">
        <v>10</v>
      </c>
      <c r="V435" t="s">
        <v>30</v>
      </c>
      <c r="W435" t="s">
        <v>357</v>
      </c>
      <c r="X435" t="s">
        <v>32</v>
      </c>
      <c r="Y435" t="s">
        <v>33</v>
      </c>
    </row>
    <row r="436" spans="1:25" x14ac:dyDescent="0.25">
      <c r="A436">
        <v>2025</v>
      </c>
      <c r="B436" t="s">
        <v>335</v>
      </c>
      <c r="C436" t="s">
        <v>336</v>
      </c>
      <c r="D436" t="s">
        <v>356</v>
      </c>
      <c r="E436" t="s">
        <v>46</v>
      </c>
      <c r="F436" t="s">
        <v>47</v>
      </c>
      <c r="G436">
        <v>33</v>
      </c>
      <c r="H436">
        <v>40</v>
      </c>
      <c r="I436">
        <v>36</v>
      </c>
      <c r="J436">
        <v>850</v>
      </c>
      <c r="K436">
        <v>9</v>
      </c>
      <c r="L436">
        <v>10</v>
      </c>
      <c r="M436">
        <v>5250</v>
      </c>
      <c r="N436" t="s">
        <v>30</v>
      </c>
      <c r="O436">
        <v>0</v>
      </c>
      <c r="P436">
        <v>0</v>
      </c>
      <c r="Q436">
        <v>0</v>
      </c>
      <c r="R436">
        <v>342</v>
      </c>
      <c r="S436">
        <v>374</v>
      </c>
      <c r="T436">
        <v>303</v>
      </c>
      <c r="U436">
        <v>10</v>
      </c>
      <c r="V436" t="s">
        <v>30</v>
      </c>
      <c r="W436" t="s">
        <v>357</v>
      </c>
      <c r="X436" t="s">
        <v>32</v>
      </c>
      <c r="Y436" t="s">
        <v>33</v>
      </c>
    </row>
    <row r="437" spans="1:25" x14ac:dyDescent="0.25">
      <c r="A437">
        <v>2025</v>
      </c>
      <c r="B437" t="s">
        <v>335</v>
      </c>
      <c r="C437" t="s">
        <v>336</v>
      </c>
      <c r="D437" t="s">
        <v>358</v>
      </c>
      <c r="E437" t="s">
        <v>46</v>
      </c>
      <c r="F437" t="s">
        <v>47</v>
      </c>
      <c r="G437">
        <v>105</v>
      </c>
      <c r="H437">
        <v>86</v>
      </c>
      <c r="I437">
        <v>95</v>
      </c>
      <c r="J437">
        <v>850</v>
      </c>
      <c r="K437">
        <v>9</v>
      </c>
      <c r="L437">
        <v>10</v>
      </c>
      <c r="M437">
        <v>5250</v>
      </c>
      <c r="N437" t="s">
        <v>30</v>
      </c>
      <c r="O437">
        <v>0</v>
      </c>
      <c r="P437">
        <v>0</v>
      </c>
      <c r="Q437">
        <v>0</v>
      </c>
      <c r="R437">
        <v>350</v>
      </c>
      <c r="S437">
        <v>317</v>
      </c>
      <c r="T437">
        <v>390</v>
      </c>
      <c r="U437">
        <v>10</v>
      </c>
      <c r="V437" t="s">
        <v>30</v>
      </c>
      <c r="W437" t="s">
        <v>357</v>
      </c>
      <c r="X437" t="s">
        <v>32</v>
      </c>
      <c r="Y437" t="s">
        <v>33</v>
      </c>
    </row>
    <row r="438" spans="1:25" x14ac:dyDescent="0.25">
      <c r="A438">
        <v>2025</v>
      </c>
      <c r="B438" t="s">
        <v>335</v>
      </c>
      <c r="C438" t="s">
        <v>336</v>
      </c>
      <c r="D438" t="s">
        <v>358</v>
      </c>
      <c r="E438" t="s">
        <v>46</v>
      </c>
      <c r="F438" t="s">
        <v>47</v>
      </c>
      <c r="G438">
        <v>32</v>
      </c>
      <c r="H438">
        <v>39</v>
      </c>
      <c r="I438">
        <v>35</v>
      </c>
      <c r="J438">
        <v>850</v>
      </c>
      <c r="K438">
        <v>9</v>
      </c>
      <c r="L438">
        <v>10</v>
      </c>
      <c r="M438">
        <v>5250</v>
      </c>
      <c r="N438" t="s">
        <v>30</v>
      </c>
      <c r="O438">
        <v>0</v>
      </c>
      <c r="P438">
        <v>0</v>
      </c>
      <c r="Q438">
        <v>0</v>
      </c>
      <c r="R438">
        <v>350</v>
      </c>
      <c r="S438">
        <v>303</v>
      </c>
      <c r="T438">
        <v>370</v>
      </c>
      <c r="U438">
        <v>10</v>
      </c>
      <c r="V438" t="s">
        <v>30</v>
      </c>
      <c r="W438" t="s">
        <v>357</v>
      </c>
      <c r="X438" t="s">
        <v>32</v>
      </c>
      <c r="Y438" t="s">
        <v>33</v>
      </c>
    </row>
    <row r="439" spans="1:25" x14ac:dyDescent="0.25">
      <c r="A439">
        <v>2025</v>
      </c>
      <c r="B439" t="s">
        <v>335</v>
      </c>
      <c r="C439" t="s">
        <v>336</v>
      </c>
      <c r="D439" t="s">
        <v>359</v>
      </c>
      <c r="E439" t="s">
        <v>46</v>
      </c>
      <c r="F439" t="s">
        <v>47</v>
      </c>
      <c r="G439">
        <v>100</v>
      </c>
      <c r="H439">
        <v>82</v>
      </c>
      <c r="I439">
        <v>91</v>
      </c>
      <c r="J439">
        <v>900</v>
      </c>
      <c r="K439">
        <v>9</v>
      </c>
      <c r="L439">
        <v>10</v>
      </c>
      <c r="M439">
        <v>5000</v>
      </c>
      <c r="N439" t="s">
        <v>30</v>
      </c>
      <c r="O439">
        <v>0</v>
      </c>
      <c r="P439">
        <v>0</v>
      </c>
      <c r="Q439">
        <v>0</v>
      </c>
      <c r="R439">
        <v>333</v>
      </c>
      <c r="S439">
        <v>362</v>
      </c>
      <c r="T439">
        <v>297</v>
      </c>
      <c r="U439">
        <v>10</v>
      </c>
      <c r="V439" t="s">
        <v>30</v>
      </c>
      <c r="W439" t="s">
        <v>357</v>
      </c>
      <c r="X439" t="s">
        <v>32</v>
      </c>
      <c r="Y439" t="s">
        <v>33</v>
      </c>
    </row>
    <row r="440" spans="1:25" x14ac:dyDescent="0.25">
      <c r="A440">
        <v>2025</v>
      </c>
      <c r="B440" t="s">
        <v>335</v>
      </c>
      <c r="C440" t="s">
        <v>336</v>
      </c>
      <c r="D440" t="s">
        <v>359</v>
      </c>
      <c r="E440" t="s">
        <v>46</v>
      </c>
      <c r="F440" t="s">
        <v>47</v>
      </c>
      <c r="G440">
        <v>34</v>
      </c>
      <c r="H440">
        <v>41</v>
      </c>
      <c r="I440">
        <v>37</v>
      </c>
      <c r="J440">
        <v>900</v>
      </c>
      <c r="K440">
        <v>9</v>
      </c>
      <c r="L440">
        <v>10</v>
      </c>
      <c r="M440">
        <v>5000</v>
      </c>
      <c r="N440" t="s">
        <v>30</v>
      </c>
      <c r="O440">
        <v>0</v>
      </c>
      <c r="P440">
        <v>0</v>
      </c>
      <c r="Q440">
        <v>0</v>
      </c>
      <c r="R440">
        <v>333</v>
      </c>
      <c r="S440">
        <v>362</v>
      </c>
      <c r="T440">
        <v>297</v>
      </c>
      <c r="U440">
        <v>10</v>
      </c>
      <c r="V440" t="s">
        <v>30</v>
      </c>
      <c r="W440" t="s">
        <v>357</v>
      </c>
      <c r="X440" t="s">
        <v>32</v>
      </c>
      <c r="Y440" t="s">
        <v>33</v>
      </c>
    </row>
    <row r="441" spans="1:25" x14ac:dyDescent="0.25">
      <c r="A441">
        <v>2025</v>
      </c>
      <c r="B441" t="s">
        <v>360</v>
      </c>
      <c r="C441" t="s">
        <v>360</v>
      </c>
      <c r="D441" t="s">
        <v>361</v>
      </c>
      <c r="E441" t="s">
        <v>46</v>
      </c>
      <c r="F441" t="s">
        <v>118</v>
      </c>
      <c r="G441">
        <v>108</v>
      </c>
      <c r="H441">
        <v>90</v>
      </c>
      <c r="I441">
        <v>99</v>
      </c>
      <c r="J441">
        <v>800</v>
      </c>
      <c r="K441">
        <v>9</v>
      </c>
      <c r="L441">
        <v>10</v>
      </c>
      <c r="M441">
        <v>5500</v>
      </c>
      <c r="N441" t="s">
        <v>30</v>
      </c>
      <c r="O441">
        <v>0</v>
      </c>
      <c r="P441">
        <v>0</v>
      </c>
      <c r="Q441">
        <v>0</v>
      </c>
      <c r="R441">
        <v>315</v>
      </c>
      <c r="S441">
        <v>340</v>
      </c>
      <c r="T441">
        <v>284</v>
      </c>
      <c r="U441">
        <v>11.5</v>
      </c>
      <c r="V441" t="s">
        <v>30</v>
      </c>
      <c r="W441" t="s">
        <v>362</v>
      </c>
      <c r="X441" t="s">
        <v>32</v>
      </c>
      <c r="Y441" t="s">
        <v>33</v>
      </c>
    </row>
    <row r="442" spans="1:25" x14ac:dyDescent="0.25">
      <c r="A442">
        <v>2025</v>
      </c>
      <c r="B442" t="s">
        <v>360</v>
      </c>
      <c r="C442" t="s">
        <v>360</v>
      </c>
      <c r="D442" t="s">
        <v>361</v>
      </c>
      <c r="E442" t="s">
        <v>46</v>
      </c>
      <c r="F442" t="s">
        <v>118</v>
      </c>
      <c r="G442">
        <v>31</v>
      </c>
      <c r="H442">
        <v>37</v>
      </c>
      <c r="I442">
        <v>34</v>
      </c>
      <c r="J442">
        <v>800</v>
      </c>
      <c r="K442">
        <v>9</v>
      </c>
      <c r="L442">
        <v>10</v>
      </c>
      <c r="M442">
        <v>5500</v>
      </c>
      <c r="N442" t="s">
        <v>30</v>
      </c>
      <c r="O442">
        <v>0</v>
      </c>
      <c r="P442">
        <v>0</v>
      </c>
      <c r="Q442">
        <v>0</v>
      </c>
      <c r="R442">
        <v>315</v>
      </c>
      <c r="S442">
        <v>340</v>
      </c>
      <c r="T442">
        <v>284</v>
      </c>
      <c r="U442">
        <v>11.5</v>
      </c>
      <c r="V442" t="s">
        <v>30</v>
      </c>
      <c r="W442" t="s">
        <v>362</v>
      </c>
      <c r="X442" t="s">
        <v>32</v>
      </c>
      <c r="Y442" t="s">
        <v>33</v>
      </c>
    </row>
    <row r="443" spans="1:25" x14ac:dyDescent="0.25">
      <c r="A443">
        <v>2025</v>
      </c>
      <c r="B443" t="s">
        <v>360</v>
      </c>
      <c r="C443" t="s">
        <v>360</v>
      </c>
      <c r="D443" t="s">
        <v>363</v>
      </c>
      <c r="E443" t="s">
        <v>28</v>
      </c>
      <c r="F443" t="s">
        <v>118</v>
      </c>
      <c r="G443">
        <v>98</v>
      </c>
      <c r="H443">
        <v>83</v>
      </c>
      <c r="I443">
        <v>91</v>
      </c>
      <c r="J443">
        <v>900</v>
      </c>
      <c r="K443">
        <v>9</v>
      </c>
      <c r="L443">
        <v>10</v>
      </c>
      <c r="M443">
        <v>5000</v>
      </c>
      <c r="N443" t="s">
        <v>30</v>
      </c>
      <c r="O443">
        <v>0</v>
      </c>
      <c r="P443">
        <v>0</v>
      </c>
      <c r="Q443">
        <v>0</v>
      </c>
      <c r="R443">
        <v>288</v>
      </c>
      <c r="S443">
        <v>309</v>
      </c>
      <c r="T443">
        <v>263</v>
      </c>
      <c r="U443">
        <v>11.5</v>
      </c>
      <c r="V443" t="s">
        <v>30</v>
      </c>
      <c r="W443" t="s">
        <v>364</v>
      </c>
      <c r="X443" t="s">
        <v>32</v>
      </c>
      <c r="Y443" t="s">
        <v>33</v>
      </c>
    </row>
    <row r="444" spans="1:25" x14ac:dyDescent="0.25">
      <c r="A444">
        <v>2025</v>
      </c>
      <c r="B444" t="s">
        <v>360</v>
      </c>
      <c r="C444" t="s">
        <v>360</v>
      </c>
      <c r="D444" t="s">
        <v>363</v>
      </c>
      <c r="E444" t="s">
        <v>28</v>
      </c>
      <c r="F444" t="s">
        <v>118</v>
      </c>
      <c r="G444">
        <v>34</v>
      </c>
      <c r="H444">
        <v>40</v>
      </c>
      <c r="I444">
        <v>37</v>
      </c>
      <c r="J444">
        <v>900</v>
      </c>
      <c r="K444">
        <v>9</v>
      </c>
      <c r="L444">
        <v>10</v>
      </c>
      <c r="M444">
        <v>5000</v>
      </c>
      <c r="N444" t="s">
        <v>30</v>
      </c>
      <c r="O444">
        <v>0</v>
      </c>
      <c r="P444">
        <v>0</v>
      </c>
      <c r="Q444">
        <v>0</v>
      </c>
      <c r="R444">
        <v>288</v>
      </c>
      <c r="S444">
        <v>309</v>
      </c>
      <c r="T444">
        <v>263</v>
      </c>
      <c r="U444">
        <v>11.5</v>
      </c>
      <c r="V444" t="s">
        <v>30</v>
      </c>
      <c r="W444" t="s">
        <v>364</v>
      </c>
      <c r="X444" t="s">
        <v>32</v>
      </c>
      <c r="Y444" t="s">
        <v>33</v>
      </c>
    </row>
    <row r="445" spans="1:25" x14ac:dyDescent="0.25">
      <c r="A445">
        <v>2025</v>
      </c>
      <c r="B445" t="s">
        <v>360</v>
      </c>
      <c r="C445" t="s">
        <v>360</v>
      </c>
      <c r="D445" t="s">
        <v>365</v>
      </c>
      <c r="E445" t="s">
        <v>28</v>
      </c>
      <c r="F445" t="s">
        <v>118</v>
      </c>
      <c r="G445">
        <v>107</v>
      </c>
      <c r="H445">
        <v>89</v>
      </c>
      <c r="I445">
        <v>98</v>
      </c>
      <c r="J445">
        <v>800</v>
      </c>
      <c r="K445">
        <v>9</v>
      </c>
      <c r="L445">
        <v>10</v>
      </c>
      <c r="M445">
        <v>5500</v>
      </c>
      <c r="N445" t="s">
        <v>30</v>
      </c>
      <c r="O445">
        <v>0</v>
      </c>
      <c r="P445">
        <v>0</v>
      </c>
      <c r="Q445">
        <v>0</v>
      </c>
      <c r="R445">
        <v>308</v>
      </c>
      <c r="S445">
        <v>333</v>
      </c>
      <c r="T445">
        <v>277</v>
      </c>
      <c r="U445">
        <v>11.5</v>
      </c>
      <c r="V445" t="s">
        <v>30</v>
      </c>
      <c r="W445" t="s">
        <v>366</v>
      </c>
      <c r="X445" t="s">
        <v>32</v>
      </c>
      <c r="Y445" t="s">
        <v>33</v>
      </c>
    </row>
    <row r="446" spans="1:25" x14ac:dyDescent="0.25">
      <c r="A446">
        <v>2025</v>
      </c>
      <c r="B446" t="s">
        <v>360</v>
      </c>
      <c r="C446" t="s">
        <v>360</v>
      </c>
      <c r="D446" t="s">
        <v>365</v>
      </c>
      <c r="E446" t="s">
        <v>28</v>
      </c>
      <c r="F446" t="s">
        <v>118</v>
      </c>
      <c r="G446">
        <v>32</v>
      </c>
      <c r="H446">
        <v>38</v>
      </c>
      <c r="I446">
        <v>34</v>
      </c>
      <c r="J446">
        <v>800</v>
      </c>
      <c r="K446">
        <v>9</v>
      </c>
      <c r="L446">
        <v>10</v>
      </c>
      <c r="M446">
        <v>5500</v>
      </c>
      <c r="N446" t="s">
        <v>30</v>
      </c>
      <c r="O446">
        <v>0</v>
      </c>
      <c r="P446">
        <v>0</v>
      </c>
      <c r="Q446">
        <v>0</v>
      </c>
      <c r="R446">
        <v>308</v>
      </c>
      <c r="S446">
        <v>333</v>
      </c>
      <c r="T446">
        <v>277</v>
      </c>
      <c r="U446">
        <v>11.5</v>
      </c>
      <c r="V446" t="s">
        <v>30</v>
      </c>
      <c r="W446" t="s">
        <v>366</v>
      </c>
      <c r="X446" t="s">
        <v>32</v>
      </c>
      <c r="Y446" t="s">
        <v>33</v>
      </c>
    </row>
    <row r="447" spans="1:25" x14ac:dyDescent="0.25">
      <c r="A447">
        <v>2025</v>
      </c>
      <c r="B447" t="s">
        <v>360</v>
      </c>
      <c r="C447" t="s">
        <v>360</v>
      </c>
      <c r="D447" t="s">
        <v>367</v>
      </c>
      <c r="E447" t="s">
        <v>28</v>
      </c>
      <c r="F447" t="s">
        <v>118</v>
      </c>
      <c r="G447">
        <v>99</v>
      </c>
      <c r="H447">
        <v>84</v>
      </c>
      <c r="I447">
        <v>91</v>
      </c>
      <c r="J447">
        <v>900</v>
      </c>
      <c r="K447">
        <v>9</v>
      </c>
      <c r="L447">
        <v>10</v>
      </c>
      <c r="M447">
        <v>5000</v>
      </c>
      <c r="N447" t="s">
        <v>30</v>
      </c>
      <c r="O447">
        <v>0</v>
      </c>
      <c r="P447">
        <v>0</v>
      </c>
      <c r="Q447">
        <v>0</v>
      </c>
      <c r="R447">
        <v>288</v>
      </c>
      <c r="S447">
        <v>309</v>
      </c>
      <c r="T447">
        <v>262</v>
      </c>
      <c r="U447">
        <v>11.5</v>
      </c>
      <c r="V447" t="s">
        <v>30</v>
      </c>
      <c r="W447" t="s">
        <v>364</v>
      </c>
      <c r="X447" t="s">
        <v>32</v>
      </c>
      <c r="Y447" t="s">
        <v>33</v>
      </c>
    </row>
    <row r="448" spans="1:25" x14ac:dyDescent="0.25">
      <c r="A448">
        <v>2025</v>
      </c>
      <c r="B448" t="s">
        <v>360</v>
      </c>
      <c r="C448" t="s">
        <v>360</v>
      </c>
      <c r="D448" t="s">
        <v>367</v>
      </c>
      <c r="E448" t="s">
        <v>28</v>
      </c>
      <c r="F448" t="s">
        <v>118</v>
      </c>
      <c r="G448">
        <v>34</v>
      </c>
      <c r="H448">
        <v>40</v>
      </c>
      <c r="I448">
        <v>37</v>
      </c>
      <c r="J448">
        <v>900</v>
      </c>
      <c r="K448">
        <v>9</v>
      </c>
      <c r="L448">
        <v>10</v>
      </c>
      <c r="M448">
        <v>5000</v>
      </c>
      <c r="N448" t="s">
        <v>30</v>
      </c>
      <c r="O448">
        <v>0</v>
      </c>
      <c r="P448">
        <v>0</v>
      </c>
      <c r="Q448">
        <v>0</v>
      </c>
      <c r="R448">
        <v>288</v>
      </c>
      <c r="S448">
        <v>309</v>
      </c>
      <c r="T448">
        <v>262</v>
      </c>
      <c r="U448">
        <v>11.5</v>
      </c>
      <c r="V448" t="s">
        <v>30</v>
      </c>
      <c r="W448" t="s">
        <v>364</v>
      </c>
      <c r="X448" t="s">
        <v>32</v>
      </c>
      <c r="Y448" t="s">
        <v>33</v>
      </c>
    </row>
    <row r="449" spans="1:25" x14ac:dyDescent="0.25">
      <c r="A449">
        <v>2025</v>
      </c>
      <c r="B449" t="s">
        <v>360</v>
      </c>
      <c r="C449" t="s">
        <v>360</v>
      </c>
      <c r="D449" t="s">
        <v>368</v>
      </c>
      <c r="E449" t="s">
        <v>46</v>
      </c>
      <c r="F449" t="s">
        <v>75</v>
      </c>
      <c r="G449">
        <v>94</v>
      </c>
      <c r="H449">
        <v>88</v>
      </c>
      <c r="I449">
        <v>91</v>
      </c>
      <c r="J449">
        <v>900</v>
      </c>
      <c r="K449">
        <v>9</v>
      </c>
      <c r="L449">
        <v>10</v>
      </c>
      <c r="M449">
        <v>5000</v>
      </c>
      <c r="N449" t="s">
        <v>30</v>
      </c>
      <c r="O449">
        <v>0</v>
      </c>
      <c r="P449">
        <v>0</v>
      </c>
      <c r="Q449">
        <v>0</v>
      </c>
      <c r="R449">
        <v>274</v>
      </c>
      <c r="S449">
        <v>282</v>
      </c>
      <c r="T449">
        <v>264</v>
      </c>
      <c r="U449">
        <v>11.5</v>
      </c>
      <c r="V449" t="s">
        <v>30</v>
      </c>
      <c r="W449" t="s">
        <v>369</v>
      </c>
      <c r="X449" t="s">
        <v>32</v>
      </c>
      <c r="Y449" t="s">
        <v>33</v>
      </c>
    </row>
    <row r="450" spans="1:25" x14ac:dyDescent="0.25">
      <c r="A450">
        <v>2025</v>
      </c>
      <c r="B450" t="s">
        <v>360</v>
      </c>
      <c r="C450" t="s">
        <v>360</v>
      </c>
      <c r="D450" t="s">
        <v>368</v>
      </c>
      <c r="E450" t="s">
        <v>46</v>
      </c>
      <c r="F450" t="s">
        <v>75</v>
      </c>
      <c r="G450">
        <v>36</v>
      </c>
      <c r="H450">
        <v>38</v>
      </c>
      <c r="I450">
        <v>37</v>
      </c>
      <c r="J450">
        <v>900</v>
      </c>
      <c r="K450">
        <v>9</v>
      </c>
      <c r="L450">
        <v>10</v>
      </c>
      <c r="M450">
        <v>5000</v>
      </c>
      <c r="N450" t="s">
        <v>30</v>
      </c>
      <c r="O450">
        <v>0</v>
      </c>
      <c r="P450">
        <v>0</v>
      </c>
      <c r="Q450">
        <v>0</v>
      </c>
      <c r="R450">
        <v>274</v>
      </c>
      <c r="S450">
        <v>282</v>
      </c>
      <c r="T450">
        <v>264</v>
      </c>
      <c r="U450">
        <v>11.5</v>
      </c>
      <c r="V450" t="s">
        <v>30</v>
      </c>
      <c r="W450" t="s">
        <v>369</v>
      </c>
      <c r="X450" t="s">
        <v>32</v>
      </c>
      <c r="Y450" t="s">
        <v>33</v>
      </c>
    </row>
    <row r="451" spans="1:25" x14ac:dyDescent="0.25">
      <c r="A451">
        <v>2025</v>
      </c>
      <c r="B451" t="s">
        <v>360</v>
      </c>
      <c r="C451" t="s">
        <v>360</v>
      </c>
      <c r="D451" t="s">
        <v>370</v>
      </c>
      <c r="E451" t="s">
        <v>46</v>
      </c>
      <c r="F451" t="s">
        <v>75</v>
      </c>
      <c r="G451">
        <v>94</v>
      </c>
      <c r="H451">
        <v>90</v>
      </c>
      <c r="I451">
        <v>92</v>
      </c>
      <c r="J451">
        <v>900</v>
      </c>
      <c r="K451">
        <v>9</v>
      </c>
      <c r="L451">
        <v>10</v>
      </c>
      <c r="M451">
        <v>5000</v>
      </c>
      <c r="N451" t="s">
        <v>30</v>
      </c>
      <c r="O451">
        <v>0</v>
      </c>
      <c r="P451">
        <v>0</v>
      </c>
      <c r="Q451">
        <v>0</v>
      </c>
      <c r="R451">
        <v>318</v>
      </c>
      <c r="S451">
        <v>325</v>
      </c>
      <c r="T451">
        <v>309</v>
      </c>
      <c r="U451">
        <v>13</v>
      </c>
      <c r="V451" t="s">
        <v>30</v>
      </c>
      <c r="W451" t="s">
        <v>369</v>
      </c>
      <c r="X451" t="s">
        <v>32</v>
      </c>
      <c r="Y451" t="s">
        <v>33</v>
      </c>
    </row>
    <row r="452" spans="1:25" x14ac:dyDescent="0.25">
      <c r="A452">
        <v>2025</v>
      </c>
      <c r="B452" t="s">
        <v>360</v>
      </c>
      <c r="C452" t="s">
        <v>360</v>
      </c>
      <c r="D452" t="s">
        <v>370</v>
      </c>
      <c r="E452" t="s">
        <v>46</v>
      </c>
      <c r="F452" t="s">
        <v>75</v>
      </c>
      <c r="G452">
        <v>36</v>
      </c>
      <c r="H452">
        <v>38</v>
      </c>
      <c r="I452">
        <v>37</v>
      </c>
      <c r="J452">
        <v>900</v>
      </c>
      <c r="K452">
        <v>9</v>
      </c>
      <c r="L452">
        <v>10</v>
      </c>
      <c r="M452">
        <v>5000</v>
      </c>
      <c r="N452" t="s">
        <v>30</v>
      </c>
      <c r="O452">
        <v>0</v>
      </c>
      <c r="P452">
        <v>0</v>
      </c>
      <c r="Q452">
        <v>0</v>
      </c>
      <c r="R452">
        <v>318</v>
      </c>
      <c r="S452">
        <v>325</v>
      </c>
      <c r="T452">
        <v>309</v>
      </c>
      <c r="U452">
        <v>13</v>
      </c>
      <c r="V452" t="s">
        <v>30</v>
      </c>
      <c r="W452" t="s">
        <v>369</v>
      </c>
      <c r="X452" t="s">
        <v>32</v>
      </c>
      <c r="Y452" t="s">
        <v>33</v>
      </c>
    </row>
    <row r="453" spans="1:25" x14ac:dyDescent="0.25">
      <c r="A453">
        <v>2025</v>
      </c>
      <c r="B453" t="s">
        <v>360</v>
      </c>
      <c r="C453" t="s">
        <v>360</v>
      </c>
      <c r="D453" t="s">
        <v>371</v>
      </c>
      <c r="E453" t="s">
        <v>28</v>
      </c>
      <c r="F453" t="s">
        <v>75</v>
      </c>
      <c r="G453">
        <v>89</v>
      </c>
      <c r="H453">
        <v>85</v>
      </c>
      <c r="I453">
        <v>87</v>
      </c>
      <c r="J453">
        <v>950</v>
      </c>
      <c r="K453">
        <v>9</v>
      </c>
      <c r="L453">
        <v>10</v>
      </c>
      <c r="M453">
        <v>4750</v>
      </c>
      <c r="N453" t="s">
        <v>30</v>
      </c>
      <c r="O453">
        <v>0</v>
      </c>
      <c r="P453">
        <v>0</v>
      </c>
      <c r="Q453">
        <v>0</v>
      </c>
      <c r="R453">
        <v>294</v>
      </c>
      <c r="S453">
        <v>300</v>
      </c>
      <c r="T453">
        <v>286</v>
      </c>
      <c r="U453">
        <v>13</v>
      </c>
      <c r="V453" t="s">
        <v>30</v>
      </c>
      <c r="W453" t="s">
        <v>372</v>
      </c>
      <c r="X453" t="s">
        <v>32</v>
      </c>
      <c r="Y453" t="s">
        <v>33</v>
      </c>
    </row>
    <row r="454" spans="1:25" x14ac:dyDescent="0.25">
      <c r="A454">
        <v>2025</v>
      </c>
      <c r="B454" t="s">
        <v>360</v>
      </c>
      <c r="C454" t="s">
        <v>360</v>
      </c>
      <c r="D454" t="s">
        <v>371</v>
      </c>
      <c r="E454" t="s">
        <v>28</v>
      </c>
      <c r="F454" t="s">
        <v>75</v>
      </c>
      <c r="G454">
        <v>38</v>
      </c>
      <c r="H454">
        <v>40</v>
      </c>
      <c r="I454">
        <v>39</v>
      </c>
      <c r="J454">
        <v>950</v>
      </c>
      <c r="K454">
        <v>9</v>
      </c>
      <c r="L454">
        <v>10</v>
      </c>
      <c r="M454">
        <v>4750</v>
      </c>
      <c r="N454" t="s">
        <v>30</v>
      </c>
      <c r="O454">
        <v>0</v>
      </c>
      <c r="P454">
        <v>0</v>
      </c>
      <c r="Q454">
        <v>0</v>
      </c>
      <c r="R454">
        <v>294</v>
      </c>
      <c r="S454">
        <v>300</v>
      </c>
      <c r="T454">
        <v>286</v>
      </c>
      <c r="U454">
        <v>13</v>
      </c>
      <c r="V454" t="s">
        <v>30</v>
      </c>
      <c r="W454" t="s">
        <v>372</v>
      </c>
      <c r="X454" t="s">
        <v>32</v>
      </c>
      <c r="Y454" t="s">
        <v>33</v>
      </c>
    </row>
    <row r="455" spans="1:25" x14ac:dyDescent="0.25">
      <c r="A455">
        <v>2025</v>
      </c>
      <c r="B455" t="s">
        <v>360</v>
      </c>
      <c r="C455" t="s">
        <v>360</v>
      </c>
      <c r="D455" t="s">
        <v>373</v>
      </c>
      <c r="E455" t="s">
        <v>28</v>
      </c>
      <c r="F455" t="s">
        <v>186</v>
      </c>
      <c r="G455">
        <v>84</v>
      </c>
      <c r="H455">
        <v>79</v>
      </c>
      <c r="I455">
        <v>81</v>
      </c>
      <c r="J455">
        <v>1000</v>
      </c>
      <c r="K455">
        <v>9</v>
      </c>
      <c r="L455">
        <v>10</v>
      </c>
      <c r="M455">
        <v>4500</v>
      </c>
      <c r="N455" t="s">
        <v>30</v>
      </c>
      <c r="O455">
        <v>0</v>
      </c>
      <c r="P455">
        <v>0</v>
      </c>
      <c r="Q455">
        <v>0</v>
      </c>
      <c r="R455">
        <v>277</v>
      </c>
      <c r="S455">
        <v>285</v>
      </c>
      <c r="T455">
        <v>268</v>
      </c>
      <c r="U455">
        <v>13</v>
      </c>
      <c r="V455" t="s">
        <v>30</v>
      </c>
      <c r="W455" t="s">
        <v>374</v>
      </c>
      <c r="X455" t="s">
        <v>32</v>
      </c>
      <c r="Y455" t="s">
        <v>33</v>
      </c>
    </row>
    <row r="456" spans="1:25" x14ac:dyDescent="0.25">
      <c r="A456">
        <v>2025</v>
      </c>
      <c r="B456" t="s">
        <v>360</v>
      </c>
      <c r="C456" t="s">
        <v>360</v>
      </c>
      <c r="D456" t="s">
        <v>373</v>
      </c>
      <c r="E456" t="s">
        <v>28</v>
      </c>
      <c r="F456" t="s">
        <v>186</v>
      </c>
      <c r="G456">
        <v>40</v>
      </c>
      <c r="H456">
        <v>43</v>
      </c>
      <c r="I456">
        <v>42</v>
      </c>
      <c r="J456">
        <v>1000</v>
      </c>
      <c r="K456">
        <v>9</v>
      </c>
      <c r="L456">
        <v>10</v>
      </c>
      <c r="M456">
        <v>4500</v>
      </c>
      <c r="N456" t="s">
        <v>30</v>
      </c>
      <c r="O456">
        <v>0</v>
      </c>
      <c r="P456">
        <v>0</v>
      </c>
      <c r="Q456">
        <v>0</v>
      </c>
      <c r="R456">
        <v>277</v>
      </c>
      <c r="S456">
        <v>285</v>
      </c>
      <c r="T456">
        <v>268</v>
      </c>
      <c r="U456">
        <v>13</v>
      </c>
      <c r="V456" t="s">
        <v>30</v>
      </c>
      <c r="W456" t="s">
        <v>374</v>
      </c>
      <c r="X456" t="s">
        <v>32</v>
      </c>
      <c r="Y456" t="s">
        <v>33</v>
      </c>
    </row>
    <row r="457" spans="1:25" x14ac:dyDescent="0.25">
      <c r="A457">
        <v>2025</v>
      </c>
      <c r="B457" t="s">
        <v>360</v>
      </c>
      <c r="C457" t="s">
        <v>360</v>
      </c>
      <c r="D457" t="s">
        <v>375</v>
      </c>
      <c r="E457" t="s">
        <v>28</v>
      </c>
      <c r="F457" t="s">
        <v>75</v>
      </c>
      <c r="G457">
        <v>90</v>
      </c>
      <c r="H457">
        <v>85</v>
      </c>
      <c r="I457">
        <v>88</v>
      </c>
      <c r="J457">
        <v>900</v>
      </c>
      <c r="K457">
        <v>9</v>
      </c>
      <c r="L457">
        <v>10</v>
      </c>
      <c r="M457">
        <v>5000</v>
      </c>
      <c r="N457" t="s">
        <v>30</v>
      </c>
      <c r="O457">
        <v>0</v>
      </c>
      <c r="P457">
        <v>0</v>
      </c>
      <c r="Q457">
        <v>0</v>
      </c>
      <c r="R457">
        <v>252</v>
      </c>
      <c r="S457">
        <v>260</v>
      </c>
      <c r="T457">
        <v>243</v>
      </c>
      <c r="U457">
        <v>11.5</v>
      </c>
      <c r="V457" t="s">
        <v>30</v>
      </c>
      <c r="W457" t="s">
        <v>376</v>
      </c>
      <c r="X457" t="s">
        <v>32</v>
      </c>
      <c r="Y457" t="s">
        <v>33</v>
      </c>
    </row>
    <row r="458" spans="1:25" x14ac:dyDescent="0.25">
      <c r="A458">
        <v>2025</v>
      </c>
      <c r="B458" t="s">
        <v>360</v>
      </c>
      <c r="C458" t="s">
        <v>360</v>
      </c>
      <c r="D458" t="s">
        <v>375</v>
      </c>
      <c r="E458" t="s">
        <v>28</v>
      </c>
      <c r="F458" t="s">
        <v>75</v>
      </c>
      <c r="G458">
        <v>37</v>
      </c>
      <c r="H458">
        <v>40</v>
      </c>
      <c r="I458">
        <v>38</v>
      </c>
      <c r="J458">
        <v>900</v>
      </c>
      <c r="K458">
        <v>9</v>
      </c>
      <c r="L458">
        <v>10</v>
      </c>
      <c r="M458">
        <v>5000</v>
      </c>
      <c r="N458" t="s">
        <v>30</v>
      </c>
      <c r="O458">
        <v>0</v>
      </c>
      <c r="P458">
        <v>0</v>
      </c>
      <c r="Q458">
        <v>0</v>
      </c>
      <c r="R458">
        <v>252</v>
      </c>
      <c r="S458">
        <v>260</v>
      </c>
      <c r="T458">
        <v>243</v>
      </c>
      <c r="U458">
        <v>11.5</v>
      </c>
      <c r="V458" t="s">
        <v>30</v>
      </c>
      <c r="W458" t="s">
        <v>376</v>
      </c>
      <c r="X458" t="s">
        <v>32</v>
      </c>
      <c r="Y458" t="s">
        <v>33</v>
      </c>
    </row>
    <row r="459" spans="1:25" x14ac:dyDescent="0.25">
      <c r="A459">
        <v>2025</v>
      </c>
      <c r="B459" t="s">
        <v>360</v>
      </c>
      <c r="C459" t="s">
        <v>360</v>
      </c>
      <c r="D459" t="s">
        <v>377</v>
      </c>
      <c r="E459" t="s">
        <v>28</v>
      </c>
      <c r="F459" t="s">
        <v>75</v>
      </c>
      <c r="G459">
        <v>89</v>
      </c>
      <c r="H459">
        <v>85</v>
      </c>
      <c r="I459">
        <v>87</v>
      </c>
      <c r="J459">
        <v>950</v>
      </c>
      <c r="K459">
        <v>9</v>
      </c>
      <c r="L459">
        <v>10</v>
      </c>
      <c r="M459">
        <v>4750</v>
      </c>
      <c r="N459" t="s">
        <v>30</v>
      </c>
      <c r="O459">
        <v>0</v>
      </c>
      <c r="P459">
        <v>0</v>
      </c>
      <c r="Q459">
        <v>0</v>
      </c>
      <c r="R459">
        <v>295</v>
      </c>
      <c r="S459">
        <v>301</v>
      </c>
      <c r="T459">
        <v>287</v>
      </c>
      <c r="U459">
        <v>13</v>
      </c>
      <c r="V459" t="s">
        <v>30</v>
      </c>
      <c r="W459" t="s">
        <v>378</v>
      </c>
      <c r="X459" t="s">
        <v>32</v>
      </c>
      <c r="Y459" t="s">
        <v>33</v>
      </c>
    </row>
    <row r="460" spans="1:25" x14ac:dyDescent="0.25">
      <c r="A460">
        <v>2025</v>
      </c>
      <c r="B460" t="s">
        <v>360</v>
      </c>
      <c r="C460" t="s">
        <v>360</v>
      </c>
      <c r="D460" t="s">
        <v>377</v>
      </c>
      <c r="E460" t="s">
        <v>28</v>
      </c>
      <c r="F460" t="s">
        <v>75</v>
      </c>
      <c r="G460">
        <v>38</v>
      </c>
      <c r="H460">
        <v>40</v>
      </c>
      <c r="I460">
        <v>39</v>
      </c>
      <c r="J460">
        <v>950</v>
      </c>
      <c r="K460">
        <v>9</v>
      </c>
      <c r="L460">
        <v>10</v>
      </c>
      <c r="M460">
        <v>4750</v>
      </c>
      <c r="N460" t="s">
        <v>30</v>
      </c>
      <c r="O460">
        <v>0</v>
      </c>
      <c r="P460">
        <v>0</v>
      </c>
      <c r="Q460">
        <v>0</v>
      </c>
      <c r="R460">
        <v>295</v>
      </c>
      <c r="S460">
        <v>301</v>
      </c>
      <c r="T460">
        <v>287</v>
      </c>
      <c r="U460">
        <v>13</v>
      </c>
      <c r="V460" t="s">
        <v>30</v>
      </c>
      <c r="W460" t="s">
        <v>378</v>
      </c>
      <c r="X460" t="s">
        <v>32</v>
      </c>
      <c r="Y460" t="s">
        <v>33</v>
      </c>
    </row>
    <row r="461" spans="1:25" x14ac:dyDescent="0.25">
      <c r="A461">
        <v>2025</v>
      </c>
      <c r="B461" t="s">
        <v>360</v>
      </c>
      <c r="C461" t="s">
        <v>360</v>
      </c>
      <c r="D461" t="s">
        <v>379</v>
      </c>
      <c r="E461" t="s">
        <v>28</v>
      </c>
      <c r="F461" t="s">
        <v>75</v>
      </c>
      <c r="G461">
        <v>94</v>
      </c>
      <c r="H461">
        <v>92</v>
      </c>
      <c r="I461">
        <v>93</v>
      </c>
      <c r="J461">
        <v>850</v>
      </c>
      <c r="K461">
        <v>9</v>
      </c>
      <c r="L461">
        <v>10</v>
      </c>
      <c r="M461">
        <v>5000</v>
      </c>
      <c r="N461" t="s">
        <v>30</v>
      </c>
      <c r="O461">
        <v>0</v>
      </c>
      <c r="P461">
        <v>0</v>
      </c>
      <c r="Q461">
        <v>0</v>
      </c>
      <c r="R461">
        <v>315</v>
      </c>
      <c r="S461">
        <v>319</v>
      </c>
      <c r="T461">
        <v>310</v>
      </c>
      <c r="U461">
        <v>13</v>
      </c>
      <c r="V461" t="s">
        <v>30</v>
      </c>
      <c r="W461" t="s">
        <v>380</v>
      </c>
      <c r="X461" t="s">
        <v>32</v>
      </c>
      <c r="Y461" t="s">
        <v>33</v>
      </c>
    </row>
    <row r="462" spans="1:25" x14ac:dyDescent="0.25">
      <c r="A462">
        <v>2025</v>
      </c>
      <c r="B462" t="s">
        <v>360</v>
      </c>
      <c r="C462" t="s">
        <v>360</v>
      </c>
      <c r="D462" t="s">
        <v>379</v>
      </c>
      <c r="E462" t="s">
        <v>28</v>
      </c>
      <c r="F462" t="s">
        <v>75</v>
      </c>
      <c r="G462">
        <v>36</v>
      </c>
      <c r="H462">
        <v>37</v>
      </c>
      <c r="I462">
        <v>36</v>
      </c>
      <c r="J462">
        <v>850</v>
      </c>
      <c r="K462">
        <v>9</v>
      </c>
      <c r="L462">
        <v>10</v>
      </c>
      <c r="M462">
        <v>5000</v>
      </c>
      <c r="N462" t="s">
        <v>30</v>
      </c>
      <c r="O462">
        <v>0</v>
      </c>
      <c r="P462">
        <v>0</v>
      </c>
      <c r="Q462">
        <v>0</v>
      </c>
      <c r="R462">
        <v>315</v>
      </c>
      <c r="S462">
        <v>319</v>
      </c>
      <c r="T462">
        <v>310</v>
      </c>
      <c r="U462">
        <v>13</v>
      </c>
      <c r="V462" t="s">
        <v>30</v>
      </c>
      <c r="W462" t="s">
        <v>380</v>
      </c>
      <c r="X462" t="s">
        <v>32</v>
      </c>
      <c r="Y462" t="s">
        <v>33</v>
      </c>
    </row>
    <row r="463" spans="1:25" x14ac:dyDescent="0.25">
      <c r="A463">
        <v>2025</v>
      </c>
      <c r="B463" t="s">
        <v>360</v>
      </c>
      <c r="C463" t="s">
        <v>360</v>
      </c>
      <c r="D463" t="s">
        <v>381</v>
      </c>
      <c r="E463" t="s">
        <v>28</v>
      </c>
      <c r="F463" t="s">
        <v>186</v>
      </c>
      <c r="G463">
        <v>82</v>
      </c>
      <c r="H463">
        <v>77</v>
      </c>
      <c r="I463">
        <v>80</v>
      </c>
      <c r="J463">
        <v>1000</v>
      </c>
      <c r="K463">
        <v>9</v>
      </c>
      <c r="L463">
        <v>10</v>
      </c>
      <c r="M463">
        <v>4500</v>
      </c>
      <c r="N463" t="s">
        <v>30</v>
      </c>
      <c r="O463">
        <v>0</v>
      </c>
      <c r="P463">
        <v>0</v>
      </c>
      <c r="Q463">
        <v>0</v>
      </c>
      <c r="R463">
        <v>272</v>
      </c>
      <c r="S463">
        <v>279</v>
      </c>
      <c r="T463">
        <v>263</v>
      </c>
      <c r="U463">
        <v>13</v>
      </c>
      <c r="V463" t="s">
        <v>30</v>
      </c>
      <c r="W463" t="s">
        <v>382</v>
      </c>
      <c r="X463" t="s">
        <v>32</v>
      </c>
      <c r="Y463" t="s">
        <v>33</v>
      </c>
    </row>
    <row r="464" spans="1:25" x14ac:dyDescent="0.25">
      <c r="A464">
        <v>2025</v>
      </c>
      <c r="B464" t="s">
        <v>360</v>
      </c>
      <c r="C464" t="s">
        <v>360</v>
      </c>
      <c r="D464" t="s">
        <v>381</v>
      </c>
      <c r="E464" t="s">
        <v>28</v>
      </c>
      <c r="F464" t="s">
        <v>186</v>
      </c>
      <c r="G464">
        <v>41</v>
      </c>
      <c r="H464">
        <v>44</v>
      </c>
      <c r="I464">
        <v>42</v>
      </c>
      <c r="J464">
        <v>1000</v>
      </c>
      <c r="K464">
        <v>9</v>
      </c>
      <c r="L464">
        <v>10</v>
      </c>
      <c r="M464">
        <v>4500</v>
      </c>
      <c r="N464" t="s">
        <v>30</v>
      </c>
      <c r="O464">
        <v>0</v>
      </c>
      <c r="P464">
        <v>0</v>
      </c>
      <c r="Q464">
        <v>0</v>
      </c>
      <c r="R464">
        <v>272</v>
      </c>
      <c r="S464">
        <v>279</v>
      </c>
      <c r="T464">
        <v>263</v>
      </c>
      <c r="U464">
        <v>13</v>
      </c>
      <c r="V464" t="s">
        <v>30</v>
      </c>
      <c r="W464" t="s">
        <v>382</v>
      </c>
      <c r="X464" t="s">
        <v>32</v>
      </c>
      <c r="Y464" t="s">
        <v>33</v>
      </c>
    </row>
    <row r="465" spans="1:25" x14ac:dyDescent="0.25">
      <c r="A465">
        <v>2025</v>
      </c>
      <c r="B465" t="s">
        <v>360</v>
      </c>
      <c r="C465" t="s">
        <v>360</v>
      </c>
      <c r="D465" t="s">
        <v>383</v>
      </c>
      <c r="E465" t="s">
        <v>28</v>
      </c>
      <c r="F465" t="s">
        <v>75</v>
      </c>
      <c r="G465">
        <v>88</v>
      </c>
      <c r="H465">
        <v>83</v>
      </c>
      <c r="I465">
        <v>86</v>
      </c>
      <c r="J465">
        <v>950</v>
      </c>
      <c r="K465">
        <v>9</v>
      </c>
      <c r="L465">
        <v>10</v>
      </c>
      <c r="M465">
        <v>4750</v>
      </c>
      <c r="N465" t="s">
        <v>30</v>
      </c>
      <c r="O465">
        <v>0</v>
      </c>
      <c r="P465">
        <v>0</v>
      </c>
      <c r="Q465">
        <v>0</v>
      </c>
      <c r="R465">
        <v>292</v>
      </c>
      <c r="S465">
        <v>299</v>
      </c>
      <c r="T465">
        <v>284</v>
      </c>
      <c r="U465">
        <v>13</v>
      </c>
      <c r="V465" t="s">
        <v>30</v>
      </c>
      <c r="W465" t="s">
        <v>384</v>
      </c>
      <c r="X465" t="s">
        <v>32</v>
      </c>
      <c r="Y465" t="s">
        <v>33</v>
      </c>
    </row>
    <row r="466" spans="1:25" x14ac:dyDescent="0.25">
      <c r="A466">
        <v>2025</v>
      </c>
      <c r="B466" t="s">
        <v>360</v>
      </c>
      <c r="C466" t="s">
        <v>360</v>
      </c>
      <c r="D466" t="s">
        <v>383</v>
      </c>
      <c r="E466" t="s">
        <v>28</v>
      </c>
      <c r="F466" t="s">
        <v>75</v>
      </c>
      <c r="G466">
        <v>38</v>
      </c>
      <c r="H466">
        <v>40</v>
      </c>
      <c r="I466">
        <v>39</v>
      </c>
      <c r="J466">
        <v>950</v>
      </c>
      <c r="K466">
        <v>9</v>
      </c>
      <c r="L466">
        <v>10</v>
      </c>
      <c r="M466">
        <v>4750</v>
      </c>
      <c r="N466" t="s">
        <v>30</v>
      </c>
      <c r="O466">
        <v>0</v>
      </c>
      <c r="P466">
        <v>0</v>
      </c>
      <c r="Q466">
        <v>0</v>
      </c>
      <c r="R466">
        <v>292</v>
      </c>
      <c r="S466">
        <v>299</v>
      </c>
      <c r="T466">
        <v>284</v>
      </c>
      <c r="U466">
        <v>13</v>
      </c>
      <c r="V466" t="s">
        <v>30</v>
      </c>
      <c r="W466" t="s">
        <v>384</v>
      </c>
      <c r="X466" t="s">
        <v>32</v>
      </c>
      <c r="Y466" t="s">
        <v>33</v>
      </c>
    </row>
    <row r="467" spans="1:25" x14ac:dyDescent="0.25">
      <c r="A467">
        <v>2025</v>
      </c>
      <c r="B467" t="s">
        <v>360</v>
      </c>
      <c r="C467" t="s">
        <v>360</v>
      </c>
      <c r="D467" t="s">
        <v>385</v>
      </c>
      <c r="E467" t="s">
        <v>28</v>
      </c>
      <c r="F467" t="s">
        <v>75</v>
      </c>
      <c r="G467">
        <v>94</v>
      </c>
      <c r="H467">
        <v>92</v>
      </c>
      <c r="I467">
        <v>93</v>
      </c>
      <c r="J467">
        <v>850</v>
      </c>
      <c r="K467">
        <v>9</v>
      </c>
      <c r="L467">
        <v>10</v>
      </c>
      <c r="M467">
        <v>5250</v>
      </c>
      <c r="N467" t="s">
        <v>30</v>
      </c>
      <c r="O467">
        <v>0</v>
      </c>
      <c r="P467">
        <v>0</v>
      </c>
      <c r="Q467">
        <v>0</v>
      </c>
      <c r="R467">
        <v>317</v>
      </c>
      <c r="S467">
        <v>319</v>
      </c>
      <c r="T467">
        <v>314</v>
      </c>
      <c r="U467">
        <v>13</v>
      </c>
      <c r="V467" t="s">
        <v>30</v>
      </c>
      <c r="W467" t="s">
        <v>384</v>
      </c>
      <c r="X467" t="s">
        <v>32</v>
      </c>
      <c r="Y467" t="s">
        <v>33</v>
      </c>
    </row>
    <row r="468" spans="1:25" x14ac:dyDescent="0.25">
      <c r="A468">
        <v>2025</v>
      </c>
      <c r="B468" t="s">
        <v>360</v>
      </c>
      <c r="C468" t="s">
        <v>360</v>
      </c>
      <c r="D468" t="s">
        <v>385</v>
      </c>
      <c r="E468" t="s">
        <v>28</v>
      </c>
      <c r="F468" t="s">
        <v>75</v>
      </c>
      <c r="G468">
        <v>36</v>
      </c>
      <c r="H468">
        <v>37</v>
      </c>
      <c r="I468">
        <v>36</v>
      </c>
      <c r="J468">
        <v>850</v>
      </c>
      <c r="K468">
        <v>9</v>
      </c>
      <c r="L468">
        <v>10</v>
      </c>
      <c r="M468">
        <v>5250</v>
      </c>
      <c r="N468" t="s">
        <v>30</v>
      </c>
      <c r="O468">
        <v>0</v>
      </c>
      <c r="P468">
        <v>0</v>
      </c>
      <c r="Q468">
        <v>0</v>
      </c>
      <c r="R468">
        <v>317</v>
      </c>
      <c r="S468">
        <v>319</v>
      </c>
      <c r="T468">
        <v>314</v>
      </c>
      <c r="U468">
        <v>13</v>
      </c>
      <c r="V468" t="s">
        <v>30</v>
      </c>
      <c r="W468" t="s">
        <v>384</v>
      </c>
      <c r="X468" t="s">
        <v>32</v>
      </c>
      <c r="Y468" t="s">
        <v>33</v>
      </c>
    </row>
    <row r="469" spans="1:25" x14ac:dyDescent="0.25">
      <c r="A469">
        <v>2025</v>
      </c>
      <c r="B469" t="s">
        <v>360</v>
      </c>
      <c r="C469" t="s">
        <v>360</v>
      </c>
      <c r="D469" t="s">
        <v>386</v>
      </c>
      <c r="E469" t="s">
        <v>28</v>
      </c>
      <c r="F469" t="s">
        <v>186</v>
      </c>
      <c r="G469">
        <v>80</v>
      </c>
      <c r="H469">
        <v>76</v>
      </c>
      <c r="I469">
        <v>78</v>
      </c>
      <c r="J469">
        <v>1050</v>
      </c>
      <c r="K469">
        <v>9</v>
      </c>
      <c r="L469">
        <v>10</v>
      </c>
      <c r="M469">
        <v>4250</v>
      </c>
      <c r="N469" t="s">
        <v>30</v>
      </c>
      <c r="O469">
        <v>0</v>
      </c>
      <c r="P469">
        <v>0</v>
      </c>
      <c r="Q469">
        <v>0</v>
      </c>
      <c r="R469">
        <v>265</v>
      </c>
      <c r="S469">
        <v>271</v>
      </c>
      <c r="T469">
        <v>258</v>
      </c>
      <c r="U469">
        <v>13</v>
      </c>
      <c r="V469" t="s">
        <v>30</v>
      </c>
      <c r="W469" t="s">
        <v>387</v>
      </c>
      <c r="X469" t="s">
        <v>32</v>
      </c>
      <c r="Y469" t="s">
        <v>33</v>
      </c>
    </row>
    <row r="470" spans="1:25" x14ac:dyDescent="0.25">
      <c r="A470">
        <v>2025</v>
      </c>
      <c r="B470" t="s">
        <v>360</v>
      </c>
      <c r="C470" t="s">
        <v>360</v>
      </c>
      <c r="D470" t="s">
        <v>386</v>
      </c>
      <c r="E470" t="s">
        <v>28</v>
      </c>
      <c r="F470" t="s">
        <v>186</v>
      </c>
      <c r="G470">
        <v>42</v>
      </c>
      <c r="H470">
        <v>44</v>
      </c>
      <c r="I470">
        <v>43</v>
      </c>
      <c r="J470">
        <v>1050</v>
      </c>
      <c r="K470">
        <v>9</v>
      </c>
      <c r="L470">
        <v>10</v>
      </c>
      <c r="M470">
        <v>4250</v>
      </c>
      <c r="N470" t="s">
        <v>30</v>
      </c>
      <c r="O470">
        <v>0</v>
      </c>
      <c r="P470">
        <v>0</v>
      </c>
      <c r="Q470">
        <v>0</v>
      </c>
      <c r="R470">
        <v>265</v>
      </c>
      <c r="S470">
        <v>271</v>
      </c>
      <c r="T470">
        <v>258</v>
      </c>
      <c r="U470">
        <v>13</v>
      </c>
      <c r="V470" t="s">
        <v>30</v>
      </c>
      <c r="W470" t="s">
        <v>387</v>
      </c>
      <c r="X470" t="s">
        <v>32</v>
      </c>
      <c r="Y470" t="s">
        <v>33</v>
      </c>
    </row>
    <row r="471" spans="1:25" x14ac:dyDescent="0.25">
      <c r="A471">
        <v>2025</v>
      </c>
      <c r="B471" t="s">
        <v>360</v>
      </c>
      <c r="C471" t="s">
        <v>360</v>
      </c>
      <c r="D471" t="s">
        <v>388</v>
      </c>
      <c r="E471" t="s">
        <v>28</v>
      </c>
      <c r="F471" t="s">
        <v>75</v>
      </c>
      <c r="G471">
        <v>80</v>
      </c>
      <c r="H471">
        <v>78</v>
      </c>
      <c r="I471">
        <v>79</v>
      </c>
      <c r="J471">
        <v>1050</v>
      </c>
      <c r="K471">
        <v>9</v>
      </c>
      <c r="L471">
        <v>10</v>
      </c>
      <c r="M471">
        <v>4250</v>
      </c>
      <c r="N471" t="s">
        <v>30</v>
      </c>
      <c r="O471">
        <v>0</v>
      </c>
      <c r="P471">
        <v>0</v>
      </c>
      <c r="Q471">
        <v>0</v>
      </c>
      <c r="R471">
        <v>266</v>
      </c>
      <c r="S471">
        <v>270</v>
      </c>
      <c r="T471">
        <v>262</v>
      </c>
      <c r="U471">
        <v>13</v>
      </c>
      <c r="V471" t="s">
        <v>30</v>
      </c>
      <c r="W471" t="s">
        <v>372</v>
      </c>
      <c r="X471" t="s">
        <v>32</v>
      </c>
      <c r="Y471" t="s">
        <v>33</v>
      </c>
    </row>
    <row r="472" spans="1:25" x14ac:dyDescent="0.25">
      <c r="A472">
        <v>2025</v>
      </c>
      <c r="B472" t="s">
        <v>360</v>
      </c>
      <c r="C472" t="s">
        <v>360</v>
      </c>
      <c r="D472" t="s">
        <v>388</v>
      </c>
      <c r="E472" t="s">
        <v>28</v>
      </c>
      <c r="F472" t="s">
        <v>75</v>
      </c>
      <c r="G472">
        <v>42</v>
      </c>
      <c r="H472">
        <v>43</v>
      </c>
      <c r="I472">
        <v>43</v>
      </c>
      <c r="J472">
        <v>1050</v>
      </c>
      <c r="K472">
        <v>9</v>
      </c>
      <c r="L472">
        <v>10</v>
      </c>
      <c r="M472">
        <v>4250</v>
      </c>
      <c r="N472" t="s">
        <v>30</v>
      </c>
      <c r="O472">
        <v>0</v>
      </c>
      <c r="P472">
        <v>0</v>
      </c>
      <c r="Q472">
        <v>0</v>
      </c>
      <c r="R472">
        <v>266</v>
      </c>
      <c r="S472">
        <v>270</v>
      </c>
      <c r="T472">
        <v>262</v>
      </c>
      <c r="U472">
        <v>13</v>
      </c>
      <c r="V472" t="s">
        <v>30</v>
      </c>
      <c r="W472" t="s">
        <v>372</v>
      </c>
      <c r="X472" t="s">
        <v>32</v>
      </c>
      <c r="Y472" t="s">
        <v>33</v>
      </c>
    </row>
    <row r="473" spans="1:25" x14ac:dyDescent="0.25">
      <c r="A473">
        <v>2025</v>
      </c>
      <c r="B473" t="s">
        <v>360</v>
      </c>
      <c r="C473" t="s">
        <v>360</v>
      </c>
      <c r="D473" t="s">
        <v>389</v>
      </c>
      <c r="E473" t="s">
        <v>28</v>
      </c>
      <c r="F473" t="s">
        <v>75</v>
      </c>
      <c r="G473">
        <v>90</v>
      </c>
      <c r="H473">
        <v>90</v>
      </c>
      <c r="I473">
        <v>90</v>
      </c>
      <c r="J473">
        <v>900</v>
      </c>
      <c r="K473">
        <v>9</v>
      </c>
      <c r="L473">
        <v>10</v>
      </c>
      <c r="M473">
        <v>5000</v>
      </c>
      <c r="N473" t="s">
        <v>30</v>
      </c>
      <c r="O473">
        <v>0</v>
      </c>
      <c r="P473">
        <v>0</v>
      </c>
      <c r="Q473">
        <v>0</v>
      </c>
      <c r="R473">
        <v>298</v>
      </c>
      <c r="S473">
        <v>298</v>
      </c>
      <c r="T473">
        <v>297</v>
      </c>
      <c r="U473">
        <v>13</v>
      </c>
      <c r="V473" t="s">
        <v>30</v>
      </c>
      <c r="W473" t="s">
        <v>390</v>
      </c>
      <c r="X473" t="s">
        <v>32</v>
      </c>
      <c r="Y473" t="s">
        <v>33</v>
      </c>
    </row>
    <row r="474" spans="1:25" x14ac:dyDescent="0.25">
      <c r="A474">
        <v>2025</v>
      </c>
      <c r="B474" t="s">
        <v>360</v>
      </c>
      <c r="C474" t="s">
        <v>360</v>
      </c>
      <c r="D474" t="s">
        <v>389</v>
      </c>
      <c r="E474" t="s">
        <v>28</v>
      </c>
      <c r="F474" t="s">
        <v>75</v>
      </c>
      <c r="G474">
        <v>38</v>
      </c>
      <c r="H474">
        <v>38</v>
      </c>
      <c r="I474">
        <v>38</v>
      </c>
      <c r="J474">
        <v>900</v>
      </c>
      <c r="K474">
        <v>9</v>
      </c>
      <c r="L474">
        <v>10</v>
      </c>
      <c r="M474">
        <v>5000</v>
      </c>
      <c r="N474" t="s">
        <v>30</v>
      </c>
      <c r="O474">
        <v>0</v>
      </c>
      <c r="P474">
        <v>0</v>
      </c>
      <c r="Q474">
        <v>0</v>
      </c>
      <c r="R474">
        <v>298</v>
      </c>
      <c r="S474">
        <v>298</v>
      </c>
      <c r="T474">
        <v>297</v>
      </c>
      <c r="U474">
        <v>13</v>
      </c>
      <c r="V474" t="s">
        <v>30</v>
      </c>
      <c r="W474" t="s">
        <v>390</v>
      </c>
      <c r="X474" t="s">
        <v>32</v>
      </c>
      <c r="Y474" t="s">
        <v>33</v>
      </c>
    </row>
    <row r="475" spans="1:25" x14ac:dyDescent="0.25">
      <c r="A475">
        <v>2025</v>
      </c>
      <c r="B475" t="s">
        <v>360</v>
      </c>
      <c r="C475" t="s">
        <v>360</v>
      </c>
      <c r="D475" t="s">
        <v>391</v>
      </c>
      <c r="E475" t="s">
        <v>28</v>
      </c>
      <c r="F475" t="s">
        <v>186</v>
      </c>
      <c r="G475">
        <v>79</v>
      </c>
      <c r="H475">
        <v>75</v>
      </c>
      <c r="I475">
        <v>77</v>
      </c>
      <c r="J475">
        <v>1050</v>
      </c>
      <c r="K475">
        <v>9</v>
      </c>
      <c r="L475">
        <v>10</v>
      </c>
      <c r="M475">
        <v>4250</v>
      </c>
      <c r="N475" t="s">
        <v>30</v>
      </c>
      <c r="O475">
        <v>0</v>
      </c>
      <c r="P475">
        <v>0</v>
      </c>
      <c r="Q475">
        <v>0</v>
      </c>
      <c r="R475">
        <v>261</v>
      </c>
      <c r="S475">
        <v>255</v>
      </c>
      <c r="T475">
        <v>268</v>
      </c>
      <c r="U475">
        <v>13</v>
      </c>
      <c r="V475" t="s">
        <v>30</v>
      </c>
      <c r="W475" t="s">
        <v>392</v>
      </c>
      <c r="X475" t="s">
        <v>32</v>
      </c>
      <c r="Y475" t="s">
        <v>33</v>
      </c>
    </row>
    <row r="476" spans="1:25" x14ac:dyDescent="0.25">
      <c r="A476">
        <v>2025</v>
      </c>
      <c r="B476" t="s">
        <v>360</v>
      </c>
      <c r="C476" t="s">
        <v>360</v>
      </c>
      <c r="D476" t="s">
        <v>391</v>
      </c>
      <c r="E476" t="s">
        <v>28</v>
      </c>
      <c r="F476" t="s">
        <v>186</v>
      </c>
      <c r="G476">
        <v>43</v>
      </c>
      <c r="H476">
        <v>45</v>
      </c>
      <c r="I476">
        <v>44</v>
      </c>
      <c r="J476">
        <v>1050</v>
      </c>
      <c r="K476">
        <v>9</v>
      </c>
      <c r="L476">
        <v>10</v>
      </c>
      <c r="M476">
        <v>4250</v>
      </c>
      <c r="N476" t="s">
        <v>30</v>
      </c>
      <c r="O476">
        <v>0</v>
      </c>
      <c r="P476">
        <v>0</v>
      </c>
      <c r="Q476">
        <v>0</v>
      </c>
      <c r="R476">
        <v>261</v>
      </c>
      <c r="S476">
        <v>268</v>
      </c>
      <c r="T476">
        <v>315</v>
      </c>
      <c r="U476">
        <v>13</v>
      </c>
      <c r="V476" t="s">
        <v>30</v>
      </c>
      <c r="W476" t="s">
        <v>392</v>
      </c>
      <c r="X476" t="s">
        <v>32</v>
      </c>
      <c r="Y476" t="s">
        <v>33</v>
      </c>
    </row>
    <row r="477" spans="1:25" x14ac:dyDescent="0.25">
      <c r="A477">
        <v>2025</v>
      </c>
      <c r="B477" t="s">
        <v>360</v>
      </c>
      <c r="C477" t="s">
        <v>360</v>
      </c>
      <c r="D477" t="s">
        <v>393</v>
      </c>
      <c r="E477" t="s">
        <v>28</v>
      </c>
      <c r="F477" t="s">
        <v>75</v>
      </c>
      <c r="G477">
        <v>86</v>
      </c>
      <c r="H477">
        <v>78</v>
      </c>
      <c r="I477">
        <v>82</v>
      </c>
      <c r="J477">
        <v>1000</v>
      </c>
      <c r="K477">
        <v>9</v>
      </c>
      <c r="L477">
        <v>10</v>
      </c>
      <c r="M477">
        <v>4500</v>
      </c>
      <c r="N477" t="s">
        <v>30</v>
      </c>
      <c r="O477">
        <v>0</v>
      </c>
      <c r="P477">
        <v>0</v>
      </c>
      <c r="Q477">
        <v>0</v>
      </c>
      <c r="R477">
        <v>276</v>
      </c>
      <c r="S477">
        <v>288</v>
      </c>
      <c r="T477">
        <v>261</v>
      </c>
      <c r="U477">
        <v>13</v>
      </c>
      <c r="V477" t="s">
        <v>30</v>
      </c>
      <c r="W477" t="s">
        <v>392</v>
      </c>
      <c r="X477" t="s">
        <v>32</v>
      </c>
      <c r="Y477" t="s">
        <v>33</v>
      </c>
    </row>
    <row r="478" spans="1:25" x14ac:dyDescent="0.25">
      <c r="A478">
        <v>2025</v>
      </c>
      <c r="B478" t="s">
        <v>360</v>
      </c>
      <c r="C478" t="s">
        <v>360</v>
      </c>
      <c r="D478" t="s">
        <v>393</v>
      </c>
      <c r="E478" t="s">
        <v>28</v>
      </c>
      <c r="F478" t="s">
        <v>75</v>
      </c>
      <c r="G478">
        <v>39</v>
      </c>
      <c r="H478">
        <v>43</v>
      </c>
      <c r="I478">
        <v>41</v>
      </c>
      <c r="J478">
        <v>1000</v>
      </c>
      <c r="K478">
        <v>9</v>
      </c>
      <c r="L478">
        <v>10</v>
      </c>
      <c r="M478">
        <v>4500</v>
      </c>
      <c r="N478" t="s">
        <v>30</v>
      </c>
      <c r="O478">
        <v>0</v>
      </c>
      <c r="P478">
        <v>0</v>
      </c>
      <c r="Q478">
        <v>0</v>
      </c>
      <c r="R478">
        <v>276</v>
      </c>
      <c r="S478">
        <v>288</v>
      </c>
      <c r="T478">
        <v>261</v>
      </c>
      <c r="U478">
        <v>13</v>
      </c>
      <c r="V478" t="s">
        <v>30</v>
      </c>
      <c r="W478" t="s">
        <v>392</v>
      </c>
      <c r="X478" t="s">
        <v>32</v>
      </c>
      <c r="Y478" t="s">
        <v>33</v>
      </c>
    </row>
    <row r="479" spans="1:25" x14ac:dyDescent="0.25">
      <c r="A479">
        <v>2025</v>
      </c>
      <c r="B479" t="s">
        <v>360</v>
      </c>
      <c r="C479" t="s">
        <v>360</v>
      </c>
      <c r="D479" t="s">
        <v>394</v>
      </c>
      <c r="E479" t="s">
        <v>28</v>
      </c>
      <c r="F479" t="s">
        <v>75</v>
      </c>
      <c r="G479">
        <v>85</v>
      </c>
      <c r="H479">
        <v>76</v>
      </c>
      <c r="I479">
        <v>81</v>
      </c>
      <c r="J479">
        <v>1000</v>
      </c>
      <c r="K479">
        <v>9</v>
      </c>
      <c r="L479">
        <v>10</v>
      </c>
      <c r="M479">
        <v>4500</v>
      </c>
      <c r="N479" t="s">
        <v>30</v>
      </c>
      <c r="O479">
        <v>0</v>
      </c>
      <c r="P479">
        <v>0</v>
      </c>
      <c r="Q479">
        <v>0</v>
      </c>
      <c r="R479">
        <v>269</v>
      </c>
      <c r="S479">
        <v>282</v>
      </c>
      <c r="T479">
        <v>253</v>
      </c>
      <c r="U479">
        <v>13</v>
      </c>
      <c r="V479" t="s">
        <v>30</v>
      </c>
      <c r="W479" t="s">
        <v>384</v>
      </c>
      <c r="X479" t="s">
        <v>32</v>
      </c>
      <c r="Y479" t="s">
        <v>33</v>
      </c>
    </row>
    <row r="480" spans="1:25" x14ac:dyDescent="0.25">
      <c r="A480">
        <v>2025</v>
      </c>
      <c r="B480" t="s">
        <v>360</v>
      </c>
      <c r="C480" t="s">
        <v>360</v>
      </c>
      <c r="D480" t="s">
        <v>394</v>
      </c>
      <c r="E480" t="s">
        <v>28</v>
      </c>
      <c r="F480" t="s">
        <v>75</v>
      </c>
      <c r="G480">
        <v>40</v>
      </c>
      <c r="H480">
        <v>44</v>
      </c>
      <c r="I480">
        <v>42</v>
      </c>
      <c r="J480">
        <v>1000</v>
      </c>
      <c r="K480">
        <v>9</v>
      </c>
      <c r="L480">
        <v>10</v>
      </c>
      <c r="M480">
        <v>4500</v>
      </c>
      <c r="N480" t="s">
        <v>30</v>
      </c>
      <c r="O480">
        <v>0</v>
      </c>
      <c r="P480">
        <v>0</v>
      </c>
      <c r="Q480">
        <v>0</v>
      </c>
      <c r="R480">
        <v>269</v>
      </c>
      <c r="S480">
        <v>282</v>
      </c>
      <c r="T480">
        <v>253</v>
      </c>
      <c r="U480">
        <v>13</v>
      </c>
      <c r="V480" t="s">
        <v>30</v>
      </c>
      <c r="W480" t="s">
        <v>384</v>
      </c>
      <c r="X480" t="s">
        <v>32</v>
      </c>
      <c r="Y480" t="s">
        <v>33</v>
      </c>
    </row>
    <row r="481" spans="1:25" x14ac:dyDescent="0.25">
      <c r="A481">
        <v>2025</v>
      </c>
      <c r="B481" t="s">
        <v>360</v>
      </c>
      <c r="C481" t="s">
        <v>360</v>
      </c>
      <c r="D481" t="s">
        <v>395</v>
      </c>
      <c r="E481" t="s">
        <v>28</v>
      </c>
      <c r="F481" t="s">
        <v>75</v>
      </c>
      <c r="G481">
        <v>88</v>
      </c>
      <c r="H481">
        <v>85</v>
      </c>
      <c r="I481">
        <v>86</v>
      </c>
      <c r="J481">
        <v>950</v>
      </c>
      <c r="K481">
        <v>9</v>
      </c>
      <c r="L481">
        <v>10</v>
      </c>
      <c r="M481">
        <v>4750</v>
      </c>
      <c r="N481" t="s">
        <v>30</v>
      </c>
      <c r="O481">
        <v>0</v>
      </c>
      <c r="P481">
        <v>0</v>
      </c>
      <c r="Q481">
        <v>0</v>
      </c>
      <c r="R481">
        <v>293</v>
      </c>
      <c r="S481">
        <v>298</v>
      </c>
      <c r="T481">
        <v>287</v>
      </c>
      <c r="U481">
        <v>13</v>
      </c>
      <c r="V481" t="s">
        <v>30</v>
      </c>
      <c r="W481" t="s">
        <v>372</v>
      </c>
      <c r="X481" t="s">
        <v>32</v>
      </c>
      <c r="Y481" t="s">
        <v>33</v>
      </c>
    </row>
    <row r="482" spans="1:25" x14ac:dyDescent="0.25">
      <c r="A482">
        <v>2025</v>
      </c>
      <c r="B482" t="s">
        <v>360</v>
      </c>
      <c r="C482" t="s">
        <v>360</v>
      </c>
      <c r="D482" t="s">
        <v>395</v>
      </c>
      <c r="E482" t="s">
        <v>28</v>
      </c>
      <c r="F482" t="s">
        <v>75</v>
      </c>
      <c r="G482">
        <v>38</v>
      </c>
      <c r="H482">
        <v>40</v>
      </c>
      <c r="I482">
        <v>39</v>
      </c>
      <c r="J482">
        <v>950</v>
      </c>
      <c r="K482">
        <v>9</v>
      </c>
      <c r="L482">
        <v>10</v>
      </c>
      <c r="M482">
        <v>4750</v>
      </c>
      <c r="N482" t="s">
        <v>30</v>
      </c>
      <c r="O482">
        <v>0</v>
      </c>
      <c r="P482">
        <v>0</v>
      </c>
      <c r="Q482">
        <v>0</v>
      </c>
      <c r="R482">
        <v>293</v>
      </c>
      <c r="S482">
        <v>298</v>
      </c>
      <c r="T482">
        <v>287</v>
      </c>
      <c r="U482">
        <v>13</v>
      </c>
      <c r="V482" t="s">
        <v>30</v>
      </c>
      <c r="W482" t="s">
        <v>372</v>
      </c>
      <c r="X482" t="s">
        <v>32</v>
      </c>
      <c r="Y482" t="s">
        <v>33</v>
      </c>
    </row>
    <row r="483" spans="1:25" x14ac:dyDescent="0.25">
      <c r="A483">
        <v>2025</v>
      </c>
      <c r="B483" t="s">
        <v>360</v>
      </c>
      <c r="C483" t="s">
        <v>360</v>
      </c>
      <c r="D483" t="s">
        <v>396</v>
      </c>
      <c r="E483" t="s">
        <v>28</v>
      </c>
      <c r="F483" t="s">
        <v>75</v>
      </c>
      <c r="G483">
        <v>84</v>
      </c>
      <c r="H483">
        <v>80</v>
      </c>
      <c r="I483">
        <v>82</v>
      </c>
      <c r="J483">
        <v>1000</v>
      </c>
      <c r="K483">
        <v>9</v>
      </c>
      <c r="L483">
        <v>10</v>
      </c>
      <c r="M483">
        <v>4500</v>
      </c>
      <c r="N483" t="s">
        <v>30</v>
      </c>
      <c r="O483">
        <v>0</v>
      </c>
      <c r="P483">
        <v>0</v>
      </c>
      <c r="Q483">
        <v>0</v>
      </c>
      <c r="R483">
        <v>279</v>
      </c>
      <c r="S483">
        <v>284</v>
      </c>
      <c r="T483">
        <v>272</v>
      </c>
      <c r="U483">
        <v>13</v>
      </c>
      <c r="V483" t="s">
        <v>30</v>
      </c>
      <c r="W483" t="s">
        <v>372</v>
      </c>
      <c r="X483" t="s">
        <v>32</v>
      </c>
      <c r="Y483" t="s">
        <v>33</v>
      </c>
    </row>
    <row r="484" spans="1:25" x14ac:dyDescent="0.25">
      <c r="A484">
        <v>2025</v>
      </c>
      <c r="B484" t="s">
        <v>360</v>
      </c>
      <c r="C484" t="s">
        <v>360</v>
      </c>
      <c r="D484" t="s">
        <v>396</v>
      </c>
      <c r="E484" t="s">
        <v>28</v>
      </c>
      <c r="F484" t="s">
        <v>75</v>
      </c>
      <c r="G484">
        <v>40</v>
      </c>
      <c r="H484">
        <v>42</v>
      </c>
      <c r="I484">
        <v>41</v>
      </c>
      <c r="J484">
        <v>1000</v>
      </c>
      <c r="K484">
        <v>9</v>
      </c>
      <c r="L484">
        <v>10</v>
      </c>
      <c r="M484">
        <v>4500</v>
      </c>
      <c r="N484" t="s">
        <v>30</v>
      </c>
      <c r="O484">
        <v>0</v>
      </c>
      <c r="P484">
        <v>0</v>
      </c>
      <c r="Q484">
        <v>0</v>
      </c>
      <c r="R484">
        <v>279</v>
      </c>
      <c r="S484">
        <v>284</v>
      </c>
      <c r="T484">
        <v>272</v>
      </c>
      <c r="U484">
        <v>13</v>
      </c>
      <c r="V484" t="s">
        <v>30</v>
      </c>
      <c r="W484" t="s">
        <v>372</v>
      </c>
      <c r="X484" t="s">
        <v>32</v>
      </c>
      <c r="Y484" t="s">
        <v>33</v>
      </c>
    </row>
    <row r="485" spans="1:25" x14ac:dyDescent="0.25">
      <c r="A485">
        <v>2025</v>
      </c>
      <c r="B485" t="s">
        <v>397</v>
      </c>
      <c r="C485" t="s">
        <v>398</v>
      </c>
      <c r="D485" t="s">
        <v>399</v>
      </c>
      <c r="E485" t="s">
        <v>400</v>
      </c>
      <c r="F485" t="s">
        <v>135</v>
      </c>
      <c r="G485">
        <v>92</v>
      </c>
      <c r="H485">
        <v>77</v>
      </c>
      <c r="I485">
        <v>85</v>
      </c>
      <c r="J485">
        <v>950</v>
      </c>
      <c r="K485">
        <v>9</v>
      </c>
      <c r="L485">
        <v>10</v>
      </c>
      <c r="M485">
        <v>4750</v>
      </c>
      <c r="N485" t="s">
        <v>30</v>
      </c>
      <c r="O485">
        <v>0</v>
      </c>
      <c r="P485">
        <v>0</v>
      </c>
      <c r="Q485">
        <v>0</v>
      </c>
      <c r="R485">
        <v>270</v>
      </c>
      <c r="S485">
        <v>291</v>
      </c>
      <c r="T485">
        <v>244</v>
      </c>
      <c r="U485">
        <v>9.5</v>
      </c>
      <c r="V485" t="s">
        <v>30</v>
      </c>
      <c r="W485" t="s">
        <v>401</v>
      </c>
      <c r="X485" t="s">
        <v>402</v>
      </c>
      <c r="Y485" t="s">
        <v>33</v>
      </c>
    </row>
    <row r="486" spans="1:25" x14ac:dyDescent="0.25">
      <c r="A486">
        <v>2025</v>
      </c>
      <c r="B486" t="s">
        <v>397</v>
      </c>
      <c r="C486" t="s">
        <v>398</v>
      </c>
      <c r="D486" t="s">
        <v>399</v>
      </c>
      <c r="E486" t="s">
        <v>400</v>
      </c>
      <c r="F486" t="s">
        <v>135</v>
      </c>
      <c r="G486">
        <v>37</v>
      </c>
      <c r="H486">
        <v>44</v>
      </c>
      <c r="I486">
        <v>40</v>
      </c>
      <c r="J486">
        <v>950</v>
      </c>
      <c r="K486">
        <v>9</v>
      </c>
      <c r="L486">
        <v>10</v>
      </c>
      <c r="M486">
        <v>4750</v>
      </c>
      <c r="N486" t="s">
        <v>30</v>
      </c>
      <c r="O486">
        <v>0</v>
      </c>
      <c r="P486">
        <v>0</v>
      </c>
      <c r="Q486">
        <v>0</v>
      </c>
      <c r="R486">
        <v>270</v>
      </c>
      <c r="S486">
        <v>291</v>
      </c>
      <c r="T486">
        <v>244</v>
      </c>
      <c r="U486">
        <v>9.5</v>
      </c>
      <c r="V486" t="s">
        <v>30</v>
      </c>
      <c r="W486" t="s">
        <v>401</v>
      </c>
      <c r="X486" t="s">
        <v>402</v>
      </c>
      <c r="Y486" t="s">
        <v>33</v>
      </c>
    </row>
    <row r="487" spans="1:25" x14ac:dyDescent="0.25">
      <c r="A487">
        <v>2025</v>
      </c>
      <c r="B487" t="s">
        <v>397</v>
      </c>
      <c r="C487" t="s">
        <v>398</v>
      </c>
      <c r="D487" t="s">
        <v>403</v>
      </c>
      <c r="E487" t="s">
        <v>400</v>
      </c>
      <c r="F487" t="s">
        <v>29</v>
      </c>
      <c r="G487">
        <v>92</v>
      </c>
      <c r="H487">
        <v>77</v>
      </c>
      <c r="I487">
        <v>85</v>
      </c>
      <c r="J487">
        <v>950</v>
      </c>
      <c r="K487">
        <v>9</v>
      </c>
      <c r="L487">
        <v>10</v>
      </c>
      <c r="M487">
        <v>4750</v>
      </c>
      <c r="N487" t="s">
        <v>30</v>
      </c>
      <c r="O487">
        <v>0</v>
      </c>
      <c r="P487">
        <v>0</v>
      </c>
      <c r="Q487">
        <v>0</v>
      </c>
      <c r="R487">
        <v>270</v>
      </c>
      <c r="S487">
        <v>291</v>
      </c>
      <c r="T487">
        <v>244</v>
      </c>
      <c r="U487">
        <v>9.5</v>
      </c>
      <c r="V487" t="s">
        <v>30</v>
      </c>
      <c r="W487" t="s">
        <v>401</v>
      </c>
      <c r="X487" t="s">
        <v>402</v>
      </c>
      <c r="Y487" t="s">
        <v>33</v>
      </c>
    </row>
    <row r="488" spans="1:25" x14ac:dyDescent="0.25">
      <c r="A488">
        <v>2025</v>
      </c>
      <c r="B488" t="s">
        <v>397</v>
      </c>
      <c r="C488" t="s">
        <v>398</v>
      </c>
      <c r="D488" t="s">
        <v>403</v>
      </c>
      <c r="E488" t="s">
        <v>400</v>
      </c>
      <c r="F488" t="s">
        <v>29</v>
      </c>
      <c r="G488">
        <v>37</v>
      </c>
      <c r="H488">
        <v>44</v>
      </c>
      <c r="I488">
        <v>40</v>
      </c>
      <c r="J488">
        <v>950</v>
      </c>
      <c r="K488">
        <v>9</v>
      </c>
      <c r="L488">
        <v>10</v>
      </c>
      <c r="M488">
        <v>4750</v>
      </c>
      <c r="N488" t="s">
        <v>30</v>
      </c>
      <c r="O488">
        <v>0</v>
      </c>
      <c r="P488">
        <v>0</v>
      </c>
      <c r="Q488">
        <v>0</v>
      </c>
      <c r="R488">
        <v>270</v>
      </c>
      <c r="S488">
        <v>291</v>
      </c>
      <c r="T488">
        <v>244</v>
      </c>
      <c r="U488">
        <v>9.5</v>
      </c>
      <c r="V488" t="s">
        <v>30</v>
      </c>
      <c r="W488" t="s">
        <v>401</v>
      </c>
      <c r="X488" t="s">
        <v>402</v>
      </c>
      <c r="Y488" t="s">
        <v>33</v>
      </c>
    </row>
    <row r="489" spans="1:25" x14ac:dyDescent="0.25">
      <c r="A489">
        <v>2025</v>
      </c>
      <c r="B489" t="s">
        <v>397</v>
      </c>
      <c r="C489" t="s">
        <v>398</v>
      </c>
      <c r="D489" t="s">
        <v>404</v>
      </c>
      <c r="E489" t="s">
        <v>400</v>
      </c>
      <c r="F489" t="s">
        <v>135</v>
      </c>
      <c r="G489">
        <v>85</v>
      </c>
      <c r="H489">
        <v>72</v>
      </c>
      <c r="I489">
        <v>79</v>
      </c>
      <c r="J489">
        <v>1050</v>
      </c>
      <c r="K489">
        <v>9</v>
      </c>
      <c r="L489">
        <v>10</v>
      </c>
      <c r="M489">
        <v>4250</v>
      </c>
      <c r="N489" t="s">
        <v>30</v>
      </c>
      <c r="O489">
        <v>0</v>
      </c>
      <c r="P489">
        <v>0</v>
      </c>
      <c r="Q489">
        <v>0</v>
      </c>
      <c r="R489">
        <v>258</v>
      </c>
      <c r="S489">
        <v>277</v>
      </c>
      <c r="T489">
        <v>235</v>
      </c>
      <c r="U489">
        <v>9.5</v>
      </c>
      <c r="V489" t="s">
        <v>30</v>
      </c>
      <c r="W489" t="s">
        <v>401</v>
      </c>
      <c r="X489" t="s">
        <v>402</v>
      </c>
      <c r="Y489" t="s">
        <v>33</v>
      </c>
    </row>
    <row r="490" spans="1:25" x14ac:dyDescent="0.25">
      <c r="A490">
        <v>2025</v>
      </c>
      <c r="B490" t="s">
        <v>397</v>
      </c>
      <c r="C490" t="s">
        <v>398</v>
      </c>
      <c r="D490" t="s">
        <v>404</v>
      </c>
      <c r="E490" t="s">
        <v>400</v>
      </c>
      <c r="F490" t="s">
        <v>135</v>
      </c>
      <c r="G490">
        <v>40</v>
      </c>
      <c r="H490">
        <v>47</v>
      </c>
      <c r="I490">
        <v>43</v>
      </c>
      <c r="J490">
        <v>1050</v>
      </c>
      <c r="K490">
        <v>9</v>
      </c>
      <c r="L490">
        <v>10</v>
      </c>
      <c r="M490">
        <v>4250</v>
      </c>
      <c r="N490" t="s">
        <v>30</v>
      </c>
      <c r="O490">
        <v>0</v>
      </c>
      <c r="P490">
        <v>0</v>
      </c>
      <c r="Q490">
        <v>0</v>
      </c>
      <c r="R490">
        <v>258</v>
      </c>
      <c r="S490">
        <v>277</v>
      </c>
      <c r="T490">
        <v>235</v>
      </c>
      <c r="U490">
        <v>9.5</v>
      </c>
      <c r="V490" t="s">
        <v>30</v>
      </c>
      <c r="W490" t="s">
        <v>401</v>
      </c>
      <c r="X490" t="s">
        <v>402</v>
      </c>
      <c r="Y490" t="s">
        <v>33</v>
      </c>
    </row>
    <row r="491" spans="1:25" x14ac:dyDescent="0.25">
      <c r="A491">
        <v>2025</v>
      </c>
      <c r="B491" t="s">
        <v>397</v>
      </c>
      <c r="C491" t="s">
        <v>398</v>
      </c>
      <c r="D491" t="s">
        <v>405</v>
      </c>
      <c r="E491" t="s">
        <v>400</v>
      </c>
      <c r="F491" t="s">
        <v>29</v>
      </c>
      <c r="G491">
        <v>85</v>
      </c>
      <c r="H491">
        <v>72</v>
      </c>
      <c r="I491">
        <v>79</v>
      </c>
      <c r="J491">
        <v>1050</v>
      </c>
      <c r="K491">
        <v>9</v>
      </c>
      <c r="L491">
        <v>10</v>
      </c>
      <c r="M491">
        <v>4250</v>
      </c>
      <c r="N491" t="s">
        <v>30</v>
      </c>
      <c r="O491">
        <v>0</v>
      </c>
      <c r="P491">
        <v>0</v>
      </c>
      <c r="Q491">
        <v>0</v>
      </c>
      <c r="R491">
        <v>258</v>
      </c>
      <c r="S491">
        <v>277</v>
      </c>
      <c r="T491">
        <v>235</v>
      </c>
      <c r="U491">
        <v>9.5</v>
      </c>
      <c r="V491" t="s">
        <v>30</v>
      </c>
      <c r="W491" t="s">
        <v>401</v>
      </c>
      <c r="X491" t="s">
        <v>402</v>
      </c>
      <c r="Y491" t="s">
        <v>33</v>
      </c>
    </row>
    <row r="492" spans="1:25" x14ac:dyDescent="0.25">
      <c r="A492">
        <v>2025</v>
      </c>
      <c r="B492" t="s">
        <v>397</v>
      </c>
      <c r="C492" t="s">
        <v>398</v>
      </c>
      <c r="D492" t="s">
        <v>405</v>
      </c>
      <c r="E492" t="s">
        <v>400</v>
      </c>
      <c r="F492" t="s">
        <v>29</v>
      </c>
      <c r="G492">
        <v>40</v>
      </c>
      <c r="H492">
        <v>47</v>
      </c>
      <c r="I492">
        <v>43</v>
      </c>
      <c r="J492">
        <v>1050</v>
      </c>
      <c r="K492">
        <v>9</v>
      </c>
      <c r="L492">
        <v>10</v>
      </c>
      <c r="M492">
        <v>4250</v>
      </c>
      <c r="N492" t="s">
        <v>30</v>
      </c>
      <c r="O492">
        <v>0</v>
      </c>
      <c r="P492">
        <v>0</v>
      </c>
      <c r="Q492">
        <v>0</v>
      </c>
      <c r="R492">
        <v>258</v>
      </c>
      <c r="S492">
        <v>277</v>
      </c>
      <c r="T492">
        <v>235</v>
      </c>
      <c r="U492">
        <v>9.5</v>
      </c>
      <c r="V492" t="s">
        <v>30</v>
      </c>
      <c r="W492" t="s">
        <v>401</v>
      </c>
      <c r="X492" t="s">
        <v>402</v>
      </c>
      <c r="Y492" t="s">
        <v>33</v>
      </c>
    </row>
    <row r="493" spans="1:25" x14ac:dyDescent="0.25">
      <c r="A493">
        <v>2025</v>
      </c>
      <c r="B493" t="s">
        <v>397</v>
      </c>
      <c r="C493" t="s">
        <v>398</v>
      </c>
      <c r="D493" t="s">
        <v>406</v>
      </c>
      <c r="E493" t="s">
        <v>400</v>
      </c>
      <c r="F493" t="s">
        <v>135</v>
      </c>
      <c r="G493">
        <v>86</v>
      </c>
      <c r="H493">
        <v>74</v>
      </c>
      <c r="I493">
        <v>80</v>
      </c>
      <c r="J493">
        <v>1000</v>
      </c>
      <c r="K493">
        <v>9</v>
      </c>
      <c r="L493">
        <v>10</v>
      </c>
      <c r="M493">
        <v>4500</v>
      </c>
      <c r="N493" t="s">
        <v>30</v>
      </c>
      <c r="O493">
        <v>0</v>
      </c>
      <c r="P493">
        <v>0</v>
      </c>
      <c r="Q493">
        <v>0</v>
      </c>
      <c r="R493">
        <v>380</v>
      </c>
      <c r="S493">
        <v>407</v>
      </c>
      <c r="T493">
        <v>348</v>
      </c>
      <c r="U493">
        <v>15</v>
      </c>
      <c r="V493" t="s">
        <v>30</v>
      </c>
      <c r="W493" t="s">
        <v>407</v>
      </c>
      <c r="X493" t="s">
        <v>32</v>
      </c>
      <c r="Y493" t="s">
        <v>33</v>
      </c>
    </row>
    <row r="494" spans="1:25" x14ac:dyDescent="0.25">
      <c r="A494">
        <v>2025</v>
      </c>
      <c r="B494" t="s">
        <v>397</v>
      </c>
      <c r="C494" t="s">
        <v>398</v>
      </c>
      <c r="D494" t="s">
        <v>406</v>
      </c>
      <c r="E494" t="s">
        <v>400</v>
      </c>
      <c r="F494" t="s">
        <v>135</v>
      </c>
      <c r="G494">
        <v>39</v>
      </c>
      <c r="H494">
        <v>46</v>
      </c>
      <c r="I494">
        <v>42</v>
      </c>
      <c r="J494">
        <v>1000</v>
      </c>
      <c r="K494">
        <v>9</v>
      </c>
      <c r="L494">
        <v>10</v>
      </c>
      <c r="M494">
        <v>4500</v>
      </c>
      <c r="N494" t="s">
        <v>30</v>
      </c>
      <c r="O494">
        <v>0</v>
      </c>
      <c r="P494">
        <v>0</v>
      </c>
      <c r="Q494">
        <v>0</v>
      </c>
      <c r="R494">
        <v>380</v>
      </c>
      <c r="S494">
        <v>407</v>
      </c>
      <c r="T494">
        <v>348</v>
      </c>
      <c r="U494">
        <v>15</v>
      </c>
      <c r="V494" t="s">
        <v>30</v>
      </c>
      <c r="W494" t="s">
        <v>407</v>
      </c>
      <c r="X494" t="s">
        <v>32</v>
      </c>
      <c r="Y494" t="s">
        <v>33</v>
      </c>
    </row>
    <row r="495" spans="1:25" x14ac:dyDescent="0.25">
      <c r="A495">
        <v>2025</v>
      </c>
      <c r="B495" t="s">
        <v>397</v>
      </c>
      <c r="C495" t="s">
        <v>398</v>
      </c>
      <c r="D495" t="s">
        <v>408</v>
      </c>
      <c r="E495" t="s">
        <v>400</v>
      </c>
      <c r="F495" t="s">
        <v>29</v>
      </c>
      <c r="G495">
        <v>86</v>
      </c>
      <c r="H495">
        <v>74</v>
      </c>
      <c r="I495">
        <v>80</v>
      </c>
      <c r="J495">
        <v>1000</v>
      </c>
      <c r="K495">
        <v>9</v>
      </c>
      <c r="L495">
        <v>10</v>
      </c>
      <c r="M495">
        <v>4500</v>
      </c>
      <c r="N495" t="s">
        <v>30</v>
      </c>
      <c r="O495">
        <v>0</v>
      </c>
      <c r="P495">
        <v>0</v>
      </c>
      <c r="Q495">
        <v>0</v>
      </c>
      <c r="R495">
        <v>380</v>
      </c>
      <c r="S495">
        <v>407</v>
      </c>
      <c r="T495">
        <v>348</v>
      </c>
      <c r="U495">
        <v>15</v>
      </c>
      <c r="V495" t="s">
        <v>30</v>
      </c>
      <c r="W495" t="s">
        <v>407</v>
      </c>
      <c r="X495" t="s">
        <v>32</v>
      </c>
      <c r="Y495" t="s">
        <v>33</v>
      </c>
    </row>
    <row r="496" spans="1:25" x14ac:dyDescent="0.25">
      <c r="A496">
        <v>2025</v>
      </c>
      <c r="B496" t="s">
        <v>397</v>
      </c>
      <c r="C496" t="s">
        <v>398</v>
      </c>
      <c r="D496" t="s">
        <v>408</v>
      </c>
      <c r="E496" t="s">
        <v>400</v>
      </c>
      <c r="F496" t="s">
        <v>29</v>
      </c>
      <c r="G496">
        <v>39</v>
      </c>
      <c r="H496">
        <v>46</v>
      </c>
      <c r="I496">
        <v>42</v>
      </c>
      <c r="J496">
        <v>1000</v>
      </c>
      <c r="K496">
        <v>9</v>
      </c>
      <c r="L496">
        <v>10</v>
      </c>
      <c r="M496">
        <v>4500</v>
      </c>
      <c r="N496" t="s">
        <v>30</v>
      </c>
      <c r="O496">
        <v>0</v>
      </c>
      <c r="P496">
        <v>0</v>
      </c>
      <c r="Q496">
        <v>0</v>
      </c>
      <c r="R496">
        <v>380</v>
      </c>
      <c r="S496">
        <v>407</v>
      </c>
      <c r="T496">
        <v>348</v>
      </c>
      <c r="U496">
        <v>15</v>
      </c>
      <c r="V496" t="s">
        <v>30</v>
      </c>
      <c r="W496" t="s">
        <v>407</v>
      </c>
      <c r="X496" t="s">
        <v>32</v>
      </c>
      <c r="Y496" t="s">
        <v>33</v>
      </c>
    </row>
    <row r="497" spans="1:25" x14ac:dyDescent="0.25">
      <c r="A497">
        <v>2025</v>
      </c>
      <c r="B497" t="s">
        <v>397</v>
      </c>
      <c r="C497" t="s">
        <v>398</v>
      </c>
      <c r="D497" t="s">
        <v>409</v>
      </c>
      <c r="E497" t="s">
        <v>400</v>
      </c>
      <c r="F497" t="s">
        <v>135</v>
      </c>
      <c r="G497">
        <v>93</v>
      </c>
      <c r="H497">
        <v>80</v>
      </c>
      <c r="I497">
        <v>87</v>
      </c>
      <c r="J497">
        <v>950</v>
      </c>
      <c r="K497">
        <v>9</v>
      </c>
      <c r="L497">
        <v>10</v>
      </c>
      <c r="M497">
        <v>4750</v>
      </c>
      <c r="N497" t="s">
        <v>30</v>
      </c>
      <c r="O497">
        <v>0</v>
      </c>
      <c r="P497">
        <v>0</v>
      </c>
      <c r="Q497">
        <v>0</v>
      </c>
      <c r="R497">
        <v>420</v>
      </c>
      <c r="S497">
        <v>448</v>
      </c>
      <c r="T497">
        <v>386</v>
      </c>
      <c r="U497">
        <v>15</v>
      </c>
      <c r="V497" t="s">
        <v>30</v>
      </c>
      <c r="W497" t="s">
        <v>407</v>
      </c>
      <c r="X497" t="s">
        <v>32</v>
      </c>
      <c r="Y497" t="s">
        <v>33</v>
      </c>
    </row>
    <row r="498" spans="1:25" x14ac:dyDescent="0.25">
      <c r="A498">
        <v>2025</v>
      </c>
      <c r="B498" t="s">
        <v>397</v>
      </c>
      <c r="C498" t="s">
        <v>398</v>
      </c>
      <c r="D498" t="s">
        <v>409</v>
      </c>
      <c r="E498" t="s">
        <v>400</v>
      </c>
      <c r="F498" t="s">
        <v>135</v>
      </c>
      <c r="G498">
        <v>36</v>
      </c>
      <c r="H498">
        <v>42</v>
      </c>
      <c r="I498">
        <v>39</v>
      </c>
      <c r="J498">
        <v>950</v>
      </c>
      <c r="K498">
        <v>9</v>
      </c>
      <c r="L498">
        <v>10</v>
      </c>
      <c r="M498">
        <v>4750</v>
      </c>
      <c r="N498" t="s">
        <v>30</v>
      </c>
      <c r="O498">
        <v>0</v>
      </c>
      <c r="P498">
        <v>0</v>
      </c>
      <c r="Q498">
        <v>0</v>
      </c>
      <c r="R498">
        <v>420</v>
      </c>
      <c r="S498">
        <v>448</v>
      </c>
      <c r="T498">
        <v>386</v>
      </c>
      <c r="U498">
        <v>15</v>
      </c>
      <c r="V498" t="s">
        <v>30</v>
      </c>
      <c r="W498" t="s">
        <v>407</v>
      </c>
      <c r="X498" t="s">
        <v>32</v>
      </c>
      <c r="Y498" t="s">
        <v>33</v>
      </c>
    </row>
    <row r="499" spans="1:25" x14ac:dyDescent="0.25">
      <c r="A499">
        <v>2025</v>
      </c>
      <c r="B499" t="s">
        <v>397</v>
      </c>
      <c r="C499" t="s">
        <v>398</v>
      </c>
      <c r="D499" t="s">
        <v>410</v>
      </c>
      <c r="E499" t="s">
        <v>400</v>
      </c>
      <c r="F499" t="s">
        <v>29</v>
      </c>
      <c r="G499">
        <v>91</v>
      </c>
      <c r="H499">
        <v>77</v>
      </c>
      <c r="I499">
        <v>84</v>
      </c>
      <c r="J499">
        <v>950</v>
      </c>
      <c r="K499">
        <v>9</v>
      </c>
      <c r="L499">
        <v>10</v>
      </c>
      <c r="M499">
        <v>4750</v>
      </c>
      <c r="N499" t="s">
        <v>30</v>
      </c>
      <c r="O499">
        <v>0</v>
      </c>
      <c r="P499">
        <v>0</v>
      </c>
      <c r="Q499">
        <v>0</v>
      </c>
      <c r="R499">
        <v>410</v>
      </c>
      <c r="S499">
        <v>441</v>
      </c>
      <c r="T499">
        <v>373</v>
      </c>
      <c r="U499">
        <v>15</v>
      </c>
      <c r="V499" t="s">
        <v>30</v>
      </c>
      <c r="W499" t="s">
        <v>407</v>
      </c>
      <c r="X499" t="s">
        <v>32</v>
      </c>
      <c r="Y499" t="s">
        <v>33</v>
      </c>
    </row>
    <row r="500" spans="1:25" x14ac:dyDescent="0.25">
      <c r="A500">
        <v>2025</v>
      </c>
      <c r="B500" t="s">
        <v>397</v>
      </c>
      <c r="C500" t="s">
        <v>398</v>
      </c>
      <c r="D500" t="s">
        <v>410</v>
      </c>
      <c r="E500" t="s">
        <v>400</v>
      </c>
      <c r="F500" t="s">
        <v>29</v>
      </c>
      <c r="G500">
        <v>37</v>
      </c>
      <c r="H500">
        <v>44</v>
      </c>
      <c r="I500">
        <v>40</v>
      </c>
      <c r="J500">
        <v>950</v>
      </c>
      <c r="K500">
        <v>9</v>
      </c>
      <c r="L500">
        <v>10</v>
      </c>
      <c r="M500">
        <v>4750</v>
      </c>
      <c r="N500" t="s">
        <v>30</v>
      </c>
      <c r="O500">
        <v>0</v>
      </c>
      <c r="P500">
        <v>0</v>
      </c>
      <c r="Q500">
        <v>0</v>
      </c>
      <c r="R500">
        <v>410</v>
      </c>
      <c r="S500">
        <v>441</v>
      </c>
      <c r="T500">
        <v>373</v>
      </c>
      <c r="U500">
        <v>15</v>
      </c>
      <c r="V500" t="s">
        <v>30</v>
      </c>
      <c r="W500" t="s">
        <v>407</v>
      </c>
      <c r="X500" t="s">
        <v>32</v>
      </c>
      <c r="Y500" t="s">
        <v>33</v>
      </c>
    </row>
    <row r="501" spans="1:25" x14ac:dyDescent="0.25">
      <c r="A501">
        <v>2025</v>
      </c>
      <c r="B501" t="s">
        <v>397</v>
      </c>
      <c r="C501" t="s">
        <v>398</v>
      </c>
      <c r="D501" t="s">
        <v>411</v>
      </c>
      <c r="E501" t="s">
        <v>400</v>
      </c>
      <c r="F501" t="s">
        <v>135</v>
      </c>
      <c r="G501">
        <v>82</v>
      </c>
      <c r="H501">
        <v>73</v>
      </c>
      <c r="I501">
        <v>78</v>
      </c>
      <c r="J501">
        <v>1050</v>
      </c>
      <c r="K501">
        <v>9</v>
      </c>
      <c r="L501">
        <v>10</v>
      </c>
      <c r="M501">
        <v>4250</v>
      </c>
      <c r="N501" t="s">
        <v>30</v>
      </c>
      <c r="O501">
        <v>0</v>
      </c>
      <c r="P501">
        <v>0</v>
      </c>
      <c r="Q501">
        <v>0</v>
      </c>
      <c r="R501">
        <v>370</v>
      </c>
      <c r="S501">
        <v>389</v>
      </c>
      <c r="T501">
        <v>347</v>
      </c>
      <c r="U501">
        <v>15</v>
      </c>
      <c r="V501" t="s">
        <v>30</v>
      </c>
      <c r="W501" t="s">
        <v>407</v>
      </c>
      <c r="X501" t="s">
        <v>32</v>
      </c>
      <c r="Y501" t="s">
        <v>33</v>
      </c>
    </row>
    <row r="502" spans="1:25" x14ac:dyDescent="0.25">
      <c r="A502">
        <v>2025</v>
      </c>
      <c r="B502" t="s">
        <v>397</v>
      </c>
      <c r="C502" t="s">
        <v>398</v>
      </c>
      <c r="D502" t="s">
        <v>411</v>
      </c>
      <c r="E502" t="s">
        <v>400</v>
      </c>
      <c r="F502" t="s">
        <v>135</v>
      </c>
      <c r="G502">
        <v>41</v>
      </c>
      <c r="H502">
        <v>46</v>
      </c>
      <c r="I502">
        <v>43</v>
      </c>
      <c r="J502">
        <v>1050</v>
      </c>
      <c r="K502">
        <v>9</v>
      </c>
      <c r="L502">
        <v>10</v>
      </c>
      <c r="M502">
        <v>4250</v>
      </c>
      <c r="N502" t="s">
        <v>30</v>
      </c>
      <c r="O502">
        <v>0</v>
      </c>
      <c r="P502">
        <v>0</v>
      </c>
      <c r="Q502">
        <v>0</v>
      </c>
      <c r="R502">
        <v>370</v>
      </c>
      <c r="S502">
        <v>389</v>
      </c>
      <c r="T502">
        <v>347</v>
      </c>
      <c r="U502">
        <v>15</v>
      </c>
      <c r="V502" t="s">
        <v>30</v>
      </c>
      <c r="W502" t="s">
        <v>407</v>
      </c>
      <c r="X502" t="s">
        <v>32</v>
      </c>
      <c r="Y502" t="s">
        <v>33</v>
      </c>
    </row>
    <row r="503" spans="1:25" x14ac:dyDescent="0.25">
      <c r="A503">
        <v>2025</v>
      </c>
      <c r="B503" t="s">
        <v>397</v>
      </c>
      <c r="C503" t="s">
        <v>398</v>
      </c>
      <c r="D503" t="s">
        <v>412</v>
      </c>
      <c r="E503" t="s">
        <v>400</v>
      </c>
      <c r="F503" t="s">
        <v>29</v>
      </c>
      <c r="G503">
        <v>82</v>
      </c>
      <c r="H503">
        <v>73</v>
      </c>
      <c r="I503">
        <v>78</v>
      </c>
      <c r="J503">
        <v>1050</v>
      </c>
      <c r="K503">
        <v>9</v>
      </c>
      <c r="L503">
        <v>10</v>
      </c>
      <c r="M503">
        <v>4250</v>
      </c>
      <c r="N503" t="s">
        <v>30</v>
      </c>
      <c r="O503">
        <v>0</v>
      </c>
      <c r="P503">
        <v>0</v>
      </c>
      <c r="Q503">
        <v>0</v>
      </c>
      <c r="R503">
        <v>370</v>
      </c>
      <c r="S503">
        <v>389</v>
      </c>
      <c r="T503">
        <v>347</v>
      </c>
      <c r="U503">
        <v>15</v>
      </c>
      <c r="V503" t="s">
        <v>30</v>
      </c>
      <c r="W503" t="s">
        <v>407</v>
      </c>
      <c r="X503" t="s">
        <v>32</v>
      </c>
      <c r="Y503" t="s">
        <v>33</v>
      </c>
    </row>
    <row r="504" spans="1:25" x14ac:dyDescent="0.25">
      <c r="A504">
        <v>2025</v>
      </c>
      <c r="B504" t="s">
        <v>397</v>
      </c>
      <c r="C504" t="s">
        <v>398</v>
      </c>
      <c r="D504" t="s">
        <v>412</v>
      </c>
      <c r="E504" t="s">
        <v>400</v>
      </c>
      <c r="F504" t="s">
        <v>29</v>
      </c>
      <c r="G504">
        <v>41</v>
      </c>
      <c r="H504">
        <v>46</v>
      </c>
      <c r="I504">
        <v>43</v>
      </c>
      <c r="J504">
        <v>1050</v>
      </c>
      <c r="K504">
        <v>9</v>
      </c>
      <c r="L504">
        <v>10</v>
      </c>
      <c r="M504">
        <v>4250</v>
      </c>
      <c r="N504" t="s">
        <v>30</v>
      </c>
      <c r="O504">
        <v>0</v>
      </c>
      <c r="P504">
        <v>0</v>
      </c>
      <c r="Q504">
        <v>0</v>
      </c>
      <c r="R504">
        <v>370</v>
      </c>
      <c r="S504">
        <v>389</v>
      </c>
      <c r="T504">
        <v>347</v>
      </c>
      <c r="U504">
        <v>15</v>
      </c>
      <c r="V504" t="s">
        <v>30</v>
      </c>
      <c r="W504" t="s">
        <v>407</v>
      </c>
      <c r="X504" t="s">
        <v>32</v>
      </c>
      <c r="Y504" t="s">
        <v>33</v>
      </c>
    </row>
    <row r="505" spans="1:25" x14ac:dyDescent="0.25">
      <c r="A505">
        <v>2025</v>
      </c>
      <c r="B505" t="s">
        <v>397</v>
      </c>
      <c r="C505" t="s">
        <v>398</v>
      </c>
      <c r="D505" t="s">
        <v>413</v>
      </c>
      <c r="E505" t="s">
        <v>400</v>
      </c>
      <c r="F505" t="s">
        <v>135</v>
      </c>
      <c r="G505">
        <v>86</v>
      </c>
      <c r="H505">
        <v>74</v>
      </c>
      <c r="I505">
        <v>80</v>
      </c>
      <c r="J505">
        <v>1000</v>
      </c>
      <c r="K505">
        <v>9</v>
      </c>
      <c r="L505">
        <v>10</v>
      </c>
      <c r="M505">
        <v>4500</v>
      </c>
      <c r="N505" t="s">
        <v>30</v>
      </c>
      <c r="O505">
        <v>0</v>
      </c>
      <c r="P505">
        <v>0</v>
      </c>
      <c r="Q505">
        <v>0</v>
      </c>
      <c r="R505">
        <v>380</v>
      </c>
      <c r="S505">
        <v>407</v>
      </c>
      <c r="T505">
        <v>348</v>
      </c>
      <c r="U505">
        <v>15</v>
      </c>
      <c r="V505" t="s">
        <v>30</v>
      </c>
      <c r="W505" t="s">
        <v>407</v>
      </c>
      <c r="X505" t="s">
        <v>32</v>
      </c>
      <c r="Y505" t="s">
        <v>33</v>
      </c>
    </row>
    <row r="506" spans="1:25" x14ac:dyDescent="0.25">
      <c r="A506">
        <v>2025</v>
      </c>
      <c r="B506" t="s">
        <v>397</v>
      </c>
      <c r="C506" t="s">
        <v>398</v>
      </c>
      <c r="D506" t="s">
        <v>413</v>
      </c>
      <c r="E506" t="s">
        <v>400</v>
      </c>
      <c r="F506" t="s">
        <v>135</v>
      </c>
      <c r="G506">
        <v>39</v>
      </c>
      <c r="H506">
        <v>46</v>
      </c>
      <c r="I506">
        <v>42</v>
      </c>
      <c r="J506">
        <v>1000</v>
      </c>
      <c r="K506">
        <v>9</v>
      </c>
      <c r="L506">
        <v>10</v>
      </c>
      <c r="M506">
        <v>4500</v>
      </c>
      <c r="N506" t="s">
        <v>30</v>
      </c>
      <c r="O506">
        <v>0</v>
      </c>
      <c r="P506">
        <v>0</v>
      </c>
      <c r="Q506">
        <v>0</v>
      </c>
      <c r="R506">
        <v>380</v>
      </c>
      <c r="S506">
        <v>407</v>
      </c>
      <c r="T506">
        <v>348</v>
      </c>
      <c r="U506">
        <v>15</v>
      </c>
      <c r="V506" t="s">
        <v>30</v>
      </c>
      <c r="W506" t="s">
        <v>407</v>
      </c>
      <c r="X506" t="s">
        <v>32</v>
      </c>
      <c r="Y506" t="s">
        <v>33</v>
      </c>
    </row>
    <row r="507" spans="1:25" x14ac:dyDescent="0.25">
      <c r="A507">
        <v>2025</v>
      </c>
      <c r="B507" t="s">
        <v>397</v>
      </c>
      <c r="C507" t="s">
        <v>398</v>
      </c>
      <c r="D507" t="s">
        <v>414</v>
      </c>
      <c r="E507" t="s">
        <v>400</v>
      </c>
      <c r="F507" t="s">
        <v>29</v>
      </c>
      <c r="G507">
        <v>86</v>
      </c>
      <c r="H507">
        <v>74</v>
      </c>
      <c r="I507">
        <v>80</v>
      </c>
      <c r="J507">
        <v>1000</v>
      </c>
      <c r="K507">
        <v>9</v>
      </c>
      <c r="L507">
        <v>10</v>
      </c>
      <c r="M507">
        <v>4500</v>
      </c>
      <c r="N507" t="s">
        <v>30</v>
      </c>
      <c r="O507">
        <v>0</v>
      </c>
      <c r="P507">
        <v>0</v>
      </c>
      <c r="Q507">
        <v>0</v>
      </c>
      <c r="R507">
        <v>380</v>
      </c>
      <c r="S507">
        <v>407</v>
      </c>
      <c r="T507">
        <v>348</v>
      </c>
      <c r="U507">
        <v>15</v>
      </c>
      <c r="V507" t="s">
        <v>30</v>
      </c>
      <c r="W507" t="s">
        <v>401</v>
      </c>
      <c r="X507" t="s">
        <v>32</v>
      </c>
      <c r="Y507" t="s">
        <v>33</v>
      </c>
    </row>
    <row r="508" spans="1:25" x14ac:dyDescent="0.25">
      <c r="A508">
        <v>2025</v>
      </c>
      <c r="B508" t="s">
        <v>397</v>
      </c>
      <c r="C508" t="s">
        <v>398</v>
      </c>
      <c r="D508" t="s">
        <v>414</v>
      </c>
      <c r="E508" t="s">
        <v>400</v>
      </c>
      <c r="F508" t="s">
        <v>29</v>
      </c>
      <c r="G508">
        <v>39</v>
      </c>
      <c r="H508">
        <v>46</v>
      </c>
      <c r="I508">
        <v>42</v>
      </c>
      <c r="J508">
        <v>1000</v>
      </c>
      <c r="K508">
        <v>9</v>
      </c>
      <c r="L508">
        <v>10</v>
      </c>
      <c r="M508">
        <v>4500</v>
      </c>
      <c r="N508" t="s">
        <v>30</v>
      </c>
      <c r="O508">
        <v>0</v>
      </c>
      <c r="P508">
        <v>0</v>
      </c>
      <c r="Q508">
        <v>0</v>
      </c>
      <c r="R508">
        <v>380</v>
      </c>
      <c r="S508">
        <v>407</v>
      </c>
      <c r="T508">
        <v>348</v>
      </c>
      <c r="U508">
        <v>15</v>
      </c>
      <c r="V508" t="s">
        <v>30</v>
      </c>
      <c r="W508" t="s">
        <v>401</v>
      </c>
      <c r="X508" t="s">
        <v>32</v>
      </c>
      <c r="Y508" t="s">
        <v>33</v>
      </c>
    </row>
    <row r="509" spans="1:25" x14ac:dyDescent="0.25">
      <c r="A509">
        <v>2025</v>
      </c>
      <c r="B509" t="s">
        <v>397</v>
      </c>
      <c r="C509" t="s">
        <v>398</v>
      </c>
      <c r="D509" t="s">
        <v>415</v>
      </c>
      <c r="E509" t="s">
        <v>400</v>
      </c>
      <c r="F509" t="s">
        <v>135</v>
      </c>
      <c r="G509">
        <v>93</v>
      </c>
      <c r="H509">
        <v>80</v>
      </c>
      <c r="I509">
        <v>87</v>
      </c>
      <c r="J509">
        <v>950</v>
      </c>
      <c r="K509">
        <v>9</v>
      </c>
      <c r="L509">
        <v>10</v>
      </c>
      <c r="M509">
        <v>4750</v>
      </c>
      <c r="N509" t="s">
        <v>30</v>
      </c>
      <c r="O509">
        <v>0</v>
      </c>
      <c r="P509">
        <v>0</v>
      </c>
      <c r="Q509">
        <v>0</v>
      </c>
      <c r="R509">
        <v>420</v>
      </c>
      <c r="S509">
        <v>448</v>
      </c>
      <c r="T509">
        <v>386</v>
      </c>
      <c r="U509">
        <v>15</v>
      </c>
      <c r="V509" t="s">
        <v>30</v>
      </c>
      <c r="W509" t="s">
        <v>407</v>
      </c>
      <c r="X509" t="s">
        <v>32</v>
      </c>
      <c r="Y509" t="s">
        <v>33</v>
      </c>
    </row>
    <row r="510" spans="1:25" x14ac:dyDescent="0.25">
      <c r="A510">
        <v>2025</v>
      </c>
      <c r="B510" t="s">
        <v>397</v>
      </c>
      <c r="C510" t="s">
        <v>398</v>
      </c>
      <c r="D510" t="s">
        <v>415</v>
      </c>
      <c r="E510" t="s">
        <v>400</v>
      </c>
      <c r="F510" t="s">
        <v>135</v>
      </c>
      <c r="G510">
        <v>36</v>
      </c>
      <c r="H510">
        <v>42</v>
      </c>
      <c r="I510">
        <v>39</v>
      </c>
      <c r="J510">
        <v>950</v>
      </c>
      <c r="K510">
        <v>9</v>
      </c>
      <c r="L510">
        <v>10</v>
      </c>
      <c r="M510">
        <v>4750</v>
      </c>
      <c r="N510" t="s">
        <v>30</v>
      </c>
      <c r="O510">
        <v>0</v>
      </c>
      <c r="P510">
        <v>0</v>
      </c>
      <c r="Q510">
        <v>0</v>
      </c>
      <c r="R510">
        <v>420</v>
      </c>
      <c r="S510">
        <v>448</v>
      </c>
      <c r="T510">
        <v>386</v>
      </c>
      <c r="U510">
        <v>15</v>
      </c>
      <c r="V510" t="s">
        <v>30</v>
      </c>
      <c r="W510" t="s">
        <v>407</v>
      </c>
      <c r="X510" t="s">
        <v>32</v>
      </c>
      <c r="Y510" t="s">
        <v>33</v>
      </c>
    </row>
    <row r="511" spans="1:25" x14ac:dyDescent="0.25">
      <c r="A511">
        <v>2025</v>
      </c>
      <c r="B511" t="s">
        <v>397</v>
      </c>
      <c r="C511" t="s">
        <v>398</v>
      </c>
      <c r="D511" t="s">
        <v>416</v>
      </c>
      <c r="E511" t="s">
        <v>400</v>
      </c>
      <c r="F511" t="s">
        <v>29</v>
      </c>
      <c r="G511">
        <v>91</v>
      </c>
      <c r="H511">
        <v>77</v>
      </c>
      <c r="I511">
        <v>84</v>
      </c>
      <c r="J511">
        <v>950</v>
      </c>
      <c r="K511">
        <v>9</v>
      </c>
      <c r="L511">
        <v>10</v>
      </c>
      <c r="M511">
        <v>4750</v>
      </c>
      <c r="N511" t="s">
        <v>30</v>
      </c>
      <c r="O511">
        <v>0</v>
      </c>
      <c r="P511">
        <v>0</v>
      </c>
      <c r="Q511">
        <v>0</v>
      </c>
      <c r="R511">
        <v>410</v>
      </c>
      <c r="S511">
        <v>441</v>
      </c>
      <c r="T511">
        <v>373</v>
      </c>
      <c r="U511">
        <v>15</v>
      </c>
      <c r="V511" t="s">
        <v>30</v>
      </c>
      <c r="W511" t="s">
        <v>401</v>
      </c>
      <c r="X511" t="s">
        <v>32</v>
      </c>
      <c r="Y511" t="s">
        <v>33</v>
      </c>
    </row>
    <row r="512" spans="1:25" x14ac:dyDescent="0.25">
      <c r="A512">
        <v>2025</v>
      </c>
      <c r="B512" t="s">
        <v>397</v>
      </c>
      <c r="C512" t="s">
        <v>398</v>
      </c>
      <c r="D512" t="s">
        <v>416</v>
      </c>
      <c r="E512" t="s">
        <v>400</v>
      </c>
      <c r="F512" t="s">
        <v>29</v>
      </c>
      <c r="G512">
        <v>37</v>
      </c>
      <c r="H512">
        <v>44</v>
      </c>
      <c r="I512">
        <v>40</v>
      </c>
      <c r="J512">
        <v>950</v>
      </c>
      <c r="K512">
        <v>9</v>
      </c>
      <c r="L512">
        <v>10</v>
      </c>
      <c r="M512">
        <v>4750</v>
      </c>
      <c r="N512" t="s">
        <v>30</v>
      </c>
      <c r="O512">
        <v>0</v>
      </c>
      <c r="P512">
        <v>0</v>
      </c>
      <c r="Q512">
        <v>0</v>
      </c>
      <c r="R512">
        <v>410</v>
      </c>
      <c r="S512">
        <v>441</v>
      </c>
      <c r="T512">
        <v>373</v>
      </c>
      <c r="U512">
        <v>15</v>
      </c>
      <c r="V512" t="s">
        <v>30</v>
      </c>
      <c r="W512" t="s">
        <v>401</v>
      </c>
      <c r="X512" t="s">
        <v>32</v>
      </c>
      <c r="Y512" t="s">
        <v>33</v>
      </c>
    </row>
    <row r="513" spans="1:25" x14ac:dyDescent="0.25">
      <c r="A513">
        <v>2025</v>
      </c>
      <c r="B513" t="s">
        <v>397</v>
      </c>
      <c r="C513" t="s">
        <v>398</v>
      </c>
      <c r="D513" t="s">
        <v>417</v>
      </c>
      <c r="E513" t="s">
        <v>400</v>
      </c>
      <c r="F513" t="s">
        <v>135</v>
      </c>
      <c r="G513">
        <v>82</v>
      </c>
      <c r="H513">
        <v>73</v>
      </c>
      <c r="I513">
        <v>78</v>
      </c>
      <c r="J513">
        <v>1050</v>
      </c>
      <c r="K513">
        <v>9</v>
      </c>
      <c r="L513">
        <v>10</v>
      </c>
      <c r="M513">
        <v>4250</v>
      </c>
      <c r="N513" t="s">
        <v>30</v>
      </c>
      <c r="O513">
        <v>0</v>
      </c>
      <c r="P513">
        <v>0</v>
      </c>
      <c r="Q513">
        <v>0</v>
      </c>
      <c r="R513">
        <v>370</v>
      </c>
      <c r="S513">
        <v>389</v>
      </c>
      <c r="T513">
        <v>347</v>
      </c>
      <c r="U513">
        <v>15</v>
      </c>
      <c r="V513" t="s">
        <v>30</v>
      </c>
      <c r="W513" t="s">
        <v>407</v>
      </c>
      <c r="X513" t="s">
        <v>32</v>
      </c>
      <c r="Y513" t="s">
        <v>33</v>
      </c>
    </row>
    <row r="514" spans="1:25" x14ac:dyDescent="0.25">
      <c r="A514">
        <v>2025</v>
      </c>
      <c r="B514" t="s">
        <v>397</v>
      </c>
      <c r="C514" t="s">
        <v>398</v>
      </c>
      <c r="D514" t="s">
        <v>417</v>
      </c>
      <c r="E514" t="s">
        <v>400</v>
      </c>
      <c r="F514" t="s">
        <v>135</v>
      </c>
      <c r="G514">
        <v>41</v>
      </c>
      <c r="H514">
        <v>46</v>
      </c>
      <c r="I514">
        <v>43</v>
      </c>
      <c r="J514">
        <v>1050</v>
      </c>
      <c r="K514">
        <v>9</v>
      </c>
      <c r="L514">
        <v>10</v>
      </c>
      <c r="M514">
        <v>4250</v>
      </c>
      <c r="N514" t="s">
        <v>30</v>
      </c>
      <c r="O514">
        <v>0</v>
      </c>
      <c r="P514">
        <v>0</v>
      </c>
      <c r="Q514">
        <v>0</v>
      </c>
      <c r="R514">
        <v>370</v>
      </c>
      <c r="S514">
        <v>389</v>
      </c>
      <c r="T514">
        <v>347</v>
      </c>
      <c r="U514">
        <v>15</v>
      </c>
      <c r="V514" t="s">
        <v>30</v>
      </c>
      <c r="W514" t="s">
        <v>407</v>
      </c>
      <c r="X514" t="s">
        <v>32</v>
      </c>
      <c r="Y514" t="s">
        <v>33</v>
      </c>
    </row>
    <row r="515" spans="1:25" x14ac:dyDescent="0.25">
      <c r="A515">
        <v>2025</v>
      </c>
      <c r="B515" t="s">
        <v>397</v>
      </c>
      <c r="C515" t="s">
        <v>398</v>
      </c>
      <c r="D515" t="s">
        <v>418</v>
      </c>
      <c r="E515" t="s">
        <v>400</v>
      </c>
      <c r="F515" t="s">
        <v>29</v>
      </c>
      <c r="G515">
        <v>82</v>
      </c>
      <c r="H515">
        <v>73</v>
      </c>
      <c r="I515">
        <v>78</v>
      </c>
      <c r="J515">
        <v>1050</v>
      </c>
      <c r="K515">
        <v>9</v>
      </c>
      <c r="L515">
        <v>10</v>
      </c>
      <c r="M515">
        <v>4250</v>
      </c>
      <c r="N515" t="s">
        <v>30</v>
      </c>
      <c r="O515">
        <v>0</v>
      </c>
      <c r="P515">
        <v>0</v>
      </c>
      <c r="Q515">
        <v>0</v>
      </c>
      <c r="R515">
        <v>370</v>
      </c>
      <c r="S515">
        <v>389</v>
      </c>
      <c r="T515">
        <v>347</v>
      </c>
      <c r="U515">
        <v>15</v>
      </c>
      <c r="V515" t="s">
        <v>30</v>
      </c>
      <c r="W515" t="s">
        <v>407</v>
      </c>
      <c r="X515" t="s">
        <v>32</v>
      </c>
      <c r="Y515" t="s">
        <v>33</v>
      </c>
    </row>
    <row r="516" spans="1:25" x14ac:dyDescent="0.25">
      <c r="A516">
        <v>2025</v>
      </c>
      <c r="B516" t="s">
        <v>397</v>
      </c>
      <c r="C516" t="s">
        <v>398</v>
      </c>
      <c r="D516" t="s">
        <v>418</v>
      </c>
      <c r="E516" t="s">
        <v>400</v>
      </c>
      <c r="F516" t="s">
        <v>29</v>
      </c>
      <c r="G516">
        <v>41</v>
      </c>
      <c r="H516">
        <v>46</v>
      </c>
      <c r="I516">
        <v>43</v>
      </c>
      <c r="J516">
        <v>1050</v>
      </c>
      <c r="K516">
        <v>9</v>
      </c>
      <c r="L516">
        <v>10</v>
      </c>
      <c r="M516">
        <v>4250</v>
      </c>
      <c r="N516" t="s">
        <v>30</v>
      </c>
      <c r="O516">
        <v>0</v>
      </c>
      <c r="P516">
        <v>0</v>
      </c>
      <c r="Q516">
        <v>0</v>
      </c>
      <c r="R516">
        <v>370</v>
      </c>
      <c r="S516">
        <v>389</v>
      </c>
      <c r="T516">
        <v>347</v>
      </c>
      <c r="U516">
        <v>15</v>
      </c>
      <c r="V516" t="s">
        <v>30</v>
      </c>
      <c r="W516" t="s">
        <v>407</v>
      </c>
      <c r="X516" t="s">
        <v>32</v>
      </c>
      <c r="Y516" t="s">
        <v>33</v>
      </c>
    </row>
    <row r="517" spans="1:25" x14ac:dyDescent="0.25">
      <c r="A517">
        <v>2025</v>
      </c>
      <c r="B517" t="s">
        <v>397</v>
      </c>
      <c r="C517" t="s">
        <v>398</v>
      </c>
      <c r="D517" t="s">
        <v>419</v>
      </c>
      <c r="E517" t="s">
        <v>107</v>
      </c>
      <c r="F517" t="s">
        <v>135</v>
      </c>
      <c r="G517">
        <v>89</v>
      </c>
      <c r="H517">
        <v>75</v>
      </c>
      <c r="I517">
        <v>82</v>
      </c>
      <c r="J517">
        <v>1000</v>
      </c>
      <c r="K517">
        <v>9</v>
      </c>
      <c r="L517">
        <v>10</v>
      </c>
      <c r="M517">
        <v>4500</v>
      </c>
      <c r="N517" t="s">
        <v>30</v>
      </c>
      <c r="O517">
        <v>0</v>
      </c>
      <c r="P517">
        <v>0</v>
      </c>
      <c r="Q517">
        <v>0</v>
      </c>
      <c r="R517">
        <v>330</v>
      </c>
      <c r="S517">
        <v>354</v>
      </c>
      <c r="T517">
        <v>300</v>
      </c>
      <c r="U517">
        <v>12</v>
      </c>
      <c r="V517" t="s">
        <v>30</v>
      </c>
      <c r="W517" t="s">
        <v>420</v>
      </c>
      <c r="X517" t="s">
        <v>32</v>
      </c>
      <c r="Y517" t="s">
        <v>33</v>
      </c>
    </row>
    <row r="518" spans="1:25" x14ac:dyDescent="0.25">
      <c r="A518">
        <v>2025</v>
      </c>
      <c r="B518" t="s">
        <v>397</v>
      </c>
      <c r="C518" t="s">
        <v>398</v>
      </c>
      <c r="D518" t="s">
        <v>419</v>
      </c>
      <c r="E518" t="s">
        <v>107</v>
      </c>
      <c r="F518" t="s">
        <v>135</v>
      </c>
      <c r="G518">
        <v>38</v>
      </c>
      <c r="H518">
        <v>45</v>
      </c>
      <c r="I518">
        <v>41</v>
      </c>
      <c r="J518">
        <v>1000</v>
      </c>
      <c r="K518">
        <v>9</v>
      </c>
      <c r="L518">
        <v>10</v>
      </c>
      <c r="M518">
        <v>4500</v>
      </c>
      <c r="N518" t="s">
        <v>30</v>
      </c>
      <c r="O518">
        <v>0</v>
      </c>
      <c r="P518">
        <v>0</v>
      </c>
      <c r="Q518">
        <v>0</v>
      </c>
      <c r="R518">
        <v>330</v>
      </c>
      <c r="S518">
        <v>354</v>
      </c>
      <c r="T518">
        <v>300</v>
      </c>
      <c r="U518">
        <v>12</v>
      </c>
      <c r="V518" t="s">
        <v>30</v>
      </c>
      <c r="W518" t="s">
        <v>420</v>
      </c>
      <c r="X518" t="s">
        <v>32</v>
      </c>
      <c r="Y518" t="s">
        <v>33</v>
      </c>
    </row>
    <row r="519" spans="1:25" x14ac:dyDescent="0.25">
      <c r="A519">
        <v>2025</v>
      </c>
      <c r="B519" t="s">
        <v>397</v>
      </c>
      <c r="C519" t="s">
        <v>398</v>
      </c>
      <c r="D519" t="s">
        <v>421</v>
      </c>
      <c r="E519" t="s">
        <v>107</v>
      </c>
      <c r="F519" t="s">
        <v>29</v>
      </c>
      <c r="G519">
        <v>89</v>
      </c>
      <c r="H519">
        <v>75</v>
      </c>
      <c r="I519">
        <v>82</v>
      </c>
      <c r="J519">
        <v>1000</v>
      </c>
      <c r="K519">
        <v>9</v>
      </c>
      <c r="L519">
        <v>10</v>
      </c>
      <c r="M519">
        <v>4500</v>
      </c>
      <c r="N519" t="s">
        <v>30</v>
      </c>
      <c r="O519">
        <v>0</v>
      </c>
      <c r="P519">
        <v>0</v>
      </c>
      <c r="Q519">
        <v>0</v>
      </c>
      <c r="R519">
        <v>330</v>
      </c>
      <c r="S519">
        <v>354</v>
      </c>
      <c r="T519">
        <v>300</v>
      </c>
      <c r="U519">
        <v>12</v>
      </c>
      <c r="V519" t="s">
        <v>30</v>
      </c>
      <c r="W519" t="s">
        <v>420</v>
      </c>
      <c r="X519" t="s">
        <v>32</v>
      </c>
      <c r="Y519" t="s">
        <v>33</v>
      </c>
    </row>
    <row r="520" spans="1:25" x14ac:dyDescent="0.25">
      <c r="A520">
        <v>2025</v>
      </c>
      <c r="B520" t="s">
        <v>397</v>
      </c>
      <c r="C520" t="s">
        <v>398</v>
      </c>
      <c r="D520" t="s">
        <v>421</v>
      </c>
      <c r="E520" t="s">
        <v>107</v>
      </c>
      <c r="F520" t="s">
        <v>29</v>
      </c>
      <c r="G520">
        <v>38</v>
      </c>
      <c r="H520">
        <v>45</v>
      </c>
      <c r="I520">
        <v>41</v>
      </c>
      <c r="J520">
        <v>1000</v>
      </c>
      <c r="K520">
        <v>9</v>
      </c>
      <c r="L520">
        <v>10</v>
      </c>
      <c r="M520">
        <v>4500</v>
      </c>
      <c r="N520" t="s">
        <v>30</v>
      </c>
      <c r="O520">
        <v>0</v>
      </c>
      <c r="P520">
        <v>0</v>
      </c>
      <c r="Q520">
        <v>0</v>
      </c>
      <c r="R520">
        <v>330</v>
      </c>
      <c r="S520">
        <v>354</v>
      </c>
      <c r="T520">
        <v>300</v>
      </c>
      <c r="U520">
        <v>12</v>
      </c>
      <c r="V520" t="s">
        <v>30</v>
      </c>
      <c r="W520" t="s">
        <v>420</v>
      </c>
      <c r="X520" t="s">
        <v>32</v>
      </c>
      <c r="Y520" t="s">
        <v>33</v>
      </c>
    </row>
    <row r="521" spans="1:25" x14ac:dyDescent="0.25">
      <c r="A521">
        <v>2025</v>
      </c>
      <c r="B521" t="s">
        <v>397</v>
      </c>
      <c r="C521" t="s">
        <v>398</v>
      </c>
      <c r="D521" t="s">
        <v>422</v>
      </c>
      <c r="E521" t="s">
        <v>107</v>
      </c>
      <c r="F521" t="s">
        <v>135</v>
      </c>
      <c r="G521">
        <v>76</v>
      </c>
      <c r="H521">
        <v>67</v>
      </c>
      <c r="I521">
        <v>72</v>
      </c>
      <c r="J521">
        <v>1150</v>
      </c>
      <c r="K521">
        <v>9</v>
      </c>
      <c r="L521">
        <v>10</v>
      </c>
      <c r="M521">
        <v>3750</v>
      </c>
      <c r="N521" t="s">
        <v>30</v>
      </c>
      <c r="O521">
        <v>0</v>
      </c>
      <c r="P521">
        <v>0</v>
      </c>
      <c r="Q521">
        <v>0</v>
      </c>
      <c r="R521">
        <v>292</v>
      </c>
      <c r="S521">
        <v>308</v>
      </c>
      <c r="T521">
        <v>272</v>
      </c>
      <c r="U521">
        <v>12</v>
      </c>
      <c r="V521" t="s">
        <v>30</v>
      </c>
      <c r="W521" t="s">
        <v>407</v>
      </c>
      <c r="X521" t="s">
        <v>32</v>
      </c>
      <c r="Y521" t="s">
        <v>33</v>
      </c>
    </row>
    <row r="522" spans="1:25" x14ac:dyDescent="0.25">
      <c r="A522">
        <v>2025</v>
      </c>
      <c r="B522" t="s">
        <v>397</v>
      </c>
      <c r="C522" t="s">
        <v>398</v>
      </c>
      <c r="D522" t="s">
        <v>422</v>
      </c>
      <c r="E522" t="s">
        <v>107</v>
      </c>
      <c r="F522" t="s">
        <v>135</v>
      </c>
      <c r="G522">
        <v>44</v>
      </c>
      <c r="H522">
        <v>50</v>
      </c>
      <c r="I522">
        <v>47</v>
      </c>
      <c r="J522">
        <v>1150</v>
      </c>
      <c r="K522">
        <v>9</v>
      </c>
      <c r="L522">
        <v>10</v>
      </c>
      <c r="M522">
        <v>3750</v>
      </c>
      <c r="N522" t="s">
        <v>30</v>
      </c>
      <c r="O522">
        <v>0</v>
      </c>
      <c r="P522">
        <v>0</v>
      </c>
      <c r="Q522">
        <v>0</v>
      </c>
      <c r="R522">
        <v>292</v>
      </c>
      <c r="S522">
        <v>308</v>
      </c>
      <c r="T522">
        <v>272</v>
      </c>
      <c r="U522">
        <v>12</v>
      </c>
      <c r="V522" t="s">
        <v>30</v>
      </c>
      <c r="W522" t="s">
        <v>407</v>
      </c>
      <c r="X522" t="s">
        <v>32</v>
      </c>
      <c r="Y522" t="s">
        <v>33</v>
      </c>
    </row>
    <row r="523" spans="1:25" x14ac:dyDescent="0.25">
      <c r="A523">
        <v>2025</v>
      </c>
      <c r="B523" t="s">
        <v>397</v>
      </c>
      <c r="C523" t="s">
        <v>398</v>
      </c>
      <c r="D523" t="s">
        <v>423</v>
      </c>
      <c r="E523" t="s">
        <v>107</v>
      </c>
      <c r="F523" t="s">
        <v>29</v>
      </c>
      <c r="G523">
        <v>76</v>
      </c>
      <c r="H523">
        <v>67</v>
      </c>
      <c r="I523">
        <v>72</v>
      </c>
      <c r="J523">
        <v>1150</v>
      </c>
      <c r="K523">
        <v>9</v>
      </c>
      <c r="L523">
        <v>10</v>
      </c>
      <c r="M523">
        <v>3750</v>
      </c>
      <c r="N523" t="s">
        <v>30</v>
      </c>
      <c r="O523">
        <v>0</v>
      </c>
      <c r="P523">
        <v>0</v>
      </c>
      <c r="Q523">
        <v>0</v>
      </c>
      <c r="R523">
        <v>292</v>
      </c>
      <c r="S523">
        <v>308</v>
      </c>
      <c r="T523">
        <v>272</v>
      </c>
      <c r="U523">
        <v>12</v>
      </c>
      <c r="V523" t="s">
        <v>30</v>
      </c>
      <c r="W523" t="s">
        <v>407</v>
      </c>
      <c r="X523" t="s">
        <v>32</v>
      </c>
      <c r="Y523" t="s">
        <v>33</v>
      </c>
    </row>
    <row r="524" spans="1:25" x14ac:dyDescent="0.25">
      <c r="A524">
        <v>2025</v>
      </c>
      <c r="B524" t="s">
        <v>397</v>
      </c>
      <c r="C524" t="s">
        <v>398</v>
      </c>
      <c r="D524" t="s">
        <v>423</v>
      </c>
      <c r="E524" t="s">
        <v>107</v>
      </c>
      <c r="F524" t="s">
        <v>29</v>
      </c>
      <c r="G524">
        <v>44</v>
      </c>
      <c r="H524">
        <v>50</v>
      </c>
      <c r="I524">
        <v>47</v>
      </c>
      <c r="J524">
        <v>1150</v>
      </c>
      <c r="K524">
        <v>9</v>
      </c>
      <c r="L524">
        <v>10</v>
      </c>
      <c r="M524">
        <v>3750</v>
      </c>
      <c r="N524" t="s">
        <v>30</v>
      </c>
      <c r="O524">
        <v>0</v>
      </c>
      <c r="P524">
        <v>0</v>
      </c>
      <c r="Q524">
        <v>0</v>
      </c>
      <c r="R524">
        <v>292</v>
      </c>
      <c r="S524">
        <v>308</v>
      </c>
      <c r="T524">
        <v>272</v>
      </c>
      <c r="U524">
        <v>12</v>
      </c>
      <c r="V524" t="s">
        <v>30</v>
      </c>
      <c r="W524" t="s">
        <v>407</v>
      </c>
      <c r="X524" t="s">
        <v>32</v>
      </c>
      <c r="Y524" t="s">
        <v>33</v>
      </c>
    </row>
    <row r="525" spans="1:25" x14ac:dyDescent="0.25">
      <c r="A525">
        <v>2025</v>
      </c>
      <c r="B525" t="s">
        <v>397</v>
      </c>
      <c r="C525" t="s">
        <v>398</v>
      </c>
      <c r="D525" t="s">
        <v>424</v>
      </c>
      <c r="E525" t="s">
        <v>107</v>
      </c>
      <c r="F525" t="s">
        <v>135</v>
      </c>
      <c r="G525">
        <v>89</v>
      </c>
      <c r="H525">
        <v>75</v>
      </c>
      <c r="I525">
        <v>82</v>
      </c>
      <c r="J525">
        <v>1000</v>
      </c>
      <c r="K525">
        <v>9</v>
      </c>
      <c r="L525">
        <v>10</v>
      </c>
      <c r="M525">
        <v>4500</v>
      </c>
      <c r="N525" t="s">
        <v>30</v>
      </c>
      <c r="O525">
        <v>0</v>
      </c>
      <c r="P525">
        <v>0</v>
      </c>
      <c r="Q525">
        <v>0</v>
      </c>
      <c r="R525">
        <v>330</v>
      </c>
      <c r="S525">
        <v>354</v>
      </c>
      <c r="T525">
        <v>300</v>
      </c>
      <c r="U525">
        <v>12</v>
      </c>
      <c r="V525" t="s">
        <v>30</v>
      </c>
      <c r="W525" t="s">
        <v>407</v>
      </c>
      <c r="X525" t="s">
        <v>32</v>
      </c>
      <c r="Y525" t="s">
        <v>33</v>
      </c>
    </row>
    <row r="526" spans="1:25" x14ac:dyDescent="0.25">
      <c r="A526">
        <v>2025</v>
      </c>
      <c r="B526" t="s">
        <v>397</v>
      </c>
      <c r="C526" t="s">
        <v>398</v>
      </c>
      <c r="D526" t="s">
        <v>424</v>
      </c>
      <c r="E526" t="s">
        <v>107</v>
      </c>
      <c r="F526" t="s">
        <v>135</v>
      </c>
      <c r="G526">
        <v>38</v>
      </c>
      <c r="H526">
        <v>45</v>
      </c>
      <c r="I526">
        <v>41</v>
      </c>
      <c r="J526">
        <v>1000</v>
      </c>
      <c r="K526">
        <v>9</v>
      </c>
      <c r="L526">
        <v>10</v>
      </c>
      <c r="M526">
        <v>4500</v>
      </c>
      <c r="N526" t="s">
        <v>30</v>
      </c>
      <c r="O526">
        <v>0</v>
      </c>
      <c r="P526">
        <v>0</v>
      </c>
      <c r="Q526">
        <v>0</v>
      </c>
      <c r="R526">
        <v>330</v>
      </c>
      <c r="S526">
        <v>354</v>
      </c>
      <c r="T526">
        <v>300</v>
      </c>
      <c r="U526">
        <v>12</v>
      </c>
      <c r="V526" t="s">
        <v>30</v>
      </c>
      <c r="W526" t="s">
        <v>407</v>
      </c>
      <c r="X526" t="s">
        <v>32</v>
      </c>
      <c r="Y526" t="s">
        <v>33</v>
      </c>
    </row>
    <row r="527" spans="1:25" x14ac:dyDescent="0.25">
      <c r="A527">
        <v>2025</v>
      </c>
      <c r="B527" t="s">
        <v>397</v>
      </c>
      <c r="C527" t="s">
        <v>398</v>
      </c>
      <c r="D527" t="s">
        <v>425</v>
      </c>
      <c r="E527" t="s">
        <v>107</v>
      </c>
      <c r="F527" t="s">
        <v>29</v>
      </c>
      <c r="G527">
        <v>89</v>
      </c>
      <c r="H527">
        <v>75</v>
      </c>
      <c r="I527">
        <v>82</v>
      </c>
      <c r="J527">
        <v>1000</v>
      </c>
      <c r="K527">
        <v>9</v>
      </c>
      <c r="L527">
        <v>10</v>
      </c>
      <c r="M527">
        <v>4500</v>
      </c>
      <c r="N527" t="s">
        <v>30</v>
      </c>
      <c r="O527">
        <v>0</v>
      </c>
      <c r="P527">
        <v>0</v>
      </c>
      <c r="Q527">
        <v>0</v>
      </c>
      <c r="R527">
        <v>330</v>
      </c>
      <c r="S527">
        <v>305</v>
      </c>
      <c r="T527">
        <v>360</v>
      </c>
      <c r="U527">
        <v>12</v>
      </c>
      <c r="V527" t="s">
        <v>30</v>
      </c>
      <c r="W527" t="s">
        <v>420</v>
      </c>
      <c r="X527" t="s">
        <v>32</v>
      </c>
      <c r="Y527" t="s">
        <v>33</v>
      </c>
    </row>
    <row r="528" spans="1:25" x14ac:dyDescent="0.25">
      <c r="A528">
        <v>2025</v>
      </c>
      <c r="B528" t="s">
        <v>397</v>
      </c>
      <c r="C528" t="s">
        <v>398</v>
      </c>
      <c r="D528" t="s">
        <v>425</v>
      </c>
      <c r="E528" t="s">
        <v>107</v>
      </c>
      <c r="F528" t="s">
        <v>29</v>
      </c>
      <c r="G528">
        <v>38</v>
      </c>
      <c r="H528">
        <v>45</v>
      </c>
      <c r="I528">
        <v>41</v>
      </c>
      <c r="J528">
        <v>1000</v>
      </c>
      <c r="K528">
        <v>9</v>
      </c>
      <c r="L528">
        <v>10</v>
      </c>
      <c r="M528">
        <v>4500</v>
      </c>
      <c r="N528" t="s">
        <v>30</v>
      </c>
      <c r="O528">
        <v>0</v>
      </c>
      <c r="P528">
        <v>0</v>
      </c>
      <c r="Q528">
        <v>0</v>
      </c>
      <c r="R528">
        <v>330</v>
      </c>
      <c r="S528">
        <v>353</v>
      </c>
      <c r="T528">
        <v>413</v>
      </c>
      <c r="U528">
        <v>12</v>
      </c>
      <c r="V528" t="s">
        <v>30</v>
      </c>
      <c r="W528" t="s">
        <v>420</v>
      </c>
      <c r="X528" t="s">
        <v>32</v>
      </c>
      <c r="Y528" t="s">
        <v>33</v>
      </c>
    </row>
    <row r="529" spans="1:25" x14ac:dyDescent="0.25">
      <c r="A529">
        <v>2025</v>
      </c>
      <c r="B529" t="s">
        <v>397</v>
      </c>
      <c r="C529" t="s">
        <v>398</v>
      </c>
      <c r="D529" t="s">
        <v>426</v>
      </c>
      <c r="E529" t="s">
        <v>107</v>
      </c>
      <c r="F529" t="s">
        <v>135</v>
      </c>
      <c r="G529">
        <v>76</v>
      </c>
      <c r="H529">
        <v>67</v>
      </c>
      <c r="I529">
        <v>72</v>
      </c>
      <c r="J529">
        <v>1150</v>
      </c>
      <c r="K529">
        <v>9</v>
      </c>
      <c r="L529">
        <v>10</v>
      </c>
      <c r="M529">
        <v>3750</v>
      </c>
      <c r="N529" t="s">
        <v>30</v>
      </c>
      <c r="O529">
        <v>0</v>
      </c>
      <c r="P529">
        <v>0</v>
      </c>
      <c r="Q529">
        <v>0</v>
      </c>
      <c r="R529">
        <v>292</v>
      </c>
      <c r="S529">
        <v>308</v>
      </c>
      <c r="T529">
        <v>272</v>
      </c>
      <c r="U529">
        <v>12</v>
      </c>
      <c r="V529" t="s">
        <v>30</v>
      </c>
      <c r="W529" t="s">
        <v>407</v>
      </c>
      <c r="X529" t="s">
        <v>32</v>
      </c>
      <c r="Y529" t="s">
        <v>33</v>
      </c>
    </row>
    <row r="530" spans="1:25" x14ac:dyDescent="0.25">
      <c r="A530">
        <v>2025</v>
      </c>
      <c r="B530" t="s">
        <v>397</v>
      </c>
      <c r="C530" t="s">
        <v>398</v>
      </c>
      <c r="D530" t="s">
        <v>426</v>
      </c>
      <c r="E530" t="s">
        <v>107</v>
      </c>
      <c r="F530" t="s">
        <v>135</v>
      </c>
      <c r="G530">
        <v>44</v>
      </c>
      <c r="H530">
        <v>50</v>
      </c>
      <c r="I530">
        <v>47</v>
      </c>
      <c r="J530">
        <v>1150</v>
      </c>
      <c r="K530">
        <v>9</v>
      </c>
      <c r="L530">
        <v>10</v>
      </c>
      <c r="M530">
        <v>3750</v>
      </c>
      <c r="N530" t="s">
        <v>30</v>
      </c>
      <c r="O530">
        <v>0</v>
      </c>
      <c r="P530">
        <v>0</v>
      </c>
      <c r="Q530">
        <v>0</v>
      </c>
      <c r="R530">
        <v>292</v>
      </c>
      <c r="S530">
        <v>308</v>
      </c>
      <c r="T530">
        <v>272</v>
      </c>
      <c r="U530">
        <v>12</v>
      </c>
      <c r="V530" t="s">
        <v>30</v>
      </c>
      <c r="W530" t="s">
        <v>407</v>
      </c>
      <c r="X530" t="s">
        <v>32</v>
      </c>
      <c r="Y530" t="s">
        <v>33</v>
      </c>
    </row>
    <row r="531" spans="1:25" x14ac:dyDescent="0.25">
      <c r="A531">
        <v>2025</v>
      </c>
      <c r="B531" t="s">
        <v>397</v>
      </c>
      <c r="C531" t="s">
        <v>398</v>
      </c>
      <c r="D531" t="s">
        <v>427</v>
      </c>
      <c r="E531" t="s">
        <v>107</v>
      </c>
      <c r="F531" t="s">
        <v>29</v>
      </c>
      <c r="G531">
        <v>76</v>
      </c>
      <c r="H531">
        <v>67</v>
      </c>
      <c r="I531">
        <v>72</v>
      </c>
      <c r="J531">
        <v>1150</v>
      </c>
      <c r="K531">
        <v>9</v>
      </c>
      <c r="L531">
        <v>10</v>
      </c>
      <c r="M531">
        <v>3750</v>
      </c>
      <c r="N531" t="s">
        <v>30</v>
      </c>
      <c r="O531">
        <v>0</v>
      </c>
      <c r="P531">
        <v>0</v>
      </c>
      <c r="Q531">
        <v>0</v>
      </c>
      <c r="R531">
        <v>292</v>
      </c>
      <c r="S531">
        <v>308</v>
      </c>
      <c r="T531">
        <v>272</v>
      </c>
      <c r="U531">
        <v>12</v>
      </c>
      <c r="V531" t="s">
        <v>30</v>
      </c>
      <c r="W531" t="s">
        <v>407</v>
      </c>
      <c r="X531" t="s">
        <v>32</v>
      </c>
      <c r="Y531" t="s">
        <v>33</v>
      </c>
    </row>
    <row r="532" spans="1:25" x14ac:dyDescent="0.25">
      <c r="A532">
        <v>2025</v>
      </c>
      <c r="B532" t="s">
        <v>397</v>
      </c>
      <c r="C532" t="s">
        <v>398</v>
      </c>
      <c r="D532" t="s">
        <v>427</v>
      </c>
      <c r="E532" t="s">
        <v>107</v>
      </c>
      <c r="F532" t="s">
        <v>29</v>
      </c>
      <c r="G532">
        <v>44</v>
      </c>
      <c r="H532">
        <v>50</v>
      </c>
      <c r="I532">
        <v>47</v>
      </c>
      <c r="J532">
        <v>1150</v>
      </c>
      <c r="K532">
        <v>9</v>
      </c>
      <c r="L532">
        <v>10</v>
      </c>
      <c r="M532">
        <v>3750</v>
      </c>
      <c r="N532" t="s">
        <v>30</v>
      </c>
      <c r="O532">
        <v>0</v>
      </c>
      <c r="P532">
        <v>0</v>
      </c>
      <c r="Q532">
        <v>0</v>
      </c>
      <c r="R532">
        <v>292</v>
      </c>
      <c r="S532">
        <v>308</v>
      </c>
      <c r="T532">
        <v>272</v>
      </c>
      <c r="U532">
        <v>12</v>
      </c>
      <c r="V532" t="s">
        <v>30</v>
      </c>
      <c r="W532" t="s">
        <v>407</v>
      </c>
      <c r="X532" t="s">
        <v>32</v>
      </c>
      <c r="Y532" t="s">
        <v>33</v>
      </c>
    </row>
    <row r="533" spans="1:25" x14ac:dyDescent="0.25">
      <c r="A533">
        <v>2025</v>
      </c>
      <c r="B533" t="s">
        <v>397</v>
      </c>
      <c r="C533" t="s">
        <v>398</v>
      </c>
      <c r="D533" t="s">
        <v>428</v>
      </c>
      <c r="E533" t="s">
        <v>107</v>
      </c>
      <c r="F533" t="s">
        <v>135</v>
      </c>
      <c r="G533">
        <v>85</v>
      </c>
      <c r="H533">
        <v>72</v>
      </c>
      <c r="I533">
        <v>78</v>
      </c>
      <c r="J533">
        <v>1050</v>
      </c>
      <c r="K533">
        <v>9</v>
      </c>
      <c r="L533">
        <v>10</v>
      </c>
      <c r="M533">
        <v>4250</v>
      </c>
      <c r="N533" t="s">
        <v>30</v>
      </c>
      <c r="O533">
        <v>0</v>
      </c>
      <c r="P533">
        <v>0</v>
      </c>
      <c r="Q533">
        <v>0</v>
      </c>
      <c r="R533">
        <v>317</v>
      </c>
      <c r="S533">
        <v>341</v>
      </c>
      <c r="T533">
        <v>288</v>
      </c>
      <c r="U533">
        <v>12</v>
      </c>
      <c r="V533" t="s">
        <v>30</v>
      </c>
      <c r="W533" t="s">
        <v>420</v>
      </c>
      <c r="X533" t="s">
        <v>32</v>
      </c>
      <c r="Y533" t="s">
        <v>33</v>
      </c>
    </row>
    <row r="534" spans="1:25" x14ac:dyDescent="0.25">
      <c r="A534">
        <v>2025</v>
      </c>
      <c r="B534" t="s">
        <v>397</v>
      </c>
      <c r="C534" t="s">
        <v>398</v>
      </c>
      <c r="D534" t="s">
        <v>428</v>
      </c>
      <c r="E534" t="s">
        <v>107</v>
      </c>
      <c r="F534" t="s">
        <v>135</v>
      </c>
      <c r="G534">
        <v>40</v>
      </c>
      <c r="H534">
        <v>47</v>
      </c>
      <c r="I534">
        <v>43</v>
      </c>
      <c r="J534">
        <v>1050</v>
      </c>
      <c r="K534">
        <v>9</v>
      </c>
      <c r="L534">
        <v>10</v>
      </c>
      <c r="M534">
        <v>4250</v>
      </c>
      <c r="N534" t="s">
        <v>30</v>
      </c>
      <c r="O534">
        <v>0</v>
      </c>
      <c r="P534">
        <v>0</v>
      </c>
      <c r="Q534">
        <v>0</v>
      </c>
      <c r="R534">
        <v>317</v>
      </c>
      <c r="S534">
        <v>341</v>
      </c>
      <c r="T534">
        <v>288</v>
      </c>
      <c r="U534">
        <v>12</v>
      </c>
      <c r="V534" t="s">
        <v>30</v>
      </c>
      <c r="W534" t="s">
        <v>420</v>
      </c>
      <c r="X534" t="s">
        <v>32</v>
      </c>
      <c r="Y534" t="s">
        <v>33</v>
      </c>
    </row>
    <row r="535" spans="1:25" x14ac:dyDescent="0.25">
      <c r="A535">
        <v>2025</v>
      </c>
      <c r="B535" t="s">
        <v>397</v>
      </c>
      <c r="C535" t="s">
        <v>398</v>
      </c>
      <c r="D535" t="s">
        <v>429</v>
      </c>
      <c r="E535" t="s">
        <v>107</v>
      </c>
      <c r="F535" t="s">
        <v>29</v>
      </c>
      <c r="G535">
        <v>85</v>
      </c>
      <c r="H535">
        <v>72</v>
      </c>
      <c r="I535">
        <v>78</v>
      </c>
      <c r="J535">
        <v>1050</v>
      </c>
      <c r="K535">
        <v>9</v>
      </c>
      <c r="L535">
        <v>10</v>
      </c>
      <c r="M535">
        <v>4250</v>
      </c>
      <c r="N535" t="s">
        <v>30</v>
      </c>
      <c r="O535">
        <v>0</v>
      </c>
      <c r="P535">
        <v>0</v>
      </c>
      <c r="Q535">
        <v>0</v>
      </c>
      <c r="R535">
        <v>317</v>
      </c>
      <c r="S535">
        <v>341</v>
      </c>
      <c r="T535">
        <v>288</v>
      </c>
      <c r="U535">
        <v>12</v>
      </c>
      <c r="V535" t="s">
        <v>30</v>
      </c>
      <c r="W535" t="s">
        <v>420</v>
      </c>
      <c r="X535" t="s">
        <v>32</v>
      </c>
      <c r="Y535" t="s">
        <v>33</v>
      </c>
    </row>
    <row r="536" spans="1:25" x14ac:dyDescent="0.25">
      <c r="A536">
        <v>2025</v>
      </c>
      <c r="B536" t="s">
        <v>397</v>
      </c>
      <c r="C536" t="s">
        <v>398</v>
      </c>
      <c r="D536" t="s">
        <v>429</v>
      </c>
      <c r="E536" t="s">
        <v>107</v>
      </c>
      <c r="F536" t="s">
        <v>29</v>
      </c>
      <c r="G536">
        <v>40</v>
      </c>
      <c r="H536">
        <v>47</v>
      </c>
      <c r="I536">
        <v>43</v>
      </c>
      <c r="J536">
        <v>1050</v>
      </c>
      <c r="K536">
        <v>9</v>
      </c>
      <c r="L536">
        <v>10</v>
      </c>
      <c r="M536">
        <v>4250</v>
      </c>
      <c r="N536" t="s">
        <v>30</v>
      </c>
      <c r="O536">
        <v>0</v>
      </c>
      <c r="P536">
        <v>0</v>
      </c>
      <c r="Q536">
        <v>0</v>
      </c>
      <c r="R536">
        <v>317</v>
      </c>
      <c r="S536">
        <v>341</v>
      </c>
      <c r="T536">
        <v>288</v>
      </c>
      <c r="U536">
        <v>12</v>
      </c>
      <c r="V536" t="s">
        <v>30</v>
      </c>
      <c r="W536" t="s">
        <v>420</v>
      </c>
      <c r="X536" t="s">
        <v>32</v>
      </c>
      <c r="Y536" t="s">
        <v>33</v>
      </c>
    </row>
    <row r="537" spans="1:25" x14ac:dyDescent="0.25">
      <c r="A537">
        <v>2025</v>
      </c>
      <c r="B537" t="s">
        <v>397</v>
      </c>
      <c r="C537" t="s">
        <v>398</v>
      </c>
      <c r="D537" t="s">
        <v>430</v>
      </c>
      <c r="E537" t="s">
        <v>107</v>
      </c>
      <c r="F537" t="s">
        <v>135</v>
      </c>
      <c r="G537">
        <v>85</v>
      </c>
      <c r="H537">
        <v>72</v>
      </c>
      <c r="I537">
        <v>78</v>
      </c>
      <c r="J537">
        <v>1050</v>
      </c>
      <c r="K537">
        <v>9</v>
      </c>
      <c r="L537">
        <v>10</v>
      </c>
      <c r="M537">
        <v>4250</v>
      </c>
      <c r="N537" t="s">
        <v>30</v>
      </c>
      <c r="O537">
        <v>0</v>
      </c>
      <c r="P537">
        <v>0</v>
      </c>
      <c r="Q537">
        <v>0</v>
      </c>
      <c r="R537">
        <v>317</v>
      </c>
      <c r="S537">
        <v>341</v>
      </c>
      <c r="T537">
        <v>288</v>
      </c>
      <c r="U537">
        <v>12</v>
      </c>
      <c r="V537" t="s">
        <v>30</v>
      </c>
      <c r="W537" t="s">
        <v>407</v>
      </c>
      <c r="X537" t="s">
        <v>32</v>
      </c>
      <c r="Y537" t="s">
        <v>33</v>
      </c>
    </row>
    <row r="538" spans="1:25" x14ac:dyDescent="0.25">
      <c r="A538">
        <v>2025</v>
      </c>
      <c r="B538" t="s">
        <v>397</v>
      </c>
      <c r="C538" t="s">
        <v>398</v>
      </c>
      <c r="D538" t="s">
        <v>430</v>
      </c>
      <c r="E538" t="s">
        <v>107</v>
      </c>
      <c r="F538" t="s">
        <v>135</v>
      </c>
      <c r="G538">
        <v>40</v>
      </c>
      <c r="H538">
        <v>47</v>
      </c>
      <c r="I538">
        <v>43</v>
      </c>
      <c r="J538">
        <v>1050</v>
      </c>
      <c r="K538">
        <v>9</v>
      </c>
      <c r="L538">
        <v>10</v>
      </c>
      <c r="M538">
        <v>4250</v>
      </c>
      <c r="N538" t="s">
        <v>30</v>
      </c>
      <c r="O538">
        <v>0</v>
      </c>
      <c r="P538">
        <v>0</v>
      </c>
      <c r="Q538">
        <v>0</v>
      </c>
      <c r="R538">
        <v>317</v>
      </c>
      <c r="S538">
        <v>341</v>
      </c>
      <c r="T538">
        <v>288</v>
      </c>
      <c r="U538">
        <v>12</v>
      </c>
      <c r="V538" t="s">
        <v>30</v>
      </c>
      <c r="W538" t="s">
        <v>407</v>
      </c>
      <c r="X538" t="s">
        <v>32</v>
      </c>
      <c r="Y538" t="s">
        <v>33</v>
      </c>
    </row>
    <row r="539" spans="1:25" x14ac:dyDescent="0.25">
      <c r="A539">
        <v>2025</v>
      </c>
      <c r="B539" t="s">
        <v>397</v>
      </c>
      <c r="C539" t="s">
        <v>398</v>
      </c>
      <c r="D539" t="s">
        <v>431</v>
      </c>
      <c r="E539" t="s">
        <v>107</v>
      </c>
      <c r="F539" t="s">
        <v>29</v>
      </c>
      <c r="G539">
        <v>85</v>
      </c>
      <c r="H539">
        <v>72</v>
      </c>
      <c r="I539">
        <v>78</v>
      </c>
      <c r="J539">
        <v>1050</v>
      </c>
      <c r="K539">
        <v>9</v>
      </c>
      <c r="L539">
        <v>10</v>
      </c>
      <c r="M539">
        <v>4250</v>
      </c>
      <c r="N539" t="s">
        <v>30</v>
      </c>
      <c r="O539">
        <v>0</v>
      </c>
      <c r="P539">
        <v>0</v>
      </c>
      <c r="Q539">
        <v>0</v>
      </c>
      <c r="R539">
        <v>317</v>
      </c>
      <c r="S539">
        <v>341</v>
      </c>
      <c r="T539">
        <v>288</v>
      </c>
      <c r="U539">
        <v>12</v>
      </c>
      <c r="V539" t="s">
        <v>30</v>
      </c>
      <c r="W539" t="s">
        <v>420</v>
      </c>
      <c r="X539" t="s">
        <v>32</v>
      </c>
      <c r="Y539" t="s">
        <v>33</v>
      </c>
    </row>
    <row r="540" spans="1:25" x14ac:dyDescent="0.25">
      <c r="A540">
        <v>2025</v>
      </c>
      <c r="B540" t="s">
        <v>397</v>
      </c>
      <c r="C540" t="s">
        <v>398</v>
      </c>
      <c r="D540" t="s">
        <v>431</v>
      </c>
      <c r="E540" t="s">
        <v>107</v>
      </c>
      <c r="F540" t="s">
        <v>29</v>
      </c>
      <c r="G540">
        <v>40</v>
      </c>
      <c r="H540">
        <v>47</v>
      </c>
      <c r="I540">
        <v>43</v>
      </c>
      <c r="J540">
        <v>1050</v>
      </c>
      <c r="K540">
        <v>9</v>
      </c>
      <c r="L540">
        <v>10</v>
      </c>
      <c r="M540">
        <v>4250</v>
      </c>
      <c r="N540" t="s">
        <v>30</v>
      </c>
      <c r="O540">
        <v>0</v>
      </c>
      <c r="P540">
        <v>0</v>
      </c>
      <c r="Q540">
        <v>0</v>
      </c>
      <c r="R540">
        <v>317</v>
      </c>
      <c r="S540">
        <v>341</v>
      </c>
      <c r="T540">
        <v>288</v>
      </c>
      <c r="U540">
        <v>12</v>
      </c>
      <c r="V540" t="s">
        <v>30</v>
      </c>
      <c r="W540" t="s">
        <v>420</v>
      </c>
      <c r="X540" t="s">
        <v>32</v>
      </c>
      <c r="Y540" t="s">
        <v>33</v>
      </c>
    </row>
    <row r="541" spans="1:25" x14ac:dyDescent="0.25">
      <c r="A541">
        <v>2025</v>
      </c>
      <c r="B541" t="s">
        <v>397</v>
      </c>
      <c r="C541" t="s">
        <v>398</v>
      </c>
      <c r="D541" t="s">
        <v>432</v>
      </c>
      <c r="E541" t="s">
        <v>107</v>
      </c>
      <c r="F541" t="s">
        <v>135</v>
      </c>
      <c r="G541">
        <v>81</v>
      </c>
      <c r="H541">
        <v>70</v>
      </c>
      <c r="I541">
        <v>76</v>
      </c>
      <c r="J541">
        <v>11000</v>
      </c>
      <c r="K541">
        <v>9</v>
      </c>
      <c r="L541">
        <v>10</v>
      </c>
      <c r="M541">
        <v>4000</v>
      </c>
      <c r="N541" t="s">
        <v>30</v>
      </c>
      <c r="O541">
        <v>0</v>
      </c>
      <c r="P541">
        <v>0</v>
      </c>
      <c r="Q541">
        <v>0</v>
      </c>
      <c r="R541">
        <v>371</v>
      </c>
      <c r="S541">
        <v>395</v>
      </c>
      <c r="T541">
        <v>341</v>
      </c>
      <c r="U541">
        <v>15</v>
      </c>
      <c r="V541" t="s">
        <v>30</v>
      </c>
      <c r="W541" t="s">
        <v>433</v>
      </c>
      <c r="X541" t="s">
        <v>32</v>
      </c>
      <c r="Y541" t="s">
        <v>33</v>
      </c>
    </row>
    <row r="542" spans="1:25" x14ac:dyDescent="0.25">
      <c r="A542">
        <v>2025</v>
      </c>
      <c r="B542" t="s">
        <v>397</v>
      </c>
      <c r="C542" t="s">
        <v>398</v>
      </c>
      <c r="D542" t="s">
        <v>432</v>
      </c>
      <c r="E542" t="s">
        <v>107</v>
      </c>
      <c r="F542" t="s">
        <v>135</v>
      </c>
      <c r="G542">
        <v>42</v>
      </c>
      <c r="H542">
        <v>48</v>
      </c>
      <c r="I542">
        <v>45</v>
      </c>
      <c r="J542">
        <v>1000</v>
      </c>
      <c r="K542">
        <v>9</v>
      </c>
      <c r="L542">
        <v>10</v>
      </c>
      <c r="M542">
        <v>4000</v>
      </c>
      <c r="N542" t="s">
        <v>30</v>
      </c>
      <c r="O542">
        <v>0</v>
      </c>
      <c r="P542">
        <v>0</v>
      </c>
      <c r="Q542">
        <v>0</v>
      </c>
      <c r="R542">
        <v>371</v>
      </c>
      <c r="S542">
        <v>395</v>
      </c>
      <c r="T542">
        <v>341</v>
      </c>
      <c r="U542">
        <v>15</v>
      </c>
      <c r="V542" t="s">
        <v>30</v>
      </c>
      <c r="W542" t="s">
        <v>433</v>
      </c>
      <c r="X542" t="s">
        <v>32</v>
      </c>
      <c r="Y542" t="s">
        <v>33</v>
      </c>
    </row>
    <row r="543" spans="1:25" x14ac:dyDescent="0.25">
      <c r="A543">
        <v>2025</v>
      </c>
      <c r="B543" t="s">
        <v>397</v>
      </c>
      <c r="C543" t="s">
        <v>398</v>
      </c>
      <c r="D543" t="s">
        <v>434</v>
      </c>
      <c r="E543" t="s">
        <v>107</v>
      </c>
      <c r="F543" t="s">
        <v>29</v>
      </c>
      <c r="G543">
        <v>81</v>
      </c>
      <c r="H543">
        <v>70</v>
      </c>
      <c r="I543">
        <v>76</v>
      </c>
      <c r="J543">
        <v>1100</v>
      </c>
      <c r="K543">
        <v>9</v>
      </c>
      <c r="L543">
        <v>10</v>
      </c>
      <c r="M543">
        <v>4000</v>
      </c>
      <c r="N543" t="s">
        <v>30</v>
      </c>
      <c r="O543">
        <v>0</v>
      </c>
      <c r="P543">
        <v>0</v>
      </c>
      <c r="Q543">
        <v>0</v>
      </c>
      <c r="R543">
        <v>371</v>
      </c>
      <c r="S543">
        <v>395</v>
      </c>
      <c r="T543">
        <v>341</v>
      </c>
      <c r="U543">
        <v>15</v>
      </c>
      <c r="V543" t="s">
        <v>30</v>
      </c>
      <c r="W543" t="s">
        <v>433</v>
      </c>
      <c r="X543" t="s">
        <v>32</v>
      </c>
      <c r="Y543" t="s">
        <v>33</v>
      </c>
    </row>
    <row r="544" spans="1:25" x14ac:dyDescent="0.25">
      <c r="A544">
        <v>2025</v>
      </c>
      <c r="B544" t="s">
        <v>397</v>
      </c>
      <c r="C544" t="s">
        <v>398</v>
      </c>
      <c r="D544" t="s">
        <v>434</v>
      </c>
      <c r="E544" t="s">
        <v>107</v>
      </c>
      <c r="F544" t="s">
        <v>29</v>
      </c>
      <c r="G544">
        <v>42</v>
      </c>
      <c r="H544">
        <v>48</v>
      </c>
      <c r="I544">
        <v>45</v>
      </c>
      <c r="J544">
        <v>1100</v>
      </c>
      <c r="K544">
        <v>9</v>
      </c>
      <c r="L544">
        <v>10</v>
      </c>
      <c r="M544">
        <v>4000</v>
      </c>
      <c r="N544" t="s">
        <v>30</v>
      </c>
      <c r="O544">
        <v>0</v>
      </c>
      <c r="P544">
        <v>0</v>
      </c>
      <c r="Q544">
        <v>0</v>
      </c>
      <c r="R544">
        <v>371</v>
      </c>
      <c r="S544">
        <v>395</v>
      </c>
      <c r="T544">
        <v>341</v>
      </c>
      <c r="U544">
        <v>15</v>
      </c>
      <c r="V544" t="s">
        <v>30</v>
      </c>
      <c r="W544" t="s">
        <v>433</v>
      </c>
      <c r="X544" t="s">
        <v>32</v>
      </c>
      <c r="Y544" t="s">
        <v>33</v>
      </c>
    </row>
    <row r="545" spans="1:25" x14ac:dyDescent="0.25">
      <c r="A545">
        <v>2025</v>
      </c>
      <c r="B545" t="s">
        <v>397</v>
      </c>
      <c r="C545" t="s">
        <v>398</v>
      </c>
      <c r="D545" t="s">
        <v>435</v>
      </c>
      <c r="E545" t="s">
        <v>107</v>
      </c>
      <c r="F545" t="s">
        <v>135</v>
      </c>
      <c r="G545">
        <v>72</v>
      </c>
      <c r="H545">
        <v>63</v>
      </c>
      <c r="I545">
        <v>68</v>
      </c>
      <c r="J545">
        <v>1200</v>
      </c>
      <c r="K545">
        <v>9</v>
      </c>
      <c r="L545">
        <v>10</v>
      </c>
      <c r="M545">
        <v>3500</v>
      </c>
      <c r="N545" t="s">
        <v>30</v>
      </c>
      <c r="O545">
        <v>0</v>
      </c>
      <c r="P545">
        <v>0</v>
      </c>
      <c r="Q545">
        <v>0</v>
      </c>
      <c r="R545">
        <v>329</v>
      </c>
      <c r="S545">
        <v>348</v>
      </c>
      <c r="T545">
        <v>306</v>
      </c>
      <c r="U545">
        <v>15</v>
      </c>
      <c r="V545" t="s">
        <v>30</v>
      </c>
      <c r="W545" t="s">
        <v>436</v>
      </c>
      <c r="X545" t="s">
        <v>32</v>
      </c>
      <c r="Y545" t="s">
        <v>33</v>
      </c>
    </row>
    <row r="546" spans="1:25" x14ac:dyDescent="0.25">
      <c r="A546">
        <v>2025</v>
      </c>
      <c r="B546" t="s">
        <v>397</v>
      </c>
      <c r="C546" t="s">
        <v>398</v>
      </c>
      <c r="D546" t="s">
        <v>435</v>
      </c>
      <c r="E546" t="s">
        <v>107</v>
      </c>
      <c r="F546" t="s">
        <v>135</v>
      </c>
      <c r="G546">
        <v>47</v>
      </c>
      <c r="H546">
        <v>53</v>
      </c>
      <c r="I546">
        <v>50</v>
      </c>
      <c r="J546">
        <v>1200</v>
      </c>
      <c r="K546">
        <v>9</v>
      </c>
      <c r="L546">
        <v>10</v>
      </c>
      <c r="M546">
        <v>3500</v>
      </c>
      <c r="N546" t="s">
        <v>30</v>
      </c>
      <c r="O546">
        <v>0</v>
      </c>
      <c r="P546">
        <v>0</v>
      </c>
      <c r="Q546">
        <v>0</v>
      </c>
      <c r="R546">
        <v>329</v>
      </c>
      <c r="S546">
        <v>348</v>
      </c>
      <c r="T546">
        <v>306</v>
      </c>
      <c r="U546">
        <v>15</v>
      </c>
      <c r="V546" t="s">
        <v>30</v>
      </c>
      <c r="W546" t="s">
        <v>436</v>
      </c>
      <c r="X546" t="s">
        <v>32</v>
      </c>
      <c r="Y546" t="s">
        <v>33</v>
      </c>
    </row>
    <row r="547" spans="1:25" x14ac:dyDescent="0.25">
      <c r="A547">
        <v>2025</v>
      </c>
      <c r="B547" t="s">
        <v>397</v>
      </c>
      <c r="C547" t="s">
        <v>398</v>
      </c>
      <c r="D547" t="s">
        <v>437</v>
      </c>
      <c r="E547" t="s">
        <v>107</v>
      </c>
      <c r="F547" t="s">
        <v>29</v>
      </c>
      <c r="G547">
        <v>72</v>
      </c>
      <c r="H547">
        <v>63</v>
      </c>
      <c r="I547">
        <v>68</v>
      </c>
      <c r="J547">
        <v>1200</v>
      </c>
      <c r="K547">
        <v>9</v>
      </c>
      <c r="L547">
        <v>10</v>
      </c>
      <c r="M547">
        <v>3500</v>
      </c>
      <c r="N547" t="s">
        <v>30</v>
      </c>
      <c r="O547">
        <v>0</v>
      </c>
      <c r="P547">
        <v>0</v>
      </c>
      <c r="Q547">
        <v>0</v>
      </c>
      <c r="R547">
        <v>329</v>
      </c>
      <c r="S547">
        <v>348</v>
      </c>
      <c r="T547">
        <v>306</v>
      </c>
      <c r="U547">
        <v>15</v>
      </c>
      <c r="V547" t="s">
        <v>30</v>
      </c>
      <c r="W547" t="s">
        <v>433</v>
      </c>
      <c r="X547" t="s">
        <v>32</v>
      </c>
      <c r="Y547" t="s">
        <v>33</v>
      </c>
    </row>
    <row r="548" spans="1:25" x14ac:dyDescent="0.25">
      <c r="A548">
        <v>2025</v>
      </c>
      <c r="B548" t="s">
        <v>397</v>
      </c>
      <c r="C548" t="s">
        <v>398</v>
      </c>
      <c r="D548" t="s">
        <v>437</v>
      </c>
      <c r="E548" t="s">
        <v>107</v>
      </c>
      <c r="F548" t="s">
        <v>29</v>
      </c>
      <c r="G548">
        <v>47</v>
      </c>
      <c r="H548">
        <v>53</v>
      </c>
      <c r="I548">
        <v>50</v>
      </c>
      <c r="J548">
        <v>1200</v>
      </c>
      <c r="K548">
        <v>9</v>
      </c>
      <c r="L548">
        <v>10</v>
      </c>
      <c r="M548">
        <v>3500</v>
      </c>
      <c r="N548" t="s">
        <v>30</v>
      </c>
      <c r="O548">
        <v>0</v>
      </c>
      <c r="P548">
        <v>0</v>
      </c>
      <c r="Q548">
        <v>0</v>
      </c>
      <c r="R548">
        <v>329</v>
      </c>
      <c r="S548">
        <v>348</v>
      </c>
      <c r="T548">
        <v>306</v>
      </c>
      <c r="U548">
        <v>15</v>
      </c>
      <c r="V548" t="s">
        <v>30</v>
      </c>
      <c r="W548" t="s">
        <v>433</v>
      </c>
      <c r="X548" t="s">
        <v>32</v>
      </c>
      <c r="Y548" t="s">
        <v>33</v>
      </c>
    </row>
    <row r="549" spans="1:25" x14ac:dyDescent="0.25">
      <c r="A549">
        <v>2025</v>
      </c>
      <c r="B549" t="s">
        <v>397</v>
      </c>
      <c r="C549" t="s">
        <v>398</v>
      </c>
      <c r="D549" t="s">
        <v>438</v>
      </c>
      <c r="E549" t="s">
        <v>107</v>
      </c>
      <c r="F549" t="s">
        <v>135</v>
      </c>
      <c r="G549">
        <v>94</v>
      </c>
      <c r="H549">
        <v>77</v>
      </c>
      <c r="I549">
        <v>85</v>
      </c>
      <c r="J549">
        <v>950</v>
      </c>
      <c r="K549">
        <v>9</v>
      </c>
      <c r="L549">
        <v>10</v>
      </c>
      <c r="M549">
        <v>4750</v>
      </c>
      <c r="N549" t="s">
        <v>30</v>
      </c>
      <c r="O549">
        <v>0</v>
      </c>
      <c r="P549">
        <v>0</v>
      </c>
      <c r="Q549">
        <v>0</v>
      </c>
      <c r="R549">
        <v>329</v>
      </c>
      <c r="S549">
        <v>358</v>
      </c>
      <c r="T549">
        <v>293</v>
      </c>
      <c r="U549">
        <v>12</v>
      </c>
      <c r="V549" t="s">
        <v>30</v>
      </c>
      <c r="W549" t="s">
        <v>420</v>
      </c>
      <c r="X549" t="s">
        <v>32</v>
      </c>
      <c r="Y549" t="s">
        <v>33</v>
      </c>
    </row>
    <row r="550" spans="1:25" x14ac:dyDescent="0.25">
      <c r="A550">
        <v>2025</v>
      </c>
      <c r="B550" t="s">
        <v>397</v>
      </c>
      <c r="C550" t="s">
        <v>398</v>
      </c>
      <c r="D550" t="s">
        <v>438</v>
      </c>
      <c r="E550" t="s">
        <v>107</v>
      </c>
      <c r="F550" t="s">
        <v>135</v>
      </c>
      <c r="G550">
        <v>36</v>
      </c>
      <c r="H550">
        <v>44</v>
      </c>
      <c r="I550">
        <v>39</v>
      </c>
      <c r="J550">
        <v>950</v>
      </c>
      <c r="K550">
        <v>9</v>
      </c>
      <c r="L550">
        <v>10</v>
      </c>
      <c r="M550">
        <v>4750</v>
      </c>
      <c r="N550" t="s">
        <v>30</v>
      </c>
      <c r="O550">
        <v>0</v>
      </c>
      <c r="P550">
        <v>0</v>
      </c>
      <c r="Q550">
        <v>0</v>
      </c>
      <c r="R550">
        <v>329</v>
      </c>
      <c r="S550">
        <v>358</v>
      </c>
      <c r="T550">
        <v>293</v>
      </c>
      <c r="U550">
        <v>12</v>
      </c>
      <c r="V550" t="s">
        <v>30</v>
      </c>
      <c r="W550" t="s">
        <v>420</v>
      </c>
      <c r="X550" t="s">
        <v>32</v>
      </c>
      <c r="Y550" t="s">
        <v>33</v>
      </c>
    </row>
    <row r="551" spans="1:25" x14ac:dyDescent="0.25">
      <c r="A551">
        <v>2025</v>
      </c>
      <c r="B551" t="s">
        <v>397</v>
      </c>
      <c r="C551" t="s">
        <v>398</v>
      </c>
      <c r="D551" t="s">
        <v>439</v>
      </c>
      <c r="E551" t="s">
        <v>107</v>
      </c>
      <c r="F551" t="s">
        <v>29</v>
      </c>
      <c r="G551">
        <v>94</v>
      </c>
      <c r="H551">
        <v>77</v>
      </c>
      <c r="I551">
        <v>85</v>
      </c>
      <c r="J551">
        <v>950</v>
      </c>
      <c r="K551">
        <v>9</v>
      </c>
      <c r="L551">
        <v>10</v>
      </c>
      <c r="M551">
        <v>4750</v>
      </c>
      <c r="N551" t="s">
        <v>30</v>
      </c>
      <c r="O551">
        <v>0</v>
      </c>
      <c r="P551">
        <v>0</v>
      </c>
      <c r="Q551">
        <v>0</v>
      </c>
      <c r="R551">
        <v>329</v>
      </c>
      <c r="S551">
        <v>358</v>
      </c>
      <c r="T551">
        <v>293</v>
      </c>
      <c r="U551">
        <v>12</v>
      </c>
      <c r="V551" t="s">
        <v>30</v>
      </c>
      <c r="W551" t="s">
        <v>420</v>
      </c>
      <c r="X551" t="s">
        <v>32</v>
      </c>
      <c r="Y551" t="s">
        <v>33</v>
      </c>
    </row>
    <row r="552" spans="1:25" x14ac:dyDescent="0.25">
      <c r="A552">
        <v>2025</v>
      </c>
      <c r="B552" t="s">
        <v>397</v>
      </c>
      <c r="C552" t="s">
        <v>398</v>
      </c>
      <c r="D552" t="s">
        <v>439</v>
      </c>
      <c r="E552" t="s">
        <v>107</v>
      </c>
      <c r="F552" t="s">
        <v>29</v>
      </c>
      <c r="G552">
        <v>36</v>
      </c>
      <c r="H552">
        <v>44</v>
      </c>
      <c r="I552">
        <v>39</v>
      </c>
      <c r="J552">
        <v>950</v>
      </c>
      <c r="K552">
        <v>9</v>
      </c>
      <c r="L552">
        <v>10</v>
      </c>
      <c r="M552">
        <v>4750</v>
      </c>
      <c r="N552" t="s">
        <v>30</v>
      </c>
      <c r="O552">
        <v>0</v>
      </c>
      <c r="P552">
        <v>0</v>
      </c>
      <c r="Q552">
        <v>0</v>
      </c>
      <c r="R552">
        <v>329</v>
      </c>
      <c r="S552">
        <v>358</v>
      </c>
      <c r="T552">
        <v>293</v>
      </c>
      <c r="U552">
        <v>12</v>
      </c>
      <c r="V552" t="s">
        <v>30</v>
      </c>
      <c r="W552" t="s">
        <v>420</v>
      </c>
      <c r="X552" t="s">
        <v>32</v>
      </c>
      <c r="Y552" t="s">
        <v>33</v>
      </c>
    </row>
    <row r="553" spans="1:25" x14ac:dyDescent="0.25">
      <c r="A553">
        <v>2025</v>
      </c>
      <c r="B553" t="s">
        <v>397</v>
      </c>
      <c r="C553" t="s">
        <v>398</v>
      </c>
      <c r="D553" t="s">
        <v>440</v>
      </c>
      <c r="E553" t="s">
        <v>107</v>
      </c>
      <c r="F553" t="s">
        <v>135</v>
      </c>
      <c r="G553">
        <v>85</v>
      </c>
      <c r="H553">
        <v>72</v>
      </c>
      <c r="I553">
        <v>79</v>
      </c>
      <c r="J553">
        <v>1050</v>
      </c>
      <c r="K553">
        <v>9</v>
      </c>
      <c r="L553">
        <v>10</v>
      </c>
      <c r="M553">
        <v>4250</v>
      </c>
      <c r="N553" t="s">
        <v>30</v>
      </c>
      <c r="O553">
        <v>0</v>
      </c>
      <c r="P553">
        <v>0</v>
      </c>
      <c r="Q553">
        <v>0</v>
      </c>
      <c r="R553">
        <v>300</v>
      </c>
      <c r="S553">
        <v>322</v>
      </c>
      <c r="T553">
        <v>273</v>
      </c>
      <c r="U553">
        <v>12</v>
      </c>
      <c r="V553" t="s">
        <v>30</v>
      </c>
      <c r="W553" t="s">
        <v>420</v>
      </c>
      <c r="X553" t="s">
        <v>32</v>
      </c>
      <c r="Y553" t="s">
        <v>33</v>
      </c>
    </row>
    <row r="554" spans="1:25" x14ac:dyDescent="0.25">
      <c r="A554">
        <v>2025</v>
      </c>
      <c r="B554" t="s">
        <v>397</v>
      </c>
      <c r="C554" t="s">
        <v>398</v>
      </c>
      <c r="D554" t="s">
        <v>440</v>
      </c>
      <c r="E554" t="s">
        <v>107</v>
      </c>
      <c r="F554" t="s">
        <v>135</v>
      </c>
      <c r="G554">
        <v>40</v>
      </c>
      <c r="H554">
        <v>47</v>
      </c>
      <c r="I554">
        <v>43</v>
      </c>
      <c r="J554">
        <v>1050</v>
      </c>
      <c r="K554">
        <v>9</v>
      </c>
      <c r="L554">
        <v>10</v>
      </c>
      <c r="M554">
        <v>4250</v>
      </c>
      <c r="N554" t="s">
        <v>30</v>
      </c>
      <c r="O554">
        <v>0</v>
      </c>
      <c r="P554">
        <v>0</v>
      </c>
      <c r="Q554">
        <v>0</v>
      </c>
      <c r="R554">
        <v>300</v>
      </c>
      <c r="S554">
        <v>322</v>
      </c>
      <c r="T554">
        <v>273</v>
      </c>
      <c r="U554">
        <v>12</v>
      </c>
      <c r="V554" t="s">
        <v>30</v>
      </c>
      <c r="W554" t="s">
        <v>420</v>
      </c>
      <c r="X554" t="s">
        <v>32</v>
      </c>
      <c r="Y554" t="s">
        <v>33</v>
      </c>
    </row>
    <row r="555" spans="1:25" x14ac:dyDescent="0.25">
      <c r="A555">
        <v>2025</v>
      </c>
      <c r="B555" t="s">
        <v>397</v>
      </c>
      <c r="C555" t="s">
        <v>398</v>
      </c>
      <c r="D555" t="s">
        <v>441</v>
      </c>
      <c r="E555" t="s">
        <v>107</v>
      </c>
      <c r="F555" t="s">
        <v>29</v>
      </c>
      <c r="G555">
        <v>85</v>
      </c>
      <c r="H555">
        <v>72</v>
      </c>
      <c r="I555">
        <v>79</v>
      </c>
      <c r="J555">
        <v>1050</v>
      </c>
      <c r="K555">
        <v>9</v>
      </c>
      <c r="L555">
        <v>10</v>
      </c>
      <c r="M555">
        <v>4250</v>
      </c>
      <c r="N555" t="s">
        <v>30</v>
      </c>
      <c r="O555">
        <v>0</v>
      </c>
      <c r="P555">
        <v>0</v>
      </c>
      <c r="Q555">
        <v>0</v>
      </c>
      <c r="R555">
        <v>300</v>
      </c>
      <c r="S555">
        <v>322</v>
      </c>
      <c r="T555">
        <v>273</v>
      </c>
      <c r="U555">
        <v>12</v>
      </c>
      <c r="V555" t="s">
        <v>30</v>
      </c>
      <c r="W555" t="s">
        <v>420</v>
      </c>
      <c r="X555" t="s">
        <v>32</v>
      </c>
      <c r="Y555" t="s">
        <v>33</v>
      </c>
    </row>
    <row r="556" spans="1:25" x14ac:dyDescent="0.25">
      <c r="A556">
        <v>2025</v>
      </c>
      <c r="B556" t="s">
        <v>397</v>
      </c>
      <c r="C556" t="s">
        <v>398</v>
      </c>
      <c r="D556" t="s">
        <v>441</v>
      </c>
      <c r="E556" t="s">
        <v>107</v>
      </c>
      <c r="F556" t="s">
        <v>29</v>
      </c>
      <c r="G556">
        <v>40</v>
      </c>
      <c r="H556">
        <v>47</v>
      </c>
      <c r="I556">
        <v>43</v>
      </c>
      <c r="J556">
        <v>1050</v>
      </c>
      <c r="K556">
        <v>9</v>
      </c>
      <c r="L556">
        <v>10</v>
      </c>
      <c r="M556">
        <v>4250</v>
      </c>
      <c r="N556" t="s">
        <v>30</v>
      </c>
      <c r="O556">
        <v>0</v>
      </c>
      <c r="P556">
        <v>0</v>
      </c>
      <c r="Q556">
        <v>0</v>
      </c>
      <c r="R556">
        <v>300</v>
      </c>
      <c r="S556">
        <v>322</v>
      </c>
      <c r="T556">
        <v>273</v>
      </c>
      <c r="U556">
        <v>12</v>
      </c>
      <c r="V556" t="s">
        <v>30</v>
      </c>
      <c r="W556" t="s">
        <v>420</v>
      </c>
      <c r="X556" t="s">
        <v>32</v>
      </c>
      <c r="Y556" t="s">
        <v>33</v>
      </c>
    </row>
    <row r="557" spans="1:25" x14ac:dyDescent="0.25">
      <c r="A557">
        <v>2025</v>
      </c>
      <c r="B557" t="s">
        <v>397</v>
      </c>
      <c r="C557" t="s">
        <v>398</v>
      </c>
      <c r="D557" t="s">
        <v>442</v>
      </c>
      <c r="E557" t="s">
        <v>107</v>
      </c>
      <c r="F557" t="s">
        <v>135</v>
      </c>
      <c r="G557">
        <v>82</v>
      </c>
      <c r="H557">
        <v>70</v>
      </c>
      <c r="I557">
        <v>76</v>
      </c>
      <c r="J557">
        <v>1050</v>
      </c>
      <c r="K557">
        <v>9</v>
      </c>
      <c r="L557">
        <v>10</v>
      </c>
      <c r="M557">
        <v>4250</v>
      </c>
      <c r="N557" t="s">
        <v>30</v>
      </c>
      <c r="O557">
        <v>0</v>
      </c>
      <c r="P557">
        <v>0</v>
      </c>
      <c r="Q557">
        <v>0</v>
      </c>
      <c r="R557">
        <v>289</v>
      </c>
      <c r="S557">
        <v>310</v>
      </c>
      <c r="T557">
        <v>264</v>
      </c>
      <c r="U557">
        <v>12</v>
      </c>
      <c r="V557" t="s">
        <v>30</v>
      </c>
      <c r="W557" t="s">
        <v>420</v>
      </c>
      <c r="X557" t="s">
        <v>32</v>
      </c>
      <c r="Y557" t="s">
        <v>33</v>
      </c>
    </row>
    <row r="558" spans="1:25" x14ac:dyDescent="0.25">
      <c r="A558">
        <v>2025</v>
      </c>
      <c r="B558" t="s">
        <v>397</v>
      </c>
      <c r="C558" t="s">
        <v>398</v>
      </c>
      <c r="D558" t="s">
        <v>442</v>
      </c>
      <c r="E558" t="s">
        <v>107</v>
      </c>
      <c r="F558" t="s">
        <v>135</v>
      </c>
      <c r="G558">
        <v>41</v>
      </c>
      <c r="H558">
        <v>48</v>
      </c>
      <c r="I558">
        <v>44</v>
      </c>
      <c r="J558">
        <v>1050</v>
      </c>
      <c r="K558">
        <v>9</v>
      </c>
      <c r="L558">
        <v>10</v>
      </c>
      <c r="M558">
        <v>4250</v>
      </c>
      <c r="N558" t="s">
        <v>30</v>
      </c>
      <c r="O558">
        <v>0</v>
      </c>
      <c r="P558">
        <v>0</v>
      </c>
      <c r="Q558">
        <v>0</v>
      </c>
      <c r="R558">
        <v>289</v>
      </c>
      <c r="S558">
        <v>310</v>
      </c>
      <c r="T558">
        <v>264</v>
      </c>
      <c r="U558">
        <v>12</v>
      </c>
      <c r="V558" t="s">
        <v>30</v>
      </c>
      <c r="W558" t="s">
        <v>420</v>
      </c>
      <c r="X558" t="s">
        <v>32</v>
      </c>
      <c r="Y558" t="s">
        <v>33</v>
      </c>
    </row>
    <row r="559" spans="1:25" x14ac:dyDescent="0.25">
      <c r="A559">
        <v>2025</v>
      </c>
      <c r="B559" t="s">
        <v>397</v>
      </c>
      <c r="C559" t="s">
        <v>398</v>
      </c>
      <c r="D559" t="s">
        <v>443</v>
      </c>
      <c r="E559" t="s">
        <v>107</v>
      </c>
      <c r="F559" t="s">
        <v>29</v>
      </c>
      <c r="G559">
        <v>82</v>
      </c>
      <c r="H559">
        <v>70</v>
      </c>
      <c r="I559">
        <v>76</v>
      </c>
      <c r="J559">
        <v>1050</v>
      </c>
      <c r="K559">
        <v>9</v>
      </c>
      <c r="L559">
        <v>10</v>
      </c>
      <c r="M559">
        <v>4250</v>
      </c>
      <c r="N559" t="s">
        <v>30</v>
      </c>
      <c r="O559">
        <v>0</v>
      </c>
      <c r="P559">
        <v>0</v>
      </c>
      <c r="Q559">
        <v>0</v>
      </c>
      <c r="R559">
        <v>289</v>
      </c>
      <c r="S559">
        <v>310</v>
      </c>
      <c r="T559">
        <v>264</v>
      </c>
      <c r="U559">
        <v>12</v>
      </c>
      <c r="V559" t="s">
        <v>30</v>
      </c>
      <c r="W559" t="s">
        <v>420</v>
      </c>
      <c r="X559" t="s">
        <v>32</v>
      </c>
      <c r="Y559" t="s">
        <v>33</v>
      </c>
    </row>
    <row r="560" spans="1:25" x14ac:dyDescent="0.25">
      <c r="A560">
        <v>2025</v>
      </c>
      <c r="B560" t="s">
        <v>397</v>
      </c>
      <c r="C560" t="s">
        <v>398</v>
      </c>
      <c r="D560" t="s">
        <v>443</v>
      </c>
      <c r="E560" t="s">
        <v>107</v>
      </c>
      <c r="F560" t="s">
        <v>29</v>
      </c>
      <c r="G560">
        <v>41</v>
      </c>
      <c r="H560">
        <v>48</v>
      </c>
      <c r="I560">
        <v>44</v>
      </c>
      <c r="J560">
        <v>1050</v>
      </c>
      <c r="K560">
        <v>9</v>
      </c>
      <c r="L560">
        <v>10</v>
      </c>
      <c r="M560">
        <v>4250</v>
      </c>
      <c r="N560" t="s">
        <v>30</v>
      </c>
      <c r="O560">
        <v>0</v>
      </c>
      <c r="P560">
        <v>0</v>
      </c>
      <c r="Q560">
        <v>0</v>
      </c>
      <c r="R560">
        <v>289</v>
      </c>
      <c r="S560">
        <v>310</v>
      </c>
      <c r="T560">
        <v>264</v>
      </c>
      <c r="U560">
        <v>12</v>
      </c>
      <c r="V560" t="s">
        <v>30</v>
      </c>
      <c r="W560" t="s">
        <v>420</v>
      </c>
      <c r="X560" t="s">
        <v>32</v>
      </c>
      <c r="Y560" t="s">
        <v>33</v>
      </c>
    </row>
    <row r="561" spans="1:25" x14ac:dyDescent="0.25">
      <c r="A561">
        <v>2025</v>
      </c>
      <c r="B561" t="s">
        <v>397</v>
      </c>
      <c r="C561" t="s">
        <v>398</v>
      </c>
      <c r="D561" t="s">
        <v>444</v>
      </c>
      <c r="E561" t="s">
        <v>107</v>
      </c>
      <c r="F561" t="s">
        <v>135</v>
      </c>
      <c r="G561">
        <v>94</v>
      </c>
      <c r="H561">
        <v>77</v>
      </c>
      <c r="I561">
        <v>85</v>
      </c>
      <c r="J561">
        <v>950</v>
      </c>
      <c r="K561">
        <v>9</v>
      </c>
      <c r="L561">
        <v>10</v>
      </c>
      <c r="M561">
        <v>4750</v>
      </c>
      <c r="N561" t="s">
        <v>30</v>
      </c>
      <c r="O561">
        <v>0</v>
      </c>
      <c r="P561">
        <v>0</v>
      </c>
      <c r="Q561">
        <v>0</v>
      </c>
      <c r="R561">
        <v>329</v>
      </c>
      <c r="S561">
        <v>358</v>
      </c>
      <c r="T561">
        <v>293</v>
      </c>
      <c r="U561">
        <v>12</v>
      </c>
      <c r="V561" t="s">
        <v>30</v>
      </c>
      <c r="W561" t="s">
        <v>420</v>
      </c>
      <c r="X561" t="s">
        <v>32</v>
      </c>
      <c r="Y561" t="s">
        <v>33</v>
      </c>
    </row>
    <row r="562" spans="1:25" x14ac:dyDescent="0.25">
      <c r="A562">
        <v>2025</v>
      </c>
      <c r="B562" t="s">
        <v>397</v>
      </c>
      <c r="C562" t="s">
        <v>398</v>
      </c>
      <c r="D562" t="s">
        <v>444</v>
      </c>
      <c r="E562" t="s">
        <v>107</v>
      </c>
      <c r="F562" t="s">
        <v>135</v>
      </c>
      <c r="G562">
        <v>36</v>
      </c>
      <c r="H562">
        <v>44</v>
      </c>
      <c r="I562">
        <v>39</v>
      </c>
      <c r="J562">
        <v>950</v>
      </c>
      <c r="K562">
        <v>9</v>
      </c>
      <c r="L562">
        <v>10</v>
      </c>
      <c r="M562">
        <v>4750</v>
      </c>
      <c r="N562" t="s">
        <v>30</v>
      </c>
      <c r="O562">
        <v>0</v>
      </c>
      <c r="P562">
        <v>0</v>
      </c>
      <c r="Q562">
        <v>0</v>
      </c>
      <c r="R562">
        <v>329</v>
      </c>
      <c r="S562">
        <v>358</v>
      </c>
      <c r="T562">
        <v>293</v>
      </c>
      <c r="U562">
        <v>12</v>
      </c>
      <c r="V562" t="s">
        <v>30</v>
      </c>
      <c r="W562" t="s">
        <v>420</v>
      </c>
      <c r="X562" t="s">
        <v>32</v>
      </c>
      <c r="Y562" t="s">
        <v>33</v>
      </c>
    </row>
    <row r="563" spans="1:25" x14ac:dyDescent="0.25">
      <c r="A563">
        <v>2025</v>
      </c>
      <c r="B563" t="s">
        <v>397</v>
      </c>
      <c r="C563" t="s">
        <v>398</v>
      </c>
      <c r="D563" t="s">
        <v>445</v>
      </c>
      <c r="E563" t="s">
        <v>107</v>
      </c>
      <c r="F563" t="s">
        <v>29</v>
      </c>
      <c r="G563">
        <v>94</v>
      </c>
      <c r="H563">
        <v>77</v>
      </c>
      <c r="I563">
        <v>85</v>
      </c>
      <c r="J563">
        <v>950</v>
      </c>
      <c r="K563">
        <v>9</v>
      </c>
      <c r="L563">
        <v>10</v>
      </c>
      <c r="M563">
        <v>4750</v>
      </c>
      <c r="N563" t="s">
        <v>30</v>
      </c>
      <c r="O563">
        <v>0</v>
      </c>
      <c r="P563">
        <v>0</v>
      </c>
      <c r="Q563">
        <v>0</v>
      </c>
      <c r="R563">
        <v>329</v>
      </c>
      <c r="S563">
        <v>358</v>
      </c>
      <c r="T563">
        <v>293</v>
      </c>
      <c r="U563">
        <v>12</v>
      </c>
      <c r="V563" t="s">
        <v>30</v>
      </c>
      <c r="W563" t="s">
        <v>420</v>
      </c>
      <c r="X563" t="s">
        <v>32</v>
      </c>
      <c r="Y563" t="s">
        <v>33</v>
      </c>
    </row>
    <row r="564" spans="1:25" x14ac:dyDescent="0.25">
      <c r="A564">
        <v>2025</v>
      </c>
      <c r="B564" t="s">
        <v>397</v>
      </c>
      <c r="C564" t="s">
        <v>398</v>
      </c>
      <c r="D564" t="s">
        <v>445</v>
      </c>
      <c r="E564" t="s">
        <v>107</v>
      </c>
      <c r="F564" t="s">
        <v>29</v>
      </c>
      <c r="G564">
        <v>36</v>
      </c>
      <c r="H564">
        <v>44</v>
      </c>
      <c r="I564">
        <v>39</v>
      </c>
      <c r="J564">
        <v>950</v>
      </c>
      <c r="K564">
        <v>9</v>
      </c>
      <c r="L564">
        <v>10</v>
      </c>
      <c r="M564">
        <v>4750</v>
      </c>
      <c r="N564" t="s">
        <v>30</v>
      </c>
      <c r="O564">
        <v>0</v>
      </c>
      <c r="P564">
        <v>0</v>
      </c>
      <c r="Q564">
        <v>0</v>
      </c>
      <c r="R564">
        <v>329</v>
      </c>
      <c r="S564">
        <v>358</v>
      </c>
      <c r="T564">
        <v>293</v>
      </c>
      <c r="U564">
        <v>12</v>
      </c>
      <c r="V564" t="s">
        <v>30</v>
      </c>
      <c r="W564" t="s">
        <v>420</v>
      </c>
      <c r="X564" t="s">
        <v>32</v>
      </c>
      <c r="Y564" t="s">
        <v>33</v>
      </c>
    </row>
    <row r="565" spans="1:25" x14ac:dyDescent="0.25">
      <c r="A565">
        <v>2025</v>
      </c>
      <c r="B565" t="s">
        <v>397</v>
      </c>
      <c r="C565" t="s">
        <v>398</v>
      </c>
      <c r="D565" t="s">
        <v>446</v>
      </c>
      <c r="E565" t="s">
        <v>107</v>
      </c>
      <c r="F565" t="s">
        <v>135</v>
      </c>
      <c r="G565">
        <v>85</v>
      </c>
      <c r="H565">
        <v>72</v>
      </c>
      <c r="I565">
        <v>79</v>
      </c>
      <c r="J565">
        <v>1050</v>
      </c>
      <c r="K565">
        <v>9</v>
      </c>
      <c r="L565">
        <v>10</v>
      </c>
      <c r="M565">
        <v>4250</v>
      </c>
      <c r="N565" t="s">
        <v>30</v>
      </c>
      <c r="O565">
        <v>0</v>
      </c>
      <c r="P565">
        <v>0</v>
      </c>
      <c r="Q565">
        <v>0</v>
      </c>
      <c r="R565">
        <v>300</v>
      </c>
      <c r="S565">
        <v>322</v>
      </c>
      <c r="T565">
        <v>273</v>
      </c>
      <c r="U565">
        <v>12</v>
      </c>
      <c r="V565" t="s">
        <v>30</v>
      </c>
      <c r="W565" t="s">
        <v>420</v>
      </c>
      <c r="X565" t="s">
        <v>32</v>
      </c>
      <c r="Y565" t="s">
        <v>33</v>
      </c>
    </row>
    <row r="566" spans="1:25" x14ac:dyDescent="0.25">
      <c r="A566">
        <v>2025</v>
      </c>
      <c r="B566" t="s">
        <v>397</v>
      </c>
      <c r="C566" t="s">
        <v>398</v>
      </c>
      <c r="D566" t="s">
        <v>446</v>
      </c>
      <c r="E566" t="s">
        <v>107</v>
      </c>
      <c r="F566" t="s">
        <v>135</v>
      </c>
      <c r="G566">
        <v>40</v>
      </c>
      <c r="H566">
        <v>47</v>
      </c>
      <c r="I566">
        <v>43</v>
      </c>
      <c r="J566">
        <v>1050</v>
      </c>
      <c r="K566">
        <v>9</v>
      </c>
      <c r="L566">
        <v>10</v>
      </c>
      <c r="M566">
        <v>4250</v>
      </c>
      <c r="N566" t="s">
        <v>30</v>
      </c>
      <c r="O566">
        <v>0</v>
      </c>
      <c r="P566">
        <v>0</v>
      </c>
      <c r="Q566">
        <v>0</v>
      </c>
      <c r="R566">
        <v>300</v>
      </c>
      <c r="S566">
        <v>322</v>
      </c>
      <c r="T566">
        <v>273</v>
      </c>
      <c r="U566">
        <v>12</v>
      </c>
      <c r="V566" t="s">
        <v>30</v>
      </c>
      <c r="W566" t="s">
        <v>420</v>
      </c>
      <c r="X566" t="s">
        <v>32</v>
      </c>
      <c r="Y566" t="s">
        <v>33</v>
      </c>
    </row>
    <row r="567" spans="1:25" x14ac:dyDescent="0.25">
      <c r="A567">
        <v>2025</v>
      </c>
      <c r="B567" t="s">
        <v>397</v>
      </c>
      <c r="C567" t="s">
        <v>398</v>
      </c>
      <c r="D567" t="s">
        <v>447</v>
      </c>
      <c r="E567" t="s">
        <v>107</v>
      </c>
      <c r="F567" t="s">
        <v>29</v>
      </c>
      <c r="G567">
        <v>85</v>
      </c>
      <c r="H567">
        <v>72</v>
      </c>
      <c r="I567">
        <v>79</v>
      </c>
      <c r="J567">
        <v>1050</v>
      </c>
      <c r="K567">
        <v>9</v>
      </c>
      <c r="L567">
        <v>10</v>
      </c>
      <c r="M567">
        <v>4250</v>
      </c>
      <c r="N567" t="s">
        <v>30</v>
      </c>
      <c r="O567">
        <v>0</v>
      </c>
      <c r="P567">
        <v>0</v>
      </c>
      <c r="Q567">
        <v>0</v>
      </c>
      <c r="R567">
        <v>300</v>
      </c>
      <c r="S567">
        <v>322</v>
      </c>
      <c r="T567">
        <v>273</v>
      </c>
      <c r="U567">
        <v>12</v>
      </c>
      <c r="V567" t="s">
        <v>30</v>
      </c>
      <c r="W567" t="s">
        <v>420</v>
      </c>
      <c r="X567" t="s">
        <v>32</v>
      </c>
      <c r="Y567" t="s">
        <v>33</v>
      </c>
    </row>
    <row r="568" spans="1:25" x14ac:dyDescent="0.25">
      <c r="A568">
        <v>2025</v>
      </c>
      <c r="B568" t="s">
        <v>397</v>
      </c>
      <c r="C568" t="s">
        <v>398</v>
      </c>
      <c r="D568" t="s">
        <v>447</v>
      </c>
      <c r="E568" t="s">
        <v>107</v>
      </c>
      <c r="F568" t="s">
        <v>29</v>
      </c>
      <c r="G568">
        <v>40</v>
      </c>
      <c r="H568">
        <v>47</v>
      </c>
      <c r="I568">
        <v>43</v>
      </c>
      <c r="J568">
        <v>1050</v>
      </c>
      <c r="K568">
        <v>9</v>
      </c>
      <c r="L568">
        <v>10</v>
      </c>
      <c r="M568">
        <v>4250</v>
      </c>
      <c r="N568" t="s">
        <v>30</v>
      </c>
      <c r="O568">
        <v>0</v>
      </c>
      <c r="P568">
        <v>0</v>
      </c>
      <c r="Q568">
        <v>0</v>
      </c>
      <c r="R568">
        <v>300</v>
      </c>
      <c r="S568">
        <v>322</v>
      </c>
      <c r="T568">
        <v>273</v>
      </c>
      <c r="U568">
        <v>12</v>
      </c>
      <c r="V568" t="s">
        <v>30</v>
      </c>
      <c r="W568" t="s">
        <v>420</v>
      </c>
      <c r="X568" t="s">
        <v>32</v>
      </c>
      <c r="Y568" t="s">
        <v>33</v>
      </c>
    </row>
    <row r="569" spans="1:25" x14ac:dyDescent="0.25">
      <c r="A569">
        <v>2025</v>
      </c>
      <c r="B569" t="s">
        <v>397</v>
      </c>
      <c r="C569" t="s">
        <v>398</v>
      </c>
      <c r="D569" t="s">
        <v>448</v>
      </c>
      <c r="E569" t="s">
        <v>107</v>
      </c>
      <c r="F569" t="s">
        <v>135</v>
      </c>
      <c r="G569">
        <v>82</v>
      </c>
      <c r="H569">
        <v>70</v>
      </c>
      <c r="I569">
        <v>76</v>
      </c>
      <c r="J569">
        <v>1050</v>
      </c>
      <c r="K569">
        <v>9</v>
      </c>
      <c r="L569">
        <v>10</v>
      </c>
      <c r="M569">
        <v>4250</v>
      </c>
      <c r="N569" t="s">
        <v>30</v>
      </c>
      <c r="O569">
        <v>0</v>
      </c>
      <c r="P569">
        <v>0</v>
      </c>
      <c r="Q569">
        <v>0</v>
      </c>
      <c r="R569">
        <v>289</v>
      </c>
      <c r="S569">
        <v>310</v>
      </c>
      <c r="T569">
        <v>264</v>
      </c>
      <c r="U569">
        <v>12</v>
      </c>
      <c r="V569" t="s">
        <v>30</v>
      </c>
      <c r="W569" t="s">
        <v>420</v>
      </c>
      <c r="X569" t="s">
        <v>32</v>
      </c>
      <c r="Y569" t="s">
        <v>33</v>
      </c>
    </row>
    <row r="570" spans="1:25" x14ac:dyDescent="0.25">
      <c r="A570">
        <v>2025</v>
      </c>
      <c r="B570" t="s">
        <v>397</v>
      </c>
      <c r="C570" t="s">
        <v>398</v>
      </c>
      <c r="D570" t="s">
        <v>448</v>
      </c>
      <c r="E570" t="s">
        <v>107</v>
      </c>
      <c r="F570" t="s">
        <v>135</v>
      </c>
      <c r="G570">
        <v>41</v>
      </c>
      <c r="H570">
        <v>48</v>
      </c>
      <c r="I570">
        <v>44</v>
      </c>
      <c r="J570">
        <v>1050</v>
      </c>
      <c r="K570">
        <v>9</v>
      </c>
      <c r="L570">
        <v>10</v>
      </c>
      <c r="M570">
        <v>4250</v>
      </c>
      <c r="N570" t="s">
        <v>30</v>
      </c>
      <c r="O570">
        <v>0</v>
      </c>
      <c r="P570">
        <v>0</v>
      </c>
      <c r="Q570">
        <v>0</v>
      </c>
      <c r="R570">
        <v>289</v>
      </c>
      <c r="S570">
        <v>310</v>
      </c>
      <c r="T570">
        <v>264</v>
      </c>
      <c r="U570">
        <v>12</v>
      </c>
      <c r="V570" t="s">
        <v>30</v>
      </c>
      <c r="W570" t="s">
        <v>420</v>
      </c>
      <c r="X570" t="s">
        <v>32</v>
      </c>
      <c r="Y570" t="s">
        <v>33</v>
      </c>
    </row>
    <row r="571" spans="1:25" x14ac:dyDescent="0.25">
      <c r="A571">
        <v>2025</v>
      </c>
      <c r="B571" t="s">
        <v>397</v>
      </c>
      <c r="C571" t="s">
        <v>398</v>
      </c>
      <c r="D571" t="s">
        <v>449</v>
      </c>
      <c r="E571" t="s">
        <v>107</v>
      </c>
      <c r="F571" t="s">
        <v>29</v>
      </c>
      <c r="G571">
        <v>82</v>
      </c>
      <c r="H571">
        <v>70</v>
      </c>
      <c r="I571">
        <v>76</v>
      </c>
      <c r="J571">
        <v>1050</v>
      </c>
      <c r="K571">
        <v>9</v>
      </c>
      <c r="L571">
        <v>10</v>
      </c>
      <c r="M571">
        <v>4250</v>
      </c>
      <c r="N571" t="s">
        <v>30</v>
      </c>
      <c r="O571">
        <v>0</v>
      </c>
      <c r="P571">
        <v>0</v>
      </c>
      <c r="Q571">
        <v>0</v>
      </c>
      <c r="R571">
        <v>289</v>
      </c>
      <c r="S571">
        <v>310</v>
      </c>
      <c r="T571">
        <v>264</v>
      </c>
      <c r="U571">
        <v>12</v>
      </c>
      <c r="V571" t="s">
        <v>30</v>
      </c>
      <c r="W571" t="s">
        <v>420</v>
      </c>
      <c r="X571" t="s">
        <v>32</v>
      </c>
      <c r="Y571" t="s">
        <v>33</v>
      </c>
    </row>
    <row r="572" spans="1:25" x14ac:dyDescent="0.25">
      <c r="A572">
        <v>2025</v>
      </c>
      <c r="B572" t="s">
        <v>397</v>
      </c>
      <c r="C572" t="s">
        <v>398</v>
      </c>
      <c r="D572" t="s">
        <v>449</v>
      </c>
      <c r="E572" t="s">
        <v>107</v>
      </c>
      <c r="F572" t="s">
        <v>29</v>
      </c>
      <c r="G572">
        <v>41</v>
      </c>
      <c r="H572">
        <v>48</v>
      </c>
      <c r="I572">
        <v>44</v>
      </c>
      <c r="J572">
        <v>1050</v>
      </c>
      <c r="K572">
        <v>9</v>
      </c>
      <c r="L572">
        <v>10</v>
      </c>
      <c r="M572">
        <v>4250</v>
      </c>
      <c r="N572" t="s">
        <v>30</v>
      </c>
      <c r="O572">
        <v>0</v>
      </c>
      <c r="P572">
        <v>0</v>
      </c>
      <c r="Q572">
        <v>0</v>
      </c>
      <c r="R572">
        <v>289</v>
      </c>
      <c r="S572">
        <v>310</v>
      </c>
      <c r="T572">
        <v>264</v>
      </c>
      <c r="U572">
        <v>12</v>
      </c>
      <c r="V572" t="s">
        <v>30</v>
      </c>
      <c r="W572" t="s">
        <v>420</v>
      </c>
      <c r="X572" t="s">
        <v>32</v>
      </c>
      <c r="Y572" t="s">
        <v>33</v>
      </c>
    </row>
    <row r="573" spans="1:25" x14ac:dyDescent="0.25">
      <c r="A573">
        <v>2025</v>
      </c>
      <c r="B573" t="s">
        <v>450</v>
      </c>
      <c r="C573" t="s">
        <v>451</v>
      </c>
      <c r="D573" t="s">
        <v>452</v>
      </c>
      <c r="E573" t="s">
        <v>28</v>
      </c>
      <c r="F573" t="s">
        <v>75</v>
      </c>
      <c r="G573">
        <v>74</v>
      </c>
      <c r="H573">
        <v>82</v>
      </c>
      <c r="I573">
        <v>77</v>
      </c>
      <c r="J573">
        <v>1050</v>
      </c>
      <c r="K573">
        <v>9</v>
      </c>
      <c r="L573">
        <v>10</v>
      </c>
      <c r="M573">
        <v>4250</v>
      </c>
      <c r="N573" t="s">
        <v>30</v>
      </c>
      <c r="O573">
        <v>0</v>
      </c>
      <c r="P573">
        <v>0</v>
      </c>
      <c r="Q573">
        <v>0</v>
      </c>
      <c r="R573">
        <v>277</v>
      </c>
      <c r="S573">
        <v>263</v>
      </c>
      <c r="T573">
        <v>294</v>
      </c>
      <c r="U573">
        <v>12</v>
      </c>
      <c r="V573" t="s">
        <v>30</v>
      </c>
      <c r="W573" t="s">
        <v>72</v>
      </c>
      <c r="X573" t="s">
        <v>32</v>
      </c>
      <c r="Y573" t="s">
        <v>33</v>
      </c>
    </row>
    <row r="574" spans="1:25" x14ac:dyDescent="0.25">
      <c r="A574">
        <v>2025</v>
      </c>
      <c r="B574" t="s">
        <v>450</v>
      </c>
      <c r="C574" t="s">
        <v>451</v>
      </c>
      <c r="D574" t="s">
        <v>452</v>
      </c>
      <c r="E574" t="s">
        <v>28</v>
      </c>
      <c r="F574" t="s">
        <v>75</v>
      </c>
      <c r="G574">
        <v>46</v>
      </c>
      <c r="H574">
        <v>41</v>
      </c>
      <c r="I574">
        <v>44</v>
      </c>
      <c r="J574">
        <v>1050</v>
      </c>
      <c r="K574">
        <v>9</v>
      </c>
      <c r="L574">
        <v>10</v>
      </c>
      <c r="M574">
        <v>4250</v>
      </c>
      <c r="N574" t="s">
        <v>30</v>
      </c>
      <c r="O574">
        <v>0</v>
      </c>
      <c r="P574">
        <v>0</v>
      </c>
      <c r="Q574">
        <v>0</v>
      </c>
      <c r="R574">
        <v>277</v>
      </c>
      <c r="S574">
        <v>263</v>
      </c>
      <c r="T574">
        <v>294</v>
      </c>
      <c r="U574">
        <v>12</v>
      </c>
      <c r="V574" t="s">
        <v>30</v>
      </c>
      <c r="W574" t="s">
        <v>72</v>
      </c>
      <c r="X574" t="s">
        <v>32</v>
      </c>
      <c r="Y574" t="s">
        <v>33</v>
      </c>
    </row>
    <row r="575" spans="1:25" x14ac:dyDescent="0.25">
      <c r="A575">
        <v>2025</v>
      </c>
      <c r="B575" t="s">
        <v>450</v>
      </c>
      <c r="C575" t="s">
        <v>451</v>
      </c>
      <c r="D575" t="s">
        <v>453</v>
      </c>
      <c r="E575" t="s">
        <v>28</v>
      </c>
      <c r="F575" t="s">
        <v>75</v>
      </c>
      <c r="G575">
        <v>67</v>
      </c>
      <c r="H575">
        <v>75</v>
      </c>
      <c r="I575">
        <v>70</v>
      </c>
      <c r="J575">
        <v>1150</v>
      </c>
      <c r="K575">
        <v>9</v>
      </c>
      <c r="L575">
        <v>10</v>
      </c>
      <c r="M575">
        <v>3750</v>
      </c>
      <c r="N575" t="s">
        <v>30</v>
      </c>
      <c r="O575">
        <v>0</v>
      </c>
      <c r="P575">
        <v>0</v>
      </c>
      <c r="Q575">
        <v>0</v>
      </c>
      <c r="R575">
        <v>253</v>
      </c>
      <c r="S575">
        <v>240</v>
      </c>
      <c r="T575">
        <v>269</v>
      </c>
      <c r="U575">
        <v>12</v>
      </c>
      <c r="V575" t="s">
        <v>30</v>
      </c>
      <c r="W575" t="s">
        <v>72</v>
      </c>
      <c r="X575" t="s">
        <v>32</v>
      </c>
      <c r="Y575" t="s">
        <v>33</v>
      </c>
    </row>
    <row r="576" spans="1:25" x14ac:dyDescent="0.25">
      <c r="A576">
        <v>2025</v>
      </c>
      <c r="B576" t="s">
        <v>450</v>
      </c>
      <c r="C576" t="s">
        <v>451</v>
      </c>
      <c r="D576" t="s">
        <v>453</v>
      </c>
      <c r="E576" t="s">
        <v>28</v>
      </c>
      <c r="F576" t="s">
        <v>75</v>
      </c>
      <c r="G576">
        <v>50</v>
      </c>
      <c r="H576">
        <v>45</v>
      </c>
      <c r="I576">
        <v>48</v>
      </c>
      <c r="J576">
        <v>1150</v>
      </c>
      <c r="K576">
        <v>9</v>
      </c>
      <c r="L576">
        <v>10</v>
      </c>
      <c r="M576">
        <v>3750</v>
      </c>
      <c r="N576" t="s">
        <v>30</v>
      </c>
      <c r="O576">
        <v>0</v>
      </c>
      <c r="P576">
        <v>0</v>
      </c>
      <c r="Q576">
        <v>0</v>
      </c>
      <c r="R576">
        <v>253</v>
      </c>
      <c r="S576">
        <v>240</v>
      </c>
      <c r="T576">
        <v>269</v>
      </c>
      <c r="U576">
        <v>12</v>
      </c>
      <c r="V576" t="s">
        <v>30</v>
      </c>
      <c r="W576" t="s">
        <v>72</v>
      </c>
      <c r="X576" t="s">
        <v>32</v>
      </c>
      <c r="Y576" t="s">
        <v>33</v>
      </c>
    </row>
    <row r="577" spans="1:25" x14ac:dyDescent="0.25">
      <c r="A577">
        <v>2025</v>
      </c>
      <c r="B577" t="s">
        <v>450</v>
      </c>
      <c r="C577" t="s">
        <v>451</v>
      </c>
      <c r="D577" t="s">
        <v>454</v>
      </c>
      <c r="E577" t="s">
        <v>28</v>
      </c>
      <c r="F577" t="s">
        <v>75</v>
      </c>
      <c r="G577">
        <v>70</v>
      </c>
      <c r="H577">
        <v>80</v>
      </c>
      <c r="I577">
        <v>74</v>
      </c>
      <c r="J577">
        <v>1100</v>
      </c>
      <c r="K577">
        <v>9</v>
      </c>
      <c r="L577">
        <v>10</v>
      </c>
      <c r="M577">
        <v>4000</v>
      </c>
      <c r="N577" t="s">
        <v>30</v>
      </c>
      <c r="O577">
        <v>0</v>
      </c>
      <c r="P577">
        <v>0</v>
      </c>
      <c r="Q577">
        <v>0</v>
      </c>
      <c r="R577">
        <v>266</v>
      </c>
      <c r="S577">
        <v>251</v>
      </c>
      <c r="T577">
        <v>285</v>
      </c>
      <c r="U577">
        <v>12</v>
      </c>
      <c r="V577" t="s">
        <v>30</v>
      </c>
      <c r="W577" t="s">
        <v>72</v>
      </c>
      <c r="X577" t="s">
        <v>32</v>
      </c>
      <c r="Y577" t="s">
        <v>33</v>
      </c>
    </row>
    <row r="578" spans="1:25" x14ac:dyDescent="0.25">
      <c r="A578">
        <v>2025</v>
      </c>
      <c r="B578" t="s">
        <v>450</v>
      </c>
      <c r="C578" t="s">
        <v>451</v>
      </c>
      <c r="D578" t="s">
        <v>454</v>
      </c>
      <c r="E578" t="s">
        <v>28</v>
      </c>
      <c r="F578" t="s">
        <v>75</v>
      </c>
      <c r="G578">
        <v>48</v>
      </c>
      <c r="H578">
        <v>42</v>
      </c>
      <c r="I578">
        <v>45</v>
      </c>
      <c r="J578">
        <v>1100</v>
      </c>
      <c r="K578">
        <v>9</v>
      </c>
      <c r="L578">
        <v>10</v>
      </c>
      <c r="M578">
        <v>4000</v>
      </c>
      <c r="N578" t="s">
        <v>30</v>
      </c>
      <c r="O578">
        <v>0</v>
      </c>
      <c r="P578">
        <v>0</v>
      </c>
      <c r="Q578">
        <v>0</v>
      </c>
      <c r="R578">
        <v>266</v>
      </c>
      <c r="S578">
        <v>251</v>
      </c>
      <c r="T578">
        <v>285</v>
      </c>
      <c r="U578">
        <v>12</v>
      </c>
      <c r="V578" t="s">
        <v>30</v>
      </c>
      <c r="W578" t="s">
        <v>72</v>
      </c>
      <c r="X578" t="s">
        <v>32</v>
      </c>
      <c r="Y578" t="s">
        <v>33</v>
      </c>
    </row>
    <row r="579" spans="1:25" x14ac:dyDescent="0.25">
      <c r="A579">
        <v>2025</v>
      </c>
      <c r="B579" t="s">
        <v>450</v>
      </c>
      <c r="C579" t="s">
        <v>451</v>
      </c>
      <c r="D579" t="s">
        <v>455</v>
      </c>
      <c r="E579" t="s">
        <v>28</v>
      </c>
      <c r="F579" t="s">
        <v>75</v>
      </c>
      <c r="G579">
        <v>67</v>
      </c>
      <c r="H579">
        <v>74</v>
      </c>
      <c r="I579">
        <v>70</v>
      </c>
      <c r="J579">
        <v>1150</v>
      </c>
      <c r="K579">
        <v>9</v>
      </c>
      <c r="L579">
        <v>10</v>
      </c>
      <c r="M579">
        <v>3750</v>
      </c>
      <c r="N579" t="s">
        <v>30</v>
      </c>
      <c r="O579">
        <v>0</v>
      </c>
      <c r="P579">
        <v>0</v>
      </c>
      <c r="Q579">
        <v>0</v>
      </c>
      <c r="R579">
        <v>251</v>
      </c>
      <c r="S579">
        <v>241</v>
      </c>
      <c r="T579">
        <v>264</v>
      </c>
      <c r="U579">
        <v>12</v>
      </c>
      <c r="V579" t="s">
        <v>30</v>
      </c>
      <c r="W579" t="s">
        <v>72</v>
      </c>
      <c r="X579" t="s">
        <v>32</v>
      </c>
      <c r="Y579" t="s">
        <v>33</v>
      </c>
    </row>
    <row r="580" spans="1:25" x14ac:dyDescent="0.25">
      <c r="A580">
        <v>2025</v>
      </c>
      <c r="B580" t="s">
        <v>450</v>
      </c>
      <c r="C580" t="s">
        <v>451</v>
      </c>
      <c r="D580" t="s">
        <v>455</v>
      </c>
      <c r="E580" t="s">
        <v>28</v>
      </c>
      <c r="F580" t="s">
        <v>75</v>
      </c>
      <c r="G580">
        <v>50</v>
      </c>
      <c r="H580">
        <v>46</v>
      </c>
      <c r="I580">
        <v>48</v>
      </c>
      <c r="J580">
        <v>1150</v>
      </c>
      <c r="K580">
        <v>9</v>
      </c>
      <c r="L580">
        <v>10</v>
      </c>
      <c r="M580">
        <v>3750</v>
      </c>
      <c r="N580" t="s">
        <v>30</v>
      </c>
      <c r="O580">
        <v>0</v>
      </c>
      <c r="P580">
        <v>0</v>
      </c>
      <c r="Q580">
        <v>0</v>
      </c>
      <c r="R580">
        <v>251</v>
      </c>
      <c r="S580">
        <v>241</v>
      </c>
      <c r="T580">
        <v>264</v>
      </c>
      <c r="U580">
        <v>12</v>
      </c>
      <c r="V580" t="s">
        <v>30</v>
      </c>
      <c r="W580" t="s">
        <v>72</v>
      </c>
      <c r="X580" t="s">
        <v>32</v>
      </c>
      <c r="Y580" t="s">
        <v>33</v>
      </c>
    </row>
    <row r="581" spans="1:25" x14ac:dyDescent="0.25">
      <c r="A581">
        <v>2025</v>
      </c>
      <c r="B581" t="s">
        <v>456</v>
      </c>
      <c r="C581" t="s">
        <v>456</v>
      </c>
      <c r="D581" t="s">
        <v>457</v>
      </c>
      <c r="E581" t="s">
        <v>28</v>
      </c>
      <c r="F581" t="s">
        <v>118</v>
      </c>
      <c r="G581">
        <v>114</v>
      </c>
      <c r="H581">
        <v>94</v>
      </c>
      <c r="I581">
        <v>104</v>
      </c>
      <c r="J581">
        <v>750</v>
      </c>
      <c r="K581">
        <v>9</v>
      </c>
      <c r="L581">
        <v>10</v>
      </c>
      <c r="M581">
        <v>5750</v>
      </c>
      <c r="N581" t="s">
        <v>30</v>
      </c>
      <c r="O581">
        <v>0</v>
      </c>
      <c r="P581">
        <v>0</v>
      </c>
      <c r="Q581">
        <v>0</v>
      </c>
      <c r="R581">
        <v>227</v>
      </c>
      <c r="S581">
        <v>245</v>
      </c>
      <c r="T581">
        <v>205</v>
      </c>
      <c r="U581">
        <v>11</v>
      </c>
      <c r="V581" t="s">
        <v>30</v>
      </c>
      <c r="W581" t="s">
        <v>458</v>
      </c>
      <c r="X581" t="s">
        <v>32</v>
      </c>
      <c r="Y581" t="s">
        <v>33</v>
      </c>
    </row>
    <row r="582" spans="1:25" x14ac:dyDescent="0.25">
      <c r="A582">
        <v>2025</v>
      </c>
      <c r="B582" t="s">
        <v>456</v>
      </c>
      <c r="C582" t="s">
        <v>456</v>
      </c>
      <c r="D582" t="s">
        <v>457</v>
      </c>
      <c r="E582" t="s">
        <v>28</v>
      </c>
      <c r="F582" t="s">
        <v>118</v>
      </c>
      <c r="G582">
        <v>28</v>
      </c>
      <c r="H582">
        <v>34</v>
      </c>
      <c r="I582">
        <v>31</v>
      </c>
      <c r="J582">
        <v>750</v>
      </c>
      <c r="K582">
        <v>9</v>
      </c>
      <c r="L582">
        <v>10</v>
      </c>
      <c r="M582">
        <v>5750</v>
      </c>
      <c r="N582" t="s">
        <v>30</v>
      </c>
      <c r="O582">
        <v>0</v>
      </c>
      <c r="P582">
        <v>0</v>
      </c>
      <c r="Q582">
        <v>0</v>
      </c>
      <c r="R582">
        <v>227</v>
      </c>
      <c r="S582">
        <v>245</v>
      </c>
      <c r="T582">
        <v>205</v>
      </c>
      <c r="U582">
        <v>11</v>
      </c>
      <c r="V582" t="s">
        <v>30</v>
      </c>
      <c r="W582" t="s">
        <v>458</v>
      </c>
      <c r="X582" t="s">
        <v>32</v>
      </c>
      <c r="Y582" t="s">
        <v>33</v>
      </c>
    </row>
    <row r="583" spans="1:25" x14ac:dyDescent="0.25">
      <c r="A583">
        <v>2025</v>
      </c>
      <c r="B583" t="s">
        <v>456</v>
      </c>
      <c r="C583" t="s">
        <v>456</v>
      </c>
      <c r="D583" t="s">
        <v>459</v>
      </c>
      <c r="E583" t="s">
        <v>28</v>
      </c>
      <c r="F583" t="s">
        <v>118</v>
      </c>
      <c r="G583">
        <v>111</v>
      </c>
      <c r="H583">
        <v>93</v>
      </c>
      <c r="I583">
        <v>102</v>
      </c>
      <c r="J583">
        <v>800</v>
      </c>
      <c r="K583">
        <v>9</v>
      </c>
      <c r="L583">
        <v>10</v>
      </c>
      <c r="M583">
        <v>5500</v>
      </c>
      <c r="N583" t="s">
        <v>30</v>
      </c>
      <c r="O583">
        <v>0</v>
      </c>
      <c r="P583">
        <v>0</v>
      </c>
      <c r="Q583">
        <v>0</v>
      </c>
      <c r="R583">
        <v>222</v>
      </c>
      <c r="S583">
        <v>240</v>
      </c>
      <c r="T583">
        <v>200</v>
      </c>
      <c r="U583">
        <v>11</v>
      </c>
      <c r="V583" t="s">
        <v>30</v>
      </c>
      <c r="W583" t="s">
        <v>458</v>
      </c>
      <c r="X583" t="s">
        <v>32</v>
      </c>
      <c r="Y583" t="s">
        <v>33</v>
      </c>
    </row>
    <row r="584" spans="1:25" x14ac:dyDescent="0.25">
      <c r="A584">
        <v>2025</v>
      </c>
      <c r="B584" t="s">
        <v>456</v>
      </c>
      <c r="C584" t="s">
        <v>456</v>
      </c>
      <c r="D584" t="s">
        <v>459</v>
      </c>
      <c r="E584" t="s">
        <v>28</v>
      </c>
      <c r="F584" t="s">
        <v>118</v>
      </c>
      <c r="G584">
        <v>29</v>
      </c>
      <c r="H584">
        <v>35</v>
      </c>
      <c r="I584">
        <v>32</v>
      </c>
      <c r="J584">
        <v>800</v>
      </c>
      <c r="K584">
        <v>9</v>
      </c>
      <c r="L584">
        <v>10</v>
      </c>
      <c r="M584">
        <v>5500</v>
      </c>
      <c r="N584" t="s">
        <v>30</v>
      </c>
      <c r="O584">
        <v>0</v>
      </c>
      <c r="P584">
        <v>0</v>
      </c>
      <c r="Q584">
        <v>0</v>
      </c>
      <c r="R584">
        <v>222</v>
      </c>
      <c r="S584">
        <v>240</v>
      </c>
      <c r="T584">
        <v>200</v>
      </c>
      <c r="U584">
        <v>11</v>
      </c>
      <c r="V584" t="s">
        <v>30</v>
      </c>
      <c r="W584" t="s">
        <v>458</v>
      </c>
      <c r="X584" t="s">
        <v>32</v>
      </c>
      <c r="Y584" t="s">
        <v>33</v>
      </c>
    </row>
    <row r="585" spans="1:25" x14ac:dyDescent="0.25">
      <c r="A585">
        <v>2025</v>
      </c>
      <c r="B585" t="s">
        <v>460</v>
      </c>
      <c r="C585" t="s">
        <v>461</v>
      </c>
      <c r="D585" t="s">
        <v>462</v>
      </c>
      <c r="E585" t="s">
        <v>46</v>
      </c>
      <c r="F585" t="s">
        <v>463</v>
      </c>
      <c r="G585">
        <v>93</v>
      </c>
      <c r="H585">
        <v>72</v>
      </c>
      <c r="I585">
        <v>82</v>
      </c>
      <c r="J585">
        <v>1000</v>
      </c>
      <c r="K585">
        <v>9</v>
      </c>
      <c r="L585">
        <v>10</v>
      </c>
      <c r="M585">
        <v>4500</v>
      </c>
      <c r="N585" t="s">
        <v>30</v>
      </c>
      <c r="O585">
        <v>0</v>
      </c>
      <c r="P585">
        <v>0</v>
      </c>
      <c r="Q585">
        <v>0</v>
      </c>
      <c r="R585">
        <v>335</v>
      </c>
      <c r="S585">
        <v>373</v>
      </c>
      <c r="T585">
        <v>288</v>
      </c>
      <c r="U585">
        <v>12</v>
      </c>
      <c r="V585" t="s">
        <v>30</v>
      </c>
      <c r="W585" t="s">
        <v>464</v>
      </c>
      <c r="X585" t="s">
        <v>32</v>
      </c>
      <c r="Y585" t="s">
        <v>33</v>
      </c>
    </row>
    <row r="586" spans="1:25" x14ac:dyDescent="0.25">
      <c r="A586">
        <v>2025</v>
      </c>
      <c r="B586" t="s">
        <v>460</v>
      </c>
      <c r="C586" t="s">
        <v>461</v>
      </c>
      <c r="D586" t="s">
        <v>462</v>
      </c>
      <c r="E586" t="s">
        <v>46</v>
      </c>
      <c r="F586" t="s">
        <v>463</v>
      </c>
      <c r="G586">
        <v>36</v>
      </c>
      <c r="H586">
        <v>47</v>
      </c>
      <c r="I586">
        <v>41</v>
      </c>
      <c r="J586">
        <v>1000</v>
      </c>
      <c r="K586">
        <v>9</v>
      </c>
      <c r="L586">
        <v>10</v>
      </c>
      <c r="M586">
        <v>4500</v>
      </c>
      <c r="N586" t="s">
        <v>30</v>
      </c>
      <c r="O586">
        <v>0</v>
      </c>
      <c r="P586">
        <v>0</v>
      </c>
      <c r="Q586">
        <v>0</v>
      </c>
      <c r="R586">
        <v>335</v>
      </c>
      <c r="S586">
        <v>373</v>
      </c>
      <c r="T586">
        <v>288</v>
      </c>
      <c r="U586">
        <v>12</v>
      </c>
      <c r="V586" t="s">
        <v>30</v>
      </c>
      <c r="W586" t="s">
        <v>464</v>
      </c>
      <c r="X586" t="s">
        <v>32</v>
      </c>
      <c r="Y586" t="s">
        <v>33</v>
      </c>
    </row>
    <row r="587" spans="1:25" x14ac:dyDescent="0.25">
      <c r="A587">
        <v>2025</v>
      </c>
      <c r="B587" t="s">
        <v>460</v>
      </c>
      <c r="C587" t="s">
        <v>461</v>
      </c>
      <c r="D587" t="s">
        <v>465</v>
      </c>
      <c r="E587" t="s">
        <v>46</v>
      </c>
      <c r="F587" t="s">
        <v>463</v>
      </c>
      <c r="G587">
        <v>89</v>
      </c>
      <c r="H587">
        <v>67</v>
      </c>
      <c r="I587">
        <v>78</v>
      </c>
      <c r="J587">
        <v>1050</v>
      </c>
      <c r="K587">
        <v>9</v>
      </c>
      <c r="L587">
        <v>10</v>
      </c>
      <c r="M587">
        <v>4250</v>
      </c>
      <c r="N587" t="s">
        <v>30</v>
      </c>
      <c r="O587">
        <v>0</v>
      </c>
      <c r="P587">
        <v>0</v>
      </c>
      <c r="Q587">
        <v>0</v>
      </c>
      <c r="R587">
        <v>335</v>
      </c>
      <c r="S587">
        <v>377</v>
      </c>
      <c r="T587">
        <v>283</v>
      </c>
      <c r="U587">
        <v>12</v>
      </c>
      <c r="V587" t="s">
        <v>30</v>
      </c>
      <c r="W587" t="s">
        <v>464</v>
      </c>
      <c r="X587" t="s">
        <v>32</v>
      </c>
      <c r="Y587" t="s">
        <v>33</v>
      </c>
    </row>
    <row r="588" spans="1:25" x14ac:dyDescent="0.25">
      <c r="A588">
        <v>2025</v>
      </c>
      <c r="B588" t="s">
        <v>460</v>
      </c>
      <c r="C588" t="s">
        <v>461</v>
      </c>
      <c r="D588" t="s">
        <v>465</v>
      </c>
      <c r="E588" t="s">
        <v>46</v>
      </c>
      <c r="F588" t="s">
        <v>463</v>
      </c>
      <c r="G588">
        <v>38</v>
      </c>
      <c r="H588">
        <v>50</v>
      </c>
      <c r="I588">
        <v>43</v>
      </c>
      <c r="J588">
        <v>1050</v>
      </c>
      <c r="K588">
        <v>9</v>
      </c>
      <c r="L588">
        <v>10</v>
      </c>
      <c r="M588">
        <v>4250</v>
      </c>
      <c r="N588" t="s">
        <v>30</v>
      </c>
      <c r="O588">
        <v>0</v>
      </c>
      <c r="P588">
        <v>0</v>
      </c>
      <c r="Q588">
        <v>0</v>
      </c>
      <c r="R588">
        <v>335</v>
      </c>
      <c r="S588">
        <v>377</v>
      </c>
      <c r="T588">
        <v>283</v>
      </c>
      <c r="U588">
        <v>12</v>
      </c>
      <c r="V588" t="s">
        <v>30</v>
      </c>
      <c r="W588" t="s">
        <v>464</v>
      </c>
      <c r="X588" t="s">
        <v>32</v>
      </c>
      <c r="Y588" t="s">
        <v>33</v>
      </c>
    </row>
    <row r="589" spans="1:25" x14ac:dyDescent="0.25">
      <c r="A589">
        <v>2025</v>
      </c>
      <c r="B589" t="s">
        <v>460</v>
      </c>
      <c r="C589" t="s">
        <v>461</v>
      </c>
      <c r="D589" t="s">
        <v>466</v>
      </c>
      <c r="E589" t="s">
        <v>28</v>
      </c>
      <c r="F589" t="s">
        <v>135</v>
      </c>
      <c r="G589">
        <v>85</v>
      </c>
      <c r="H589">
        <v>72</v>
      </c>
      <c r="I589">
        <v>79</v>
      </c>
      <c r="J589">
        <v>1050</v>
      </c>
      <c r="K589">
        <v>9</v>
      </c>
      <c r="L589">
        <v>10</v>
      </c>
      <c r="M589">
        <v>4250</v>
      </c>
      <c r="N589" t="s">
        <v>30</v>
      </c>
      <c r="O589">
        <v>0</v>
      </c>
      <c r="P589">
        <v>0</v>
      </c>
      <c r="Q589">
        <v>0</v>
      </c>
      <c r="R589">
        <v>325</v>
      </c>
      <c r="S589">
        <v>348</v>
      </c>
      <c r="T589">
        <v>297</v>
      </c>
      <c r="U589">
        <v>11.7</v>
      </c>
      <c r="V589" t="s">
        <v>30</v>
      </c>
      <c r="W589" t="s">
        <v>467</v>
      </c>
      <c r="X589" t="s">
        <v>32</v>
      </c>
      <c r="Y589" t="s">
        <v>33</v>
      </c>
    </row>
    <row r="590" spans="1:25" x14ac:dyDescent="0.25">
      <c r="A590">
        <v>2025</v>
      </c>
      <c r="B590" t="s">
        <v>460</v>
      </c>
      <c r="C590" t="s">
        <v>461</v>
      </c>
      <c r="D590" t="s">
        <v>466</v>
      </c>
      <c r="E590" t="s">
        <v>28</v>
      </c>
      <c r="F590" t="s">
        <v>135</v>
      </c>
      <c r="G590">
        <v>40</v>
      </c>
      <c r="H590">
        <v>47</v>
      </c>
      <c r="I590">
        <v>43</v>
      </c>
      <c r="J590">
        <v>1050</v>
      </c>
      <c r="K590">
        <v>9</v>
      </c>
      <c r="L590">
        <v>10</v>
      </c>
      <c r="M590">
        <v>4250</v>
      </c>
      <c r="N590" t="s">
        <v>30</v>
      </c>
      <c r="O590">
        <v>0</v>
      </c>
      <c r="P590">
        <v>0</v>
      </c>
      <c r="Q590">
        <v>0</v>
      </c>
      <c r="R590">
        <v>325</v>
      </c>
      <c r="S590">
        <v>348</v>
      </c>
      <c r="T590">
        <v>297</v>
      </c>
      <c r="U590">
        <v>11.7</v>
      </c>
      <c r="V590" t="s">
        <v>30</v>
      </c>
      <c r="W590" t="s">
        <v>467</v>
      </c>
      <c r="X590" t="s">
        <v>32</v>
      </c>
      <c r="Y590" t="s">
        <v>33</v>
      </c>
    </row>
    <row r="591" spans="1:25" x14ac:dyDescent="0.25">
      <c r="A591">
        <v>2025</v>
      </c>
      <c r="B591" t="s">
        <v>460</v>
      </c>
      <c r="C591" t="s">
        <v>461</v>
      </c>
      <c r="D591" t="s">
        <v>468</v>
      </c>
      <c r="E591" t="s">
        <v>46</v>
      </c>
      <c r="F591" t="s">
        <v>186</v>
      </c>
      <c r="G591">
        <v>145</v>
      </c>
      <c r="H591">
        <v>128</v>
      </c>
      <c r="I591">
        <v>137</v>
      </c>
      <c r="J591">
        <v>600</v>
      </c>
      <c r="K591">
        <v>10</v>
      </c>
      <c r="L591">
        <v>10</v>
      </c>
      <c r="M591">
        <v>6500</v>
      </c>
      <c r="N591" t="s">
        <v>30</v>
      </c>
      <c r="O591">
        <v>0</v>
      </c>
      <c r="P591">
        <v>0</v>
      </c>
      <c r="Q591">
        <v>0</v>
      </c>
      <c r="R591">
        <v>363</v>
      </c>
      <c r="S591">
        <v>383</v>
      </c>
      <c r="T591">
        <v>339</v>
      </c>
      <c r="U591">
        <v>11.7</v>
      </c>
      <c r="V591" t="s">
        <v>30</v>
      </c>
      <c r="W591" t="s">
        <v>469</v>
      </c>
      <c r="X591" t="s">
        <v>32</v>
      </c>
      <c r="Y591" t="s">
        <v>33</v>
      </c>
    </row>
    <row r="592" spans="1:25" x14ac:dyDescent="0.25">
      <c r="A592">
        <v>2025</v>
      </c>
      <c r="B592" t="s">
        <v>460</v>
      </c>
      <c r="C592" t="s">
        <v>461</v>
      </c>
      <c r="D592" t="s">
        <v>468</v>
      </c>
      <c r="E592" t="s">
        <v>46</v>
      </c>
      <c r="F592" t="s">
        <v>186</v>
      </c>
      <c r="G592">
        <v>23</v>
      </c>
      <c r="H592">
        <v>26</v>
      </c>
      <c r="I592">
        <v>25</v>
      </c>
      <c r="J592">
        <v>600</v>
      </c>
      <c r="K592">
        <v>10</v>
      </c>
      <c r="L592">
        <v>10</v>
      </c>
      <c r="M592">
        <v>6500</v>
      </c>
      <c r="N592" t="s">
        <v>30</v>
      </c>
      <c r="O592">
        <v>0</v>
      </c>
      <c r="P592">
        <v>0</v>
      </c>
      <c r="Q592">
        <v>0</v>
      </c>
      <c r="R592">
        <v>363</v>
      </c>
      <c r="S592">
        <v>383</v>
      </c>
      <c r="T592">
        <v>339</v>
      </c>
      <c r="U592">
        <v>11.7</v>
      </c>
      <c r="V592" t="s">
        <v>30</v>
      </c>
      <c r="W592" t="s">
        <v>469</v>
      </c>
      <c r="X592" t="s">
        <v>32</v>
      </c>
      <c r="Y592" t="s">
        <v>33</v>
      </c>
    </row>
    <row r="593" spans="1:25" x14ac:dyDescent="0.25">
      <c r="A593">
        <v>2025</v>
      </c>
      <c r="B593" t="s">
        <v>460</v>
      </c>
      <c r="C593" t="s">
        <v>461</v>
      </c>
      <c r="D593" t="s">
        <v>470</v>
      </c>
      <c r="E593" t="s">
        <v>46</v>
      </c>
      <c r="F593" t="s">
        <v>186</v>
      </c>
      <c r="G593">
        <v>140</v>
      </c>
      <c r="H593">
        <v>123</v>
      </c>
      <c r="I593">
        <v>131</v>
      </c>
      <c r="J593">
        <v>600</v>
      </c>
      <c r="K593">
        <v>10</v>
      </c>
      <c r="L593">
        <v>10</v>
      </c>
      <c r="M593">
        <v>6500</v>
      </c>
      <c r="N593" t="s">
        <v>30</v>
      </c>
      <c r="O593">
        <v>0</v>
      </c>
      <c r="P593">
        <v>0</v>
      </c>
      <c r="Q593">
        <v>0</v>
      </c>
      <c r="R593">
        <v>346</v>
      </c>
      <c r="S593">
        <v>366</v>
      </c>
      <c r="T593">
        <v>322</v>
      </c>
      <c r="U593">
        <v>9.5</v>
      </c>
      <c r="V593" t="s">
        <v>30</v>
      </c>
      <c r="W593" t="s">
        <v>471</v>
      </c>
      <c r="X593" t="s">
        <v>32</v>
      </c>
      <c r="Y593" t="s">
        <v>33</v>
      </c>
    </row>
    <row r="594" spans="1:25" x14ac:dyDescent="0.25">
      <c r="A594">
        <v>2025</v>
      </c>
      <c r="B594" t="s">
        <v>460</v>
      </c>
      <c r="C594" t="s">
        <v>461</v>
      </c>
      <c r="D594" t="s">
        <v>470</v>
      </c>
      <c r="E594" t="s">
        <v>46</v>
      </c>
      <c r="F594" t="s">
        <v>186</v>
      </c>
      <c r="G594">
        <v>24</v>
      </c>
      <c r="H594">
        <v>27</v>
      </c>
      <c r="I594">
        <v>26</v>
      </c>
      <c r="J594">
        <v>600</v>
      </c>
      <c r="K594">
        <v>10</v>
      </c>
      <c r="L594">
        <v>10</v>
      </c>
      <c r="M594">
        <v>6500</v>
      </c>
      <c r="N594" t="s">
        <v>30</v>
      </c>
      <c r="O594">
        <v>0</v>
      </c>
      <c r="P594">
        <v>0</v>
      </c>
      <c r="Q594">
        <v>0</v>
      </c>
      <c r="R594">
        <v>346</v>
      </c>
      <c r="S594">
        <v>366</v>
      </c>
      <c r="T594">
        <v>322</v>
      </c>
      <c r="U594">
        <v>9.5</v>
      </c>
      <c r="V594" t="s">
        <v>30</v>
      </c>
      <c r="W594" t="s">
        <v>471</v>
      </c>
      <c r="X594" t="s">
        <v>32</v>
      </c>
      <c r="Y594" t="s">
        <v>33</v>
      </c>
    </row>
    <row r="595" spans="1:25" x14ac:dyDescent="0.25">
      <c r="A595">
        <v>2025</v>
      </c>
      <c r="B595" t="s">
        <v>460</v>
      </c>
      <c r="C595" t="s">
        <v>461</v>
      </c>
      <c r="D595" t="s">
        <v>472</v>
      </c>
      <c r="E595" t="s">
        <v>28</v>
      </c>
      <c r="F595" t="s">
        <v>186</v>
      </c>
      <c r="G595">
        <v>133</v>
      </c>
      <c r="H595">
        <v>122</v>
      </c>
      <c r="I595">
        <v>128</v>
      </c>
      <c r="J595">
        <v>600</v>
      </c>
      <c r="K595">
        <v>10</v>
      </c>
      <c r="L595">
        <v>10</v>
      </c>
      <c r="M595">
        <v>6500</v>
      </c>
      <c r="N595" t="s">
        <v>30</v>
      </c>
      <c r="O595">
        <v>0</v>
      </c>
      <c r="P595">
        <v>0</v>
      </c>
      <c r="Q595">
        <v>0</v>
      </c>
      <c r="R595">
        <v>346</v>
      </c>
      <c r="S595">
        <v>360</v>
      </c>
      <c r="T595">
        <v>329</v>
      </c>
      <c r="U595">
        <v>11.7</v>
      </c>
      <c r="V595" t="s">
        <v>30</v>
      </c>
      <c r="W595" t="s">
        <v>473</v>
      </c>
      <c r="X595" t="s">
        <v>32</v>
      </c>
      <c r="Y595" t="s">
        <v>33</v>
      </c>
    </row>
    <row r="596" spans="1:25" x14ac:dyDescent="0.25">
      <c r="A596">
        <v>2025</v>
      </c>
      <c r="B596" t="s">
        <v>460</v>
      </c>
      <c r="C596" t="s">
        <v>461</v>
      </c>
      <c r="D596" t="s">
        <v>472</v>
      </c>
      <c r="E596" t="s">
        <v>28</v>
      </c>
      <c r="F596" t="s">
        <v>186</v>
      </c>
      <c r="G596">
        <v>25</v>
      </c>
      <c r="H596">
        <v>28</v>
      </c>
      <c r="I596">
        <v>26</v>
      </c>
      <c r="J596">
        <v>600</v>
      </c>
      <c r="K596">
        <v>10</v>
      </c>
      <c r="L596">
        <v>10</v>
      </c>
      <c r="M596">
        <v>6500</v>
      </c>
      <c r="N596" t="s">
        <v>30</v>
      </c>
      <c r="O596">
        <v>0</v>
      </c>
      <c r="P596">
        <v>0</v>
      </c>
      <c r="Q596">
        <v>0</v>
      </c>
      <c r="R596">
        <v>346</v>
      </c>
      <c r="S596">
        <v>360</v>
      </c>
      <c r="T596">
        <v>329</v>
      </c>
      <c r="U596">
        <v>11.7</v>
      </c>
      <c r="V596" t="s">
        <v>30</v>
      </c>
      <c r="W596" t="s">
        <v>473</v>
      </c>
      <c r="X596" t="s">
        <v>32</v>
      </c>
      <c r="Y596" t="s">
        <v>33</v>
      </c>
    </row>
    <row r="597" spans="1:25" x14ac:dyDescent="0.25">
      <c r="A597">
        <v>2025</v>
      </c>
      <c r="B597" t="s">
        <v>460</v>
      </c>
      <c r="C597" t="s">
        <v>461</v>
      </c>
      <c r="D597" t="s">
        <v>474</v>
      </c>
      <c r="E597" t="s">
        <v>28</v>
      </c>
      <c r="F597" t="s">
        <v>186</v>
      </c>
      <c r="G597">
        <v>113</v>
      </c>
      <c r="H597">
        <v>104</v>
      </c>
      <c r="I597">
        <v>109</v>
      </c>
      <c r="J597">
        <v>750</v>
      </c>
      <c r="K597">
        <v>9</v>
      </c>
      <c r="L597">
        <v>10</v>
      </c>
      <c r="M597">
        <v>5750</v>
      </c>
      <c r="N597" t="s">
        <v>30</v>
      </c>
      <c r="O597">
        <v>0</v>
      </c>
      <c r="P597">
        <v>0</v>
      </c>
      <c r="Q597">
        <v>0</v>
      </c>
      <c r="R597">
        <v>298</v>
      </c>
      <c r="S597">
        <v>309</v>
      </c>
      <c r="T597">
        <v>284</v>
      </c>
      <c r="U597">
        <v>12</v>
      </c>
      <c r="V597" t="s">
        <v>30</v>
      </c>
      <c r="W597" t="s">
        <v>473</v>
      </c>
      <c r="X597" t="s">
        <v>32</v>
      </c>
      <c r="Y597" t="s">
        <v>33</v>
      </c>
    </row>
    <row r="598" spans="1:25" x14ac:dyDescent="0.25">
      <c r="A598">
        <v>2025</v>
      </c>
      <c r="B598" t="s">
        <v>460</v>
      </c>
      <c r="C598" t="s">
        <v>461</v>
      </c>
      <c r="D598" t="s">
        <v>474</v>
      </c>
      <c r="E598" t="s">
        <v>28</v>
      </c>
      <c r="F598" t="s">
        <v>186</v>
      </c>
      <c r="G598">
        <v>30</v>
      </c>
      <c r="H598">
        <v>32</v>
      </c>
      <c r="I598">
        <v>31</v>
      </c>
      <c r="J598">
        <v>750</v>
      </c>
      <c r="K598">
        <v>9</v>
      </c>
      <c r="L598">
        <v>10</v>
      </c>
      <c r="M598">
        <v>5750</v>
      </c>
      <c r="N598" t="s">
        <v>30</v>
      </c>
      <c r="O598">
        <v>0</v>
      </c>
      <c r="P598">
        <v>0</v>
      </c>
      <c r="Q598">
        <v>0</v>
      </c>
      <c r="R598">
        <v>298</v>
      </c>
      <c r="S598">
        <v>309</v>
      </c>
      <c r="T598">
        <v>284</v>
      </c>
      <c r="U598">
        <v>12</v>
      </c>
      <c r="V598" t="s">
        <v>30</v>
      </c>
      <c r="W598" t="s">
        <v>473</v>
      </c>
      <c r="X598" t="s">
        <v>32</v>
      </c>
      <c r="Y598" t="s">
        <v>33</v>
      </c>
    </row>
    <row r="599" spans="1:25" x14ac:dyDescent="0.25">
      <c r="A599">
        <v>2025</v>
      </c>
      <c r="B599" t="s">
        <v>460</v>
      </c>
      <c r="C599" t="s">
        <v>461</v>
      </c>
      <c r="D599" t="s">
        <v>475</v>
      </c>
      <c r="E599" t="s">
        <v>46</v>
      </c>
      <c r="F599" t="s">
        <v>115</v>
      </c>
      <c r="G599">
        <v>134</v>
      </c>
      <c r="H599">
        <v>117</v>
      </c>
      <c r="I599">
        <v>125</v>
      </c>
      <c r="J599">
        <v>650</v>
      </c>
      <c r="K599">
        <v>10</v>
      </c>
      <c r="L599">
        <v>10</v>
      </c>
      <c r="M599">
        <v>6250</v>
      </c>
      <c r="N599" t="s">
        <v>30</v>
      </c>
      <c r="O599">
        <v>0</v>
      </c>
      <c r="P599">
        <v>0</v>
      </c>
      <c r="Q599">
        <v>0</v>
      </c>
      <c r="R599">
        <v>337</v>
      </c>
      <c r="S599">
        <v>357</v>
      </c>
      <c r="T599">
        <v>312</v>
      </c>
      <c r="U599">
        <v>12</v>
      </c>
      <c r="V599" t="s">
        <v>30</v>
      </c>
      <c r="W599" t="s">
        <v>476</v>
      </c>
      <c r="X599" t="s">
        <v>32</v>
      </c>
      <c r="Y599" t="s">
        <v>33</v>
      </c>
    </row>
    <row r="600" spans="1:25" x14ac:dyDescent="0.25">
      <c r="A600">
        <v>2025</v>
      </c>
      <c r="B600" t="s">
        <v>460</v>
      </c>
      <c r="C600" t="s">
        <v>461</v>
      </c>
      <c r="D600" t="s">
        <v>475</v>
      </c>
      <c r="E600" t="s">
        <v>46</v>
      </c>
      <c r="F600" t="s">
        <v>115</v>
      </c>
      <c r="G600">
        <v>25</v>
      </c>
      <c r="H600">
        <v>29</v>
      </c>
      <c r="I600">
        <v>27</v>
      </c>
      <c r="J600">
        <v>650</v>
      </c>
      <c r="K600">
        <v>10</v>
      </c>
      <c r="L600">
        <v>10</v>
      </c>
      <c r="M600">
        <v>6250</v>
      </c>
      <c r="N600" t="s">
        <v>30</v>
      </c>
      <c r="O600">
        <v>0</v>
      </c>
      <c r="P600">
        <v>0</v>
      </c>
      <c r="Q600">
        <v>0</v>
      </c>
      <c r="R600">
        <v>337</v>
      </c>
      <c r="S600">
        <v>357</v>
      </c>
      <c r="T600">
        <v>312</v>
      </c>
      <c r="U600">
        <v>12</v>
      </c>
      <c r="V600" t="s">
        <v>30</v>
      </c>
      <c r="W600" t="s">
        <v>476</v>
      </c>
      <c r="X600" t="s">
        <v>32</v>
      </c>
      <c r="Y600" t="s">
        <v>33</v>
      </c>
    </row>
    <row r="601" spans="1:25" x14ac:dyDescent="0.25">
      <c r="A601">
        <v>2025</v>
      </c>
      <c r="B601" t="s">
        <v>460</v>
      </c>
      <c r="C601" t="s">
        <v>461</v>
      </c>
      <c r="D601" t="s">
        <v>477</v>
      </c>
      <c r="E601" t="s">
        <v>28</v>
      </c>
      <c r="F601" t="s">
        <v>118</v>
      </c>
      <c r="G601">
        <v>123</v>
      </c>
      <c r="H601">
        <v>111</v>
      </c>
      <c r="I601">
        <v>117</v>
      </c>
      <c r="J601">
        <v>700</v>
      </c>
      <c r="K601">
        <v>9</v>
      </c>
      <c r="L601">
        <v>10</v>
      </c>
      <c r="M601">
        <v>6000</v>
      </c>
      <c r="N601" t="s">
        <v>30</v>
      </c>
      <c r="O601">
        <v>0</v>
      </c>
      <c r="P601">
        <v>0</v>
      </c>
      <c r="Q601">
        <v>0</v>
      </c>
      <c r="R601">
        <v>311</v>
      </c>
      <c r="S601">
        <v>325</v>
      </c>
      <c r="T601">
        <v>294</v>
      </c>
      <c r="U601">
        <v>12</v>
      </c>
      <c r="V601" t="s">
        <v>30</v>
      </c>
      <c r="W601" t="s">
        <v>478</v>
      </c>
      <c r="X601" t="s">
        <v>32</v>
      </c>
      <c r="Y601" t="s">
        <v>33</v>
      </c>
    </row>
    <row r="602" spans="1:25" x14ac:dyDescent="0.25">
      <c r="A602">
        <v>2025</v>
      </c>
      <c r="B602" t="s">
        <v>460</v>
      </c>
      <c r="C602" t="s">
        <v>461</v>
      </c>
      <c r="D602" t="s">
        <v>477</v>
      </c>
      <c r="E602" t="s">
        <v>28</v>
      </c>
      <c r="F602" t="s">
        <v>118</v>
      </c>
      <c r="G602">
        <v>27</v>
      </c>
      <c r="H602">
        <v>30</v>
      </c>
      <c r="I602">
        <v>29</v>
      </c>
      <c r="J602">
        <v>700</v>
      </c>
      <c r="K602">
        <v>9</v>
      </c>
      <c r="L602">
        <v>10</v>
      </c>
      <c r="M602">
        <v>6000</v>
      </c>
      <c r="N602" t="s">
        <v>30</v>
      </c>
      <c r="O602">
        <v>0</v>
      </c>
      <c r="P602">
        <v>0</v>
      </c>
      <c r="Q602">
        <v>0</v>
      </c>
      <c r="R602">
        <v>311</v>
      </c>
      <c r="S602">
        <v>325</v>
      </c>
      <c r="T602">
        <v>294</v>
      </c>
      <c r="U602">
        <v>12</v>
      </c>
      <c r="V602" t="s">
        <v>30</v>
      </c>
      <c r="W602" t="s">
        <v>478</v>
      </c>
      <c r="X602" t="s">
        <v>32</v>
      </c>
      <c r="Y602" t="s">
        <v>33</v>
      </c>
    </row>
    <row r="603" spans="1:25" x14ac:dyDescent="0.25">
      <c r="A603">
        <v>2025</v>
      </c>
      <c r="B603" t="s">
        <v>460</v>
      </c>
      <c r="C603" t="s">
        <v>461</v>
      </c>
      <c r="D603" t="s">
        <v>479</v>
      </c>
      <c r="E603" t="s">
        <v>28</v>
      </c>
      <c r="F603" t="s">
        <v>118</v>
      </c>
      <c r="G603">
        <v>110</v>
      </c>
      <c r="H603">
        <v>97</v>
      </c>
      <c r="I603">
        <v>104</v>
      </c>
      <c r="J603">
        <v>750</v>
      </c>
      <c r="K603">
        <v>9</v>
      </c>
      <c r="L603">
        <v>10</v>
      </c>
      <c r="M603">
        <v>5750</v>
      </c>
      <c r="N603" t="s">
        <v>30</v>
      </c>
      <c r="O603">
        <v>0</v>
      </c>
      <c r="P603">
        <v>0</v>
      </c>
      <c r="Q603">
        <v>0</v>
      </c>
      <c r="R603">
        <v>277</v>
      </c>
      <c r="S603">
        <v>292</v>
      </c>
      <c r="T603">
        <v>259</v>
      </c>
      <c r="U603">
        <v>11.8</v>
      </c>
      <c r="V603" t="s">
        <v>30</v>
      </c>
      <c r="W603" t="s">
        <v>478</v>
      </c>
      <c r="X603" t="s">
        <v>32</v>
      </c>
      <c r="Y603" t="s">
        <v>33</v>
      </c>
    </row>
    <row r="604" spans="1:25" x14ac:dyDescent="0.25">
      <c r="A604">
        <v>2025</v>
      </c>
      <c r="B604" t="s">
        <v>460</v>
      </c>
      <c r="C604" t="s">
        <v>461</v>
      </c>
      <c r="D604" t="s">
        <v>479</v>
      </c>
      <c r="E604" t="s">
        <v>28</v>
      </c>
      <c r="F604" t="s">
        <v>118</v>
      </c>
      <c r="G604">
        <v>31</v>
      </c>
      <c r="H604">
        <v>35</v>
      </c>
      <c r="I604">
        <v>32</v>
      </c>
      <c r="J604">
        <v>750</v>
      </c>
      <c r="K604">
        <v>9</v>
      </c>
      <c r="L604">
        <v>10</v>
      </c>
      <c r="M604">
        <v>5750</v>
      </c>
      <c r="N604" t="s">
        <v>30</v>
      </c>
      <c r="O604">
        <v>0</v>
      </c>
      <c r="P604">
        <v>0</v>
      </c>
      <c r="Q604">
        <v>0</v>
      </c>
      <c r="R604">
        <v>277</v>
      </c>
      <c r="S604">
        <v>292</v>
      </c>
      <c r="T604">
        <v>259</v>
      </c>
      <c r="U604">
        <v>11.8</v>
      </c>
      <c r="V604" t="s">
        <v>30</v>
      </c>
      <c r="W604" t="s">
        <v>478</v>
      </c>
      <c r="X604" t="s">
        <v>32</v>
      </c>
      <c r="Y604" t="s">
        <v>33</v>
      </c>
    </row>
    <row r="605" spans="1:25" x14ac:dyDescent="0.25">
      <c r="A605">
        <v>2025</v>
      </c>
      <c r="B605" t="s">
        <v>460</v>
      </c>
      <c r="C605" t="s">
        <v>461</v>
      </c>
      <c r="D605" t="s">
        <v>480</v>
      </c>
      <c r="E605" t="s">
        <v>28</v>
      </c>
      <c r="F605" t="s">
        <v>95</v>
      </c>
      <c r="G605">
        <v>132</v>
      </c>
      <c r="H605">
        <v>116</v>
      </c>
      <c r="I605">
        <v>124</v>
      </c>
      <c r="J605">
        <v>650</v>
      </c>
      <c r="K605">
        <v>10</v>
      </c>
      <c r="L605">
        <v>10</v>
      </c>
      <c r="M605">
        <v>6250</v>
      </c>
      <c r="N605" t="s">
        <v>30</v>
      </c>
      <c r="O605">
        <v>0</v>
      </c>
      <c r="P605">
        <v>0</v>
      </c>
      <c r="Q605">
        <v>0</v>
      </c>
      <c r="R605">
        <v>410</v>
      </c>
      <c r="S605">
        <v>432</v>
      </c>
      <c r="T605">
        <v>383</v>
      </c>
      <c r="U605">
        <v>9.6999999999999993</v>
      </c>
      <c r="V605" t="s">
        <v>30</v>
      </c>
      <c r="W605" t="s">
        <v>481</v>
      </c>
      <c r="X605" t="s">
        <v>32</v>
      </c>
      <c r="Y605" t="s">
        <v>33</v>
      </c>
    </row>
    <row r="606" spans="1:25" x14ac:dyDescent="0.25">
      <c r="A606">
        <v>2025</v>
      </c>
      <c r="B606" t="s">
        <v>460</v>
      </c>
      <c r="C606" t="s">
        <v>461</v>
      </c>
      <c r="D606" t="s">
        <v>480</v>
      </c>
      <c r="E606" t="s">
        <v>28</v>
      </c>
      <c r="F606" t="s">
        <v>95</v>
      </c>
      <c r="G606">
        <v>26</v>
      </c>
      <c r="H606">
        <v>29</v>
      </c>
      <c r="I606">
        <v>27</v>
      </c>
      <c r="J606">
        <v>650</v>
      </c>
      <c r="K606">
        <v>10</v>
      </c>
      <c r="L606">
        <v>10</v>
      </c>
      <c r="M606">
        <v>6250</v>
      </c>
      <c r="N606" t="s">
        <v>30</v>
      </c>
      <c r="O606">
        <v>0</v>
      </c>
      <c r="P606">
        <v>0</v>
      </c>
      <c r="Q606">
        <v>0</v>
      </c>
      <c r="R606">
        <v>410</v>
      </c>
      <c r="S606">
        <v>432</v>
      </c>
      <c r="T606">
        <v>383</v>
      </c>
      <c r="U606">
        <v>9.6999999999999993</v>
      </c>
      <c r="V606" t="s">
        <v>30</v>
      </c>
      <c r="W606" t="s">
        <v>481</v>
      </c>
      <c r="X606" t="s">
        <v>32</v>
      </c>
      <c r="Y606" t="s">
        <v>33</v>
      </c>
    </row>
    <row r="607" spans="1:25" x14ac:dyDescent="0.25">
      <c r="A607">
        <v>2025</v>
      </c>
      <c r="B607" t="s">
        <v>460</v>
      </c>
      <c r="C607" t="s">
        <v>461</v>
      </c>
      <c r="D607" t="s">
        <v>482</v>
      </c>
      <c r="E607" t="s">
        <v>28</v>
      </c>
      <c r="F607" t="s">
        <v>95</v>
      </c>
      <c r="G607">
        <v>97</v>
      </c>
      <c r="H607">
        <v>89</v>
      </c>
      <c r="I607">
        <v>93</v>
      </c>
      <c r="J607">
        <v>850</v>
      </c>
      <c r="K607">
        <v>9</v>
      </c>
      <c r="L607">
        <v>10</v>
      </c>
      <c r="M607">
        <v>5250</v>
      </c>
      <c r="N607" t="s">
        <v>30</v>
      </c>
      <c r="O607">
        <v>0</v>
      </c>
      <c r="P607">
        <v>0</v>
      </c>
      <c r="Q607">
        <v>0</v>
      </c>
      <c r="R607">
        <v>312</v>
      </c>
      <c r="S607">
        <v>324</v>
      </c>
      <c r="T607">
        <v>297</v>
      </c>
      <c r="U607">
        <v>14</v>
      </c>
      <c r="V607" t="s">
        <v>30</v>
      </c>
      <c r="W607" t="s">
        <v>76</v>
      </c>
      <c r="X607" t="s">
        <v>32</v>
      </c>
      <c r="Y607" t="s">
        <v>33</v>
      </c>
    </row>
    <row r="608" spans="1:25" x14ac:dyDescent="0.25">
      <c r="A608">
        <v>2025</v>
      </c>
      <c r="B608" t="s">
        <v>460</v>
      </c>
      <c r="C608" t="s">
        <v>461</v>
      </c>
      <c r="D608" t="s">
        <v>482</v>
      </c>
      <c r="E608" t="s">
        <v>28</v>
      </c>
      <c r="F608" t="s">
        <v>95</v>
      </c>
      <c r="G608">
        <v>35</v>
      </c>
      <c r="H608">
        <v>38</v>
      </c>
      <c r="I608">
        <v>36</v>
      </c>
      <c r="J608">
        <v>850</v>
      </c>
      <c r="K608">
        <v>9</v>
      </c>
      <c r="L608">
        <v>10</v>
      </c>
      <c r="M608">
        <v>5250</v>
      </c>
      <c r="N608" t="s">
        <v>30</v>
      </c>
      <c r="O608">
        <v>0</v>
      </c>
      <c r="P608">
        <v>0</v>
      </c>
      <c r="Q608">
        <v>0</v>
      </c>
      <c r="R608">
        <v>312</v>
      </c>
      <c r="S608">
        <v>324</v>
      </c>
      <c r="T608">
        <v>297</v>
      </c>
      <c r="U608">
        <v>14</v>
      </c>
      <c r="V608" t="s">
        <v>30</v>
      </c>
      <c r="W608" t="s">
        <v>76</v>
      </c>
      <c r="X608" t="s">
        <v>32</v>
      </c>
      <c r="Y608" t="s">
        <v>33</v>
      </c>
    </row>
    <row r="609" spans="1:25" x14ac:dyDescent="0.25">
      <c r="A609">
        <v>2025</v>
      </c>
      <c r="B609" t="s">
        <v>460</v>
      </c>
      <c r="C609" t="s">
        <v>461</v>
      </c>
      <c r="D609" t="s">
        <v>483</v>
      </c>
      <c r="E609" t="s">
        <v>28</v>
      </c>
      <c r="F609" t="s">
        <v>95</v>
      </c>
      <c r="G609">
        <v>108</v>
      </c>
      <c r="H609">
        <v>99</v>
      </c>
      <c r="I609">
        <v>104</v>
      </c>
      <c r="J609">
        <v>750</v>
      </c>
      <c r="K609">
        <v>9</v>
      </c>
      <c r="L609">
        <v>10</v>
      </c>
      <c r="M609">
        <v>5750</v>
      </c>
      <c r="N609" t="s">
        <v>30</v>
      </c>
      <c r="O609">
        <v>0</v>
      </c>
      <c r="P609">
        <v>0</v>
      </c>
      <c r="Q609">
        <v>0</v>
      </c>
      <c r="R609">
        <v>348</v>
      </c>
      <c r="S609">
        <v>361</v>
      </c>
      <c r="T609">
        <v>333</v>
      </c>
      <c r="U609">
        <v>14</v>
      </c>
      <c r="V609" t="s">
        <v>30</v>
      </c>
      <c r="W609" t="s">
        <v>76</v>
      </c>
      <c r="X609" t="s">
        <v>32</v>
      </c>
      <c r="Y609" t="s">
        <v>33</v>
      </c>
    </row>
    <row r="610" spans="1:25" x14ac:dyDescent="0.25">
      <c r="A610">
        <v>2025</v>
      </c>
      <c r="B610" t="s">
        <v>460</v>
      </c>
      <c r="C610" t="s">
        <v>461</v>
      </c>
      <c r="D610" t="s">
        <v>483</v>
      </c>
      <c r="E610" t="s">
        <v>28</v>
      </c>
      <c r="F610" t="s">
        <v>95</v>
      </c>
      <c r="G610">
        <v>31</v>
      </c>
      <c r="H610">
        <v>34</v>
      </c>
      <c r="I610">
        <v>32</v>
      </c>
      <c r="J610">
        <v>750</v>
      </c>
      <c r="K610">
        <v>9</v>
      </c>
      <c r="L610">
        <v>10</v>
      </c>
      <c r="M610">
        <v>5750</v>
      </c>
      <c r="N610" t="s">
        <v>30</v>
      </c>
      <c r="O610">
        <v>0</v>
      </c>
      <c r="P610">
        <v>0</v>
      </c>
      <c r="Q610">
        <v>0</v>
      </c>
      <c r="R610">
        <v>348</v>
      </c>
      <c r="S610">
        <v>361</v>
      </c>
      <c r="T610">
        <v>333</v>
      </c>
      <c r="U610">
        <v>14</v>
      </c>
      <c r="V610" t="s">
        <v>30</v>
      </c>
      <c r="W610" t="s">
        <v>76</v>
      </c>
      <c r="X610" t="s">
        <v>32</v>
      </c>
      <c r="Y610" t="s">
        <v>33</v>
      </c>
    </row>
    <row r="611" spans="1:25" x14ac:dyDescent="0.25">
      <c r="A611">
        <v>2025</v>
      </c>
      <c r="B611" t="s">
        <v>460</v>
      </c>
      <c r="C611" t="s">
        <v>461</v>
      </c>
      <c r="D611" t="s">
        <v>484</v>
      </c>
      <c r="E611" t="s">
        <v>28</v>
      </c>
      <c r="F611" t="s">
        <v>29</v>
      </c>
      <c r="G611">
        <v>103</v>
      </c>
      <c r="H611">
        <v>94</v>
      </c>
      <c r="I611">
        <v>98</v>
      </c>
      <c r="J611">
        <v>800</v>
      </c>
      <c r="K611">
        <v>9</v>
      </c>
      <c r="L611">
        <v>10</v>
      </c>
      <c r="M611">
        <v>5500</v>
      </c>
      <c r="N611" t="s">
        <v>30</v>
      </c>
      <c r="O611">
        <v>0</v>
      </c>
      <c r="P611">
        <v>0</v>
      </c>
      <c r="Q611">
        <v>0</v>
      </c>
      <c r="R611">
        <v>329</v>
      </c>
      <c r="S611">
        <v>342</v>
      </c>
      <c r="T611">
        <v>313</v>
      </c>
      <c r="U611">
        <v>14</v>
      </c>
      <c r="V611" t="s">
        <v>30</v>
      </c>
      <c r="W611" t="s">
        <v>481</v>
      </c>
      <c r="X611" t="s">
        <v>32</v>
      </c>
      <c r="Y611" t="s">
        <v>33</v>
      </c>
    </row>
    <row r="612" spans="1:25" x14ac:dyDescent="0.25">
      <c r="A612">
        <v>2025</v>
      </c>
      <c r="B612" t="s">
        <v>460</v>
      </c>
      <c r="C612" t="s">
        <v>461</v>
      </c>
      <c r="D612" t="s">
        <v>484</v>
      </c>
      <c r="E612" t="s">
        <v>28</v>
      </c>
      <c r="F612" t="s">
        <v>29</v>
      </c>
      <c r="G612">
        <v>33</v>
      </c>
      <c r="H612">
        <v>36</v>
      </c>
      <c r="I612">
        <v>34</v>
      </c>
      <c r="J612">
        <v>800</v>
      </c>
      <c r="K612">
        <v>9</v>
      </c>
      <c r="L612">
        <v>10</v>
      </c>
      <c r="M612">
        <v>5500</v>
      </c>
      <c r="N612" t="s">
        <v>30</v>
      </c>
      <c r="O612">
        <v>0</v>
      </c>
      <c r="P612">
        <v>0</v>
      </c>
      <c r="Q612">
        <v>0</v>
      </c>
      <c r="R612">
        <v>329</v>
      </c>
      <c r="S612">
        <v>342</v>
      </c>
      <c r="T612">
        <v>313</v>
      </c>
      <c r="U612">
        <v>14</v>
      </c>
      <c r="V612" t="s">
        <v>30</v>
      </c>
      <c r="W612" t="s">
        <v>481</v>
      </c>
      <c r="X612" t="s">
        <v>32</v>
      </c>
      <c r="Y612" t="s">
        <v>33</v>
      </c>
    </row>
    <row r="613" spans="1:25" x14ac:dyDescent="0.25">
      <c r="A613">
        <v>2025</v>
      </c>
      <c r="B613" t="s">
        <v>460</v>
      </c>
      <c r="C613" t="s">
        <v>461</v>
      </c>
      <c r="D613" t="s">
        <v>485</v>
      </c>
      <c r="E613" t="s">
        <v>28</v>
      </c>
      <c r="F613" t="s">
        <v>29</v>
      </c>
      <c r="G613">
        <v>92</v>
      </c>
      <c r="H613">
        <v>84</v>
      </c>
      <c r="I613">
        <v>88</v>
      </c>
      <c r="J613">
        <v>900</v>
      </c>
      <c r="K613">
        <v>9</v>
      </c>
      <c r="L613">
        <v>10</v>
      </c>
      <c r="M613">
        <v>5000</v>
      </c>
      <c r="N613" t="s">
        <v>30</v>
      </c>
      <c r="O613">
        <v>0</v>
      </c>
      <c r="P613">
        <v>0</v>
      </c>
      <c r="Q613">
        <v>0</v>
      </c>
      <c r="R613">
        <v>294</v>
      </c>
      <c r="S613">
        <v>306</v>
      </c>
      <c r="T613">
        <v>279</v>
      </c>
      <c r="U613">
        <v>14</v>
      </c>
      <c r="V613" t="s">
        <v>30</v>
      </c>
      <c r="W613" t="s">
        <v>486</v>
      </c>
      <c r="X613" t="s">
        <v>32</v>
      </c>
      <c r="Y613" t="s">
        <v>33</v>
      </c>
    </row>
    <row r="614" spans="1:25" x14ac:dyDescent="0.25">
      <c r="A614">
        <v>2025</v>
      </c>
      <c r="B614" t="s">
        <v>460</v>
      </c>
      <c r="C614" t="s">
        <v>461</v>
      </c>
      <c r="D614" t="s">
        <v>485</v>
      </c>
      <c r="E614" t="s">
        <v>28</v>
      </c>
      <c r="F614" t="s">
        <v>29</v>
      </c>
      <c r="G614">
        <v>37</v>
      </c>
      <c r="H614">
        <v>40</v>
      </c>
      <c r="I614">
        <v>38</v>
      </c>
      <c r="J614">
        <v>900</v>
      </c>
      <c r="K614">
        <v>9</v>
      </c>
      <c r="L614">
        <v>10</v>
      </c>
      <c r="M614">
        <v>5000</v>
      </c>
      <c r="N614" t="s">
        <v>30</v>
      </c>
      <c r="O614">
        <v>0</v>
      </c>
      <c r="P614">
        <v>0</v>
      </c>
      <c r="Q614">
        <v>0</v>
      </c>
      <c r="R614">
        <v>294</v>
      </c>
      <c r="S614">
        <v>306</v>
      </c>
      <c r="T614">
        <v>279</v>
      </c>
      <c r="U614">
        <v>14</v>
      </c>
      <c r="V614" t="s">
        <v>30</v>
      </c>
      <c r="W614" t="s">
        <v>486</v>
      </c>
      <c r="X614" t="s">
        <v>32</v>
      </c>
      <c r="Y614" t="s">
        <v>33</v>
      </c>
    </row>
    <row r="615" spans="1:25" x14ac:dyDescent="0.25">
      <c r="A615">
        <v>2025</v>
      </c>
      <c r="B615" t="s">
        <v>460</v>
      </c>
      <c r="C615" t="s">
        <v>461</v>
      </c>
      <c r="D615" t="s">
        <v>487</v>
      </c>
      <c r="E615" t="s">
        <v>28</v>
      </c>
      <c r="F615" t="s">
        <v>29</v>
      </c>
      <c r="G615">
        <v>98</v>
      </c>
      <c r="H615">
        <v>89</v>
      </c>
      <c r="I615">
        <v>94</v>
      </c>
      <c r="J615">
        <v>850</v>
      </c>
      <c r="K615">
        <v>9</v>
      </c>
      <c r="L615">
        <v>10</v>
      </c>
      <c r="M615">
        <v>5250</v>
      </c>
      <c r="N615" t="s">
        <v>30</v>
      </c>
      <c r="O615">
        <v>0</v>
      </c>
      <c r="P615">
        <v>0</v>
      </c>
      <c r="Q615">
        <v>0</v>
      </c>
      <c r="R615">
        <v>314</v>
      </c>
      <c r="S615">
        <v>328</v>
      </c>
      <c r="T615">
        <v>297</v>
      </c>
      <c r="U615">
        <v>14</v>
      </c>
      <c r="V615" t="s">
        <v>30</v>
      </c>
      <c r="W615" t="s">
        <v>486</v>
      </c>
      <c r="X615" t="s">
        <v>32</v>
      </c>
      <c r="Y615" t="s">
        <v>33</v>
      </c>
    </row>
    <row r="616" spans="1:25" x14ac:dyDescent="0.25">
      <c r="A616">
        <v>2025</v>
      </c>
      <c r="B616" t="s">
        <v>460</v>
      </c>
      <c r="C616" t="s">
        <v>461</v>
      </c>
      <c r="D616" t="s">
        <v>487</v>
      </c>
      <c r="E616" t="s">
        <v>28</v>
      </c>
      <c r="F616" t="s">
        <v>29</v>
      </c>
      <c r="G616">
        <v>34</v>
      </c>
      <c r="H616">
        <v>38</v>
      </c>
      <c r="I616">
        <v>36</v>
      </c>
      <c r="J616">
        <v>850</v>
      </c>
      <c r="K616">
        <v>9</v>
      </c>
      <c r="L616">
        <v>10</v>
      </c>
      <c r="M616">
        <v>5250</v>
      </c>
      <c r="N616" t="s">
        <v>30</v>
      </c>
      <c r="O616">
        <v>0</v>
      </c>
      <c r="P616">
        <v>0</v>
      </c>
      <c r="Q616">
        <v>0</v>
      </c>
      <c r="R616">
        <v>314</v>
      </c>
      <c r="S616">
        <v>328</v>
      </c>
      <c r="T616">
        <v>297</v>
      </c>
      <c r="U616">
        <v>14</v>
      </c>
      <c r="V616" t="s">
        <v>30</v>
      </c>
      <c r="W616" t="s">
        <v>486</v>
      </c>
      <c r="X616" t="s">
        <v>32</v>
      </c>
      <c r="Y616" t="s">
        <v>33</v>
      </c>
    </row>
    <row r="617" spans="1:25" x14ac:dyDescent="0.25">
      <c r="A617">
        <v>2025</v>
      </c>
      <c r="B617" t="s">
        <v>253</v>
      </c>
      <c r="C617" t="s">
        <v>488</v>
      </c>
      <c r="D617" t="s">
        <v>489</v>
      </c>
      <c r="E617" t="s">
        <v>128</v>
      </c>
      <c r="F617" t="s">
        <v>115</v>
      </c>
      <c r="G617">
        <v>131</v>
      </c>
      <c r="H617">
        <v>107</v>
      </c>
      <c r="I617">
        <v>119</v>
      </c>
      <c r="J617">
        <v>700</v>
      </c>
      <c r="K617">
        <v>9</v>
      </c>
      <c r="L617">
        <v>10</v>
      </c>
      <c r="M617">
        <v>6250</v>
      </c>
      <c r="N617" t="s">
        <v>30</v>
      </c>
      <c r="O617">
        <v>0</v>
      </c>
      <c r="P617">
        <v>0</v>
      </c>
      <c r="Q617">
        <v>0</v>
      </c>
      <c r="R617">
        <v>252</v>
      </c>
      <c r="S617">
        <v>274</v>
      </c>
      <c r="T617">
        <v>225</v>
      </c>
      <c r="U617">
        <v>11</v>
      </c>
      <c r="V617" t="s">
        <v>30</v>
      </c>
      <c r="W617" t="s">
        <v>209</v>
      </c>
      <c r="X617" t="s">
        <v>32</v>
      </c>
      <c r="Y617" t="s">
        <v>33</v>
      </c>
    </row>
    <row r="618" spans="1:25" x14ac:dyDescent="0.25">
      <c r="A618">
        <v>2025</v>
      </c>
      <c r="B618" t="s">
        <v>253</v>
      </c>
      <c r="C618" t="s">
        <v>488</v>
      </c>
      <c r="D618" t="s">
        <v>489</v>
      </c>
      <c r="E618" t="s">
        <v>128</v>
      </c>
      <c r="F618" t="s">
        <v>115</v>
      </c>
      <c r="G618">
        <v>26</v>
      </c>
      <c r="H618">
        <v>31</v>
      </c>
      <c r="I618">
        <v>28</v>
      </c>
      <c r="J618">
        <v>650</v>
      </c>
      <c r="K618">
        <v>9</v>
      </c>
      <c r="L618">
        <v>10</v>
      </c>
      <c r="M618">
        <v>6250</v>
      </c>
      <c r="N618" t="s">
        <v>30</v>
      </c>
      <c r="O618">
        <v>0</v>
      </c>
      <c r="P618">
        <v>0</v>
      </c>
      <c r="Q618">
        <v>0</v>
      </c>
      <c r="R618">
        <v>252</v>
      </c>
      <c r="S618">
        <v>274</v>
      </c>
      <c r="T618">
        <v>225</v>
      </c>
      <c r="U618">
        <v>11</v>
      </c>
      <c r="V618" t="s">
        <v>30</v>
      </c>
      <c r="W618" t="s">
        <v>209</v>
      </c>
      <c r="X618" t="s">
        <v>32</v>
      </c>
      <c r="Y618" t="s">
        <v>33</v>
      </c>
    </row>
    <row r="619" spans="1:25" x14ac:dyDescent="0.25">
      <c r="A619">
        <v>2025</v>
      </c>
      <c r="B619" t="s">
        <v>253</v>
      </c>
      <c r="C619" t="s">
        <v>488</v>
      </c>
      <c r="D619" t="s">
        <v>490</v>
      </c>
      <c r="E619" t="s">
        <v>28</v>
      </c>
      <c r="F619" t="s">
        <v>118</v>
      </c>
      <c r="G619">
        <v>112</v>
      </c>
      <c r="H619">
        <v>92</v>
      </c>
      <c r="I619">
        <v>102</v>
      </c>
      <c r="J619">
        <v>800</v>
      </c>
      <c r="K619">
        <v>9</v>
      </c>
      <c r="L619">
        <v>10</v>
      </c>
      <c r="M619">
        <v>5500</v>
      </c>
      <c r="N619" t="s">
        <v>30</v>
      </c>
      <c r="O619">
        <v>0</v>
      </c>
      <c r="P619">
        <v>0</v>
      </c>
      <c r="Q619">
        <v>0</v>
      </c>
      <c r="R619">
        <v>222</v>
      </c>
      <c r="S619">
        <v>240</v>
      </c>
      <c r="T619">
        <v>200</v>
      </c>
      <c r="U619">
        <v>11</v>
      </c>
      <c r="V619" t="s">
        <v>30</v>
      </c>
      <c r="W619" t="s">
        <v>458</v>
      </c>
      <c r="X619" t="s">
        <v>32</v>
      </c>
      <c r="Y619" t="s">
        <v>33</v>
      </c>
    </row>
    <row r="620" spans="1:25" x14ac:dyDescent="0.25">
      <c r="A620">
        <v>2025</v>
      </c>
      <c r="B620" t="s">
        <v>253</v>
      </c>
      <c r="C620" t="s">
        <v>488</v>
      </c>
      <c r="D620" t="s">
        <v>490</v>
      </c>
      <c r="E620" t="s">
        <v>28</v>
      </c>
      <c r="F620" t="s">
        <v>118</v>
      </c>
      <c r="G620">
        <v>29</v>
      </c>
      <c r="H620">
        <v>35</v>
      </c>
      <c r="I620">
        <v>32</v>
      </c>
      <c r="J620">
        <v>800</v>
      </c>
      <c r="K620">
        <v>9</v>
      </c>
      <c r="L620">
        <v>10</v>
      </c>
      <c r="M620">
        <v>5500</v>
      </c>
      <c r="N620" t="s">
        <v>30</v>
      </c>
      <c r="O620">
        <v>0</v>
      </c>
      <c r="P620">
        <v>0</v>
      </c>
      <c r="Q620">
        <v>0</v>
      </c>
      <c r="R620">
        <v>222</v>
      </c>
      <c r="S620">
        <v>240</v>
      </c>
      <c r="T620">
        <v>200</v>
      </c>
      <c r="U620">
        <v>11</v>
      </c>
      <c r="V620" t="s">
        <v>30</v>
      </c>
      <c r="W620" t="s">
        <v>458</v>
      </c>
      <c r="X620" t="s">
        <v>32</v>
      </c>
      <c r="Y620" t="s">
        <v>33</v>
      </c>
    </row>
    <row r="621" spans="1:25" x14ac:dyDescent="0.25">
      <c r="A621">
        <v>2025</v>
      </c>
      <c r="B621" t="s">
        <v>253</v>
      </c>
      <c r="C621" t="s">
        <v>488</v>
      </c>
      <c r="D621" t="s">
        <v>491</v>
      </c>
      <c r="E621" t="s">
        <v>128</v>
      </c>
      <c r="F621" t="s">
        <v>115</v>
      </c>
      <c r="G621">
        <v>121</v>
      </c>
      <c r="H621">
        <v>102</v>
      </c>
      <c r="I621">
        <v>112</v>
      </c>
      <c r="J621">
        <v>700</v>
      </c>
      <c r="K621">
        <v>9</v>
      </c>
      <c r="L621">
        <v>10</v>
      </c>
      <c r="M621">
        <v>6000</v>
      </c>
      <c r="N621" t="s">
        <v>30</v>
      </c>
      <c r="O621">
        <v>0</v>
      </c>
      <c r="P621">
        <v>0</v>
      </c>
      <c r="Q621">
        <v>0</v>
      </c>
      <c r="R621">
        <v>236</v>
      </c>
      <c r="S621">
        <v>254</v>
      </c>
      <c r="T621">
        <v>214</v>
      </c>
      <c r="U621">
        <v>11</v>
      </c>
      <c r="V621" t="s">
        <v>30</v>
      </c>
      <c r="W621" t="s">
        <v>209</v>
      </c>
      <c r="X621" t="s">
        <v>32</v>
      </c>
      <c r="Y621" t="s">
        <v>33</v>
      </c>
    </row>
    <row r="622" spans="1:25" x14ac:dyDescent="0.25">
      <c r="A622">
        <v>2025</v>
      </c>
      <c r="B622" t="s">
        <v>253</v>
      </c>
      <c r="C622" t="s">
        <v>488</v>
      </c>
      <c r="D622" t="s">
        <v>491</v>
      </c>
      <c r="E622" t="s">
        <v>128</v>
      </c>
      <c r="F622" t="s">
        <v>115</v>
      </c>
      <c r="G622">
        <v>28</v>
      </c>
      <c r="H622">
        <v>33</v>
      </c>
      <c r="I622">
        <v>30</v>
      </c>
      <c r="J622">
        <v>700</v>
      </c>
      <c r="K622">
        <v>9</v>
      </c>
      <c r="L622">
        <v>10</v>
      </c>
      <c r="M622">
        <v>6000</v>
      </c>
      <c r="N622" t="s">
        <v>30</v>
      </c>
      <c r="O622">
        <v>0</v>
      </c>
      <c r="P622">
        <v>0</v>
      </c>
      <c r="Q622">
        <v>0</v>
      </c>
      <c r="R622">
        <v>236</v>
      </c>
      <c r="S622">
        <v>254</v>
      </c>
      <c r="T622">
        <v>214</v>
      </c>
      <c r="U622">
        <v>11</v>
      </c>
      <c r="V622" t="s">
        <v>30</v>
      </c>
      <c r="W622" t="s">
        <v>209</v>
      </c>
      <c r="X622" t="s">
        <v>32</v>
      </c>
      <c r="Y622" t="s">
        <v>33</v>
      </c>
    </row>
    <row r="623" spans="1:25" x14ac:dyDescent="0.25">
      <c r="A623">
        <v>2025</v>
      </c>
      <c r="B623" t="s">
        <v>253</v>
      </c>
      <c r="C623" t="s">
        <v>488</v>
      </c>
      <c r="D623" t="s">
        <v>492</v>
      </c>
      <c r="E623" t="s">
        <v>28</v>
      </c>
      <c r="F623" t="s">
        <v>118</v>
      </c>
      <c r="G623">
        <v>114</v>
      </c>
      <c r="H623">
        <v>94</v>
      </c>
      <c r="I623">
        <v>104</v>
      </c>
      <c r="J623">
        <v>750</v>
      </c>
      <c r="K623">
        <v>9</v>
      </c>
      <c r="L623">
        <v>10</v>
      </c>
      <c r="M623">
        <v>5750</v>
      </c>
      <c r="N623" t="s">
        <v>30</v>
      </c>
      <c r="O623">
        <v>0</v>
      </c>
      <c r="P623">
        <v>0</v>
      </c>
      <c r="Q623">
        <v>0</v>
      </c>
      <c r="R623">
        <v>228</v>
      </c>
      <c r="S623">
        <v>246</v>
      </c>
      <c r="T623">
        <v>205</v>
      </c>
      <c r="U623">
        <v>11</v>
      </c>
      <c r="V623" t="s">
        <v>30</v>
      </c>
      <c r="W623" t="s">
        <v>458</v>
      </c>
      <c r="X623" t="s">
        <v>32</v>
      </c>
      <c r="Y623" t="s">
        <v>33</v>
      </c>
    </row>
    <row r="624" spans="1:25" x14ac:dyDescent="0.25">
      <c r="A624">
        <v>2025</v>
      </c>
      <c r="B624" t="s">
        <v>253</v>
      </c>
      <c r="C624" t="s">
        <v>488</v>
      </c>
      <c r="D624" t="s">
        <v>492</v>
      </c>
      <c r="E624" t="s">
        <v>28</v>
      </c>
      <c r="F624" t="s">
        <v>118</v>
      </c>
      <c r="G624">
        <v>28</v>
      </c>
      <c r="H624">
        <v>34</v>
      </c>
      <c r="I624">
        <v>31</v>
      </c>
      <c r="J624">
        <v>750</v>
      </c>
      <c r="K624">
        <v>9</v>
      </c>
      <c r="L624">
        <v>10</v>
      </c>
      <c r="M624">
        <v>5750</v>
      </c>
      <c r="N624" t="s">
        <v>30</v>
      </c>
      <c r="O624">
        <v>0</v>
      </c>
      <c r="P624">
        <v>0</v>
      </c>
      <c r="Q624">
        <v>0</v>
      </c>
      <c r="R624">
        <v>228</v>
      </c>
      <c r="S624">
        <v>246</v>
      </c>
      <c r="T624">
        <v>205</v>
      </c>
      <c r="U624">
        <v>11</v>
      </c>
      <c r="V624" t="s">
        <v>30</v>
      </c>
      <c r="W624" t="s">
        <v>458</v>
      </c>
      <c r="X624" t="s">
        <v>32</v>
      </c>
      <c r="Y624" t="s">
        <v>33</v>
      </c>
    </row>
    <row r="625" spans="1:25" x14ac:dyDescent="0.25">
      <c r="A625">
        <v>2025</v>
      </c>
      <c r="B625" t="s">
        <v>253</v>
      </c>
      <c r="C625" t="s">
        <v>488</v>
      </c>
      <c r="D625" t="s">
        <v>493</v>
      </c>
      <c r="E625" t="s">
        <v>28</v>
      </c>
      <c r="F625" t="s">
        <v>118</v>
      </c>
      <c r="G625">
        <v>112</v>
      </c>
      <c r="H625">
        <v>92</v>
      </c>
      <c r="I625">
        <v>102</v>
      </c>
      <c r="J625">
        <v>800</v>
      </c>
      <c r="K625">
        <v>9</v>
      </c>
      <c r="L625">
        <v>10</v>
      </c>
      <c r="M625">
        <v>5500</v>
      </c>
      <c r="N625" t="s">
        <v>30</v>
      </c>
      <c r="O625">
        <v>0</v>
      </c>
      <c r="P625">
        <v>0</v>
      </c>
      <c r="Q625">
        <v>0</v>
      </c>
      <c r="R625">
        <v>222</v>
      </c>
      <c r="S625">
        <v>240</v>
      </c>
      <c r="T625">
        <v>200</v>
      </c>
      <c r="U625">
        <v>11</v>
      </c>
      <c r="V625" t="s">
        <v>30</v>
      </c>
      <c r="W625" t="s">
        <v>458</v>
      </c>
      <c r="X625" t="s">
        <v>32</v>
      </c>
      <c r="Y625" t="s">
        <v>33</v>
      </c>
    </row>
    <row r="626" spans="1:25" x14ac:dyDescent="0.25">
      <c r="A626">
        <v>2025</v>
      </c>
      <c r="B626" t="s">
        <v>253</v>
      </c>
      <c r="C626" t="s">
        <v>488</v>
      </c>
      <c r="D626" t="s">
        <v>493</v>
      </c>
      <c r="E626" t="s">
        <v>28</v>
      </c>
      <c r="F626" t="s">
        <v>118</v>
      </c>
      <c r="G626">
        <v>29</v>
      </c>
      <c r="H626">
        <v>35</v>
      </c>
      <c r="I626">
        <v>32</v>
      </c>
      <c r="J626">
        <v>800</v>
      </c>
      <c r="K626">
        <v>9</v>
      </c>
      <c r="L626">
        <v>10</v>
      </c>
      <c r="M626">
        <v>5500</v>
      </c>
      <c r="N626" t="s">
        <v>30</v>
      </c>
      <c r="O626">
        <v>0</v>
      </c>
      <c r="P626">
        <v>0</v>
      </c>
      <c r="Q626">
        <v>0</v>
      </c>
      <c r="R626">
        <v>222</v>
      </c>
      <c r="S626">
        <v>240</v>
      </c>
      <c r="T626">
        <v>200</v>
      </c>
      <c r="U626">
        <v>11</v>
      </c>
      <c r="V626" t="s">
        <v>30</v>
      </c>
      <c r="W626" t="s">
        <v>458</v>
      </c>
      <c r="X626" t="s">
        <v>32</v>
      </c>
      <c r="Y626" t="s">
        <v>33</v>
      </c>
    </row>
    <row r="627" spans="1:25" x14ac:dyDescent="0.25">
      <c r="A627">
        <v>2025</v>
      </c>
      <c r="B627" t="s">
        <v>25</v>
      </c>
      <c r="C627" t="s">
        <v>494</v>
      </c>
      <c r="D627" t="s">
        <v>495</v>
      </c>
      <c r="E627" t="s">
        <v>28</v>
      </c>
      <c r="F627" t="s">
        <v>118</v>
      </c>
      <c r="G627">
        <v>108</v>
      </c>
      <c r="H627">
        <v>96</v>
      </c>
      <c r="I627">
        <v>102</v>
      </c>
      <c r="J627">
        <v>800</v>
      </c>
      <c r="K627">
        <v>9</v>
      </c>
      <c r="L627">
        <v>10</v>
      </c>
      <c r="M627">
        <v>5500</v>
      </c>
      <c r="N627" t="s">
        <v>30</v>
      </c>
      <c r="O627">
        <v>0</v>
      </c>
      <c r="P627">
        <v>0</v>
      </c>
      <c r="Q627">
        <v>0</v>
      </c>
      <c r="R627">
        <v>263</v>
      </c>
      <c r="S627">
        <v>277</v>
      </c>
      <c r="T627">
        <v>245</v>
      </c>
      <c r="U627">
        <v>8</v>
      </c>
      <c r="V627" t="s">
        <v>30</v>
      </c>
      <c r="W627" t="s">
        <v>496</v>
      </c>
      <c r="X627" t="s">
        <v>32</v>
      </c>
      <c r="Y627" t="s">
        <v>33</v>
      </c>
    </row>
    <row r="628" spans="1:25" x14ac:dyDescent="0.25">
      <c r="A628">
        <v>2025</v>
      </c>
      <c r="B628" t="s">
        <v>25</v>
      </c>
      <c r="C628" t="s">
        <v>494</v>
      </c>
      <c r="D628" t="s">
        <v>495</v>
      </c>
      <c r="E628" t="s">
        <v>28</v>
      </c>
      <c r="F628" t="s">
        <v>118</v>
      </c>
      <c r="G628">
        <v>31</v>
      </c>
      <c r="H628">
        <v>35</v>
      </c>
      <c r="I628">
        <v>33</v>
      </c>
      <c r="J628">
        <v>800</v>
      </c>
      <c r="K628">
        <v>9</v>
      </c>
      <c r="L628">
        <v>10</v>
      </c>
      <c r="M628">
        <v>5500</v>
      </c>
      <c r="N628" t="s">
        <v>30</v>
      </c>
      <c r="O628">
        <v>0</v>
      </c>
      <c r="P628">
        <v>0</v>
      </c>
      <c r="Q628">
        <v>0</v>
      </c>
      <c r="R628">
        <v>263</v>
      </c>
      <c r="S628">
        <v>277</v>
      </c>
      <c r="T628">
        <v>245</v>
      </c>
      <c r="U628">
        <v>8</v>
      </c>
      <c r="V628" t="s">
        <v>30</v>
      </c>
      <c r="W628" t="s">
        <v>496</v>
      </c>
      <c r="X628" t="s">
        <v>32</v>
      </c>
      <c r="Y628" t="s">
        <v>33</v>
      </c>
    </row>
    <row r="629" spans="1:25" x14ac:dyDescent="0.25">
      <c r="A629">
        <v>2025</v>
      </c>
      <c r="B629" t="s">
        <v>25</v>
      </c>
      <c r="C629" t="s">
        <v>494</v>
      </c>
      <c r="D629" t="s">
        <v>497</v>
      </c>
      <c r="E629" t="s">
        <v>46</v>
      </c>
      <c r="F629" t="s">
        <v>115</v>
      </c>
      <c r="G629">
        <v>122</v>
      </c>
      <c r="H629">
        <v>104</v>
      </c>
      <c r="I629">
        <v>113</v>
      </c>
      <c r="J629">
        <v>700</v>
      </c>
      <c r="K629">
        <v>9</v>
      </c>
      <c r="L629">
        <v>10</v>
      </c>
      <c r="M629">
        <v>6000</v>
      </c>
      <c r="N629" t="s">
        <v>30</v>
      </c>
      <c r="O629">
        <v>0</v>
      </c>
      <c r="P629">
        <v>0</v>
      </c>
      <c r="Q629">
        <v>0</v>
      </c>
      <c r="R629">
        <v>291</v>
      </c>
      <c r="S629">
        <v>313</v>
      </c>
      <c r="T629">
        <v>264</v>
      </c>
      <c r="U629">
        <v>8</v>
      </c>
      <c r="V629" t="s">
        <v>30</v>
      </c>
      <c r="W629" t="s">
        <v>48</v>
      </c>
      <c r="X629" t="s">
        <v>32</v>
      </c>
      <c r="Y629" t="s">
        <v>33</v>
      </c>
    </row>
    <row r="630" spans="1:25" x14ac:dyDescent="0.25">
      <c r="A630">
        <v>2025</v>
      </c>
      <c r="B630" t="s">
        <v>25</v>
      </c>
      <c r="C630" t="s">
        <v>494</v>
      </c>
      <c r="D630" t="s">
        <v>497</v>
      </c>
      <c r="E630" t="s">
        <v>46</v>
      </c>
      <c r="F630" t="s">
        <v>115</v>
      </c>
      <c r="G630">
        <v>28</v>
      </c>
      <c r="H630">
        <v>33</v>
      </c>
      <c r="I630">
        <v>30</v>
      </c>
      <c r="J630">
        <v>700</v>
      </c>
      <c r="K630">
        <v>9</v>
      </c>
      <c r="L630">
        <v>10</v>
      </c>
      <c r="M630">
        <v>6000</v>
      </c>
      <c r="N630" t="s">
        <v>30</v>
      </c>
      <c r="O630">
        <v>0</v>
      </c>
      <c r="P630">
        <v>0</v>
      </c>
      <c r="Q630">
        <v>0</v>
      </c>
      <c r="R630">
        <v>291</v>
      </c>
      <c r="S630">
        <v>313</v>
      </c>
      <c r="T630">
        <v>264</v>
      </c>
      <c r="U630">
        <v>8</v>
      </c>
      <c r="V630" t="s">
        <v>30</v>
      </c>
      <c r="W630" t="s">
        <v>48</v>
      </c>
      <c r="X630" t="s">
        <v>32</v>
      </c>
      <c r="Y630" t="s">
        <v>33</v>
      </c>
    </row>
    <row r="631" spans="1:25" x14ac:dyDescent="0.25">
      <c r="A631">
        <v>2025</v>
      </c>
      <c r="B631" t="s">
        <v>25</v>
      </c>
      <c r="C631" t="s">
        <v>494</v>
      </c>
      <c r="D631" t="s">
        <v>498</v>
      </c>
      <c r="E631" t="s">
        <v>28</v>
      </c>
      <c r="F631" t="s">
        <v>118</v>
      </c>
      <c r="G631">
        <v>108</v>
      </c>
      <c r="H631">
        <v>96</v>
      </c>
      <c r="I631">
        <v>102</v>
      </c>
      <c r="J631">
        <v>800</v>
      </c>
      <c r="K631">
        <v>9</v>
      </c>
      <c r="L631">
        <v>10</v>
      </c>
      <c r="M631">
        <v>5500</v>
      </c>
      <c r="N631" t="s">
        <v>30</v>
      </c>
      <c r="O631">
        <v>0</v>
      </c>
      <c r="P631">
        <v>0</v>
      </c>
      <c r="Q631">
        <v>0</v>
      </c>
      <c r="R631">
        <v>263</v>
      </c>
      <c r="S631">
        <v>277</v>
      </c>
      <c r="T631">
        <v>245</v>
      </c>
      <c r="U631">
        <v>8</v>
      </c>
      <c r="V631" t="s">
        <v>30</v>
      </c>
      <c r="W631" t="s">
        <v>161</v>
      </c>
      <c r="X631" t="s">
        <v>32</v>
      </c>
      <c r="Y631" t="s">
        <v>33</v>
      </c>
    </row>
    <row r="632" spans="1:25" x14ac:dyDescent="0.25">
      <c r="A632">
        <v>2025</v>
      </c>
      <c r="B632" t="s">
        <v>25</v>
      </c>
      <c r="C632" t="s">
        <v>494</v>
      </c>
      <c r="D632" t="s">
        <v>498</v>
      </c>
      <c r="E632" t="s">
        <v>28</v>
      </c>
      <c r="F632" t="s">
        <v>118</v>
      </c>
      <c r="G632">
        <v>31</v>
      </c>
      <c r="H632">
        <v>35</v>
      </c>
      <c r="I632">
        <v>33</v>
      </c>
      <c r="J632">
        <v>800</v>
      </c>
      <c r="K632">
        <v>9</v>
      </c>
      <c r="L632">
        <v>10</v>
      </c>
      <c r="M632">
        <v>5500</v>
      </c>
      <c r="N632" t="s">
        <v>30</v>
      </c>
      <c r="O632">
        <v>0</v>
      </c>
      <c r="P632">
        <v>0</v>
      </c>
      <c r="Q632">
        <v>0</v>
      </c>
      <c r="R632">
        <v>263</v>
      </c>
      <c r="S632">
        <v>277</v>
      </c>
      <c r="T632">
        <v>245</v>
      </c>
      <c r="U632">
        <v>8</v>
      </c>
      <c r="V632" t="s">
        <v>30</v>
      </c>
      <c r="W632" t="s">
        <v>161</v>
      </c>
      <c r="X632" t="s">
        <v>32</v>
      </c>
      <c r="Y632" t="s">
        <v>33</v>
      </c>
    </row>
    <row r="633" spans="1:25" x14ac:dyDescent="0.25">
      <c r="A633">
        <v>2025</v>
      </c>
      <c r="B633" t="s">
        <v>25</v>
      </c>
      <c r="C633" t="s">
        <v>494</v>
      </c>
      <c r="D633" t="s">
        <v>499</v>
      </c>
      <c r="E633" t="s">
        <v>46</v>
      </c>
      <c r="F633" t="s">
        <v>115</v>
      </c>
      <c r="G633">
        <v>122</v>
      </c>
      <c r="H633">
        <v>104</v>
      </c>
      <c r="I633">
        <v>113</v>
      </c>
      <c r="J633">
        <v>700</v>
      </c>
      <c r="K633">
        <v>9</v>
      </c>
      <c r="L633">
        <v>10</v>
      </c>
      <c r="M633">
        <v>6000</v>
      </c>
      <c r="N633" t="s">
        <v>30</v>
      </c>
      <c r="O633">
        <v>0</v>
      </c>
      <c r="P633">
        <v>0</v>
      </c>
      <c r="Q633">
        <v>0</v>
      </c>
      <c r="R633">
        <v>291</v>
      </c>
      <c r="S633">
        <v>313</v>
      </c>
      <c r="T633">
        <v>264</v>
      </c>
      <c r="U633">
        <v>8</v>
      </c>
      <c r="V633" t="s">
        <v>30</v>
      </c>
      <c r="W633" t="s">
        <v>48</v>
      </c>
      <c r="X633" t="s">
        <v>32</v>
      </c>
      <c r="Y633" t="s">
        <v>33</v>
      </c>
    </row>
    <row r="634" spans="1:25" x14ac:dyDescent="0.25">
      <c r="A634">
        <v>2025</v>
      </c>
      <c r="B634" t="s">
        <v>25</v>
      </c>
      <c r="C634" t="s">
        <v>494</v>
      </c>
      <c r="D634" t="s">
        <v>499</v>
      </c>
      <c r="E634" t="s">
        <v>46</v>
      </c>
      <c r="F634" t="s">
        <v>115</v>
      </c>
      <c r="G634">
        <v>28</v>
      </c>
      <c r="H634">
        <v>33</v>
      </c>
      <c r="I634">
        <v>30</v>
      </c>
      <c r="J634">
        <v>700</v>
      </c>
      <c r="K634">
        <v>9</v>
      </c>
      <c r="L634">
        <v>10</v>
      </c>
      <c r="M634">
        <v>6000</v>
      </c>
      <c r="N634" t="s">
        <v>30</v>
      </c>
      <c r="O634">
        <v>0</v>
      </c>
      <c r="P634">
        <v>0</v>
      </c>
      <c r="Q634">
        <v>0</v>
      </c>
      <c r="R634">
        <v>291</v>
      </c>
      <c r="S634">
        <v>313</v>
      </c>
      <c r="T634">
        <v>264</v>
      </c>
      <c r="U634">
        <v>8</v>
      </c>
      <c r="V634" t="s">
        <v>30</v>
      </c>
      <c r="W634" t="s">
        <v>48</v>
      </c>
      <c r="X634" t="s">
        <v>32</v>
      </c>
      <c r="Y634" t="s">
        <v>33</v>
      </c>
    </row>
    <row r="635" spans="1:25" x14ac:dyDescent="0.25">
      <c r="A635">
        <v>2025</v>
      </c>
      <c r="B635" t="s">
        <v>25</v>
      </c>
      <c r="C635" t="s">
        <v>494</v>
      </c>
      <c r="D635" t="s">
        <v>500</v>
      </c>
      <c r="E635" t="s">
        <v>46</v>
      </c>
      <c r="F635" t="s">
        <v>115</v>
      </c>
      <c r="G635">
        <v>115</v>
      </c>
      <c r="H635">
        <v>98</v>
      </c>
      <c r="I635">
        <v>107</v>
      </c>
      <c r="J635">
        <v>750</v>
      </c>
      <c r="K635">
        <v>9</v>
      </c>
      <c r="L635">
        <v>10</v>
      </c>
      <c r="M635">
        <v>5750</v>
      </c>
      <c r="N635" t="s">
        <v>30</v>
      </c>
      <c r="O635">
        <v>0</v>
      </c>
      <c r="P635">
        <v>0</v>
      </c>
      <c r="Q635">
        <v>0</v>
      </c>
      <c r="R635">
        <v>206</v>
      </c>
      <c r="S635">
        <v>220</v>
      </c>
      <c r="T635">
        <v>189</v>
      </c>
      <c r="U635">
        <v>6</v>
      </c>
      <c r="V635" t="s">
        <v>30</v>
      </c>
      <c r="W635" t="s">
        <v>48</v>
      </c>
      <c r="X635" t="s">
        <v>32</v>
      </c>
      <c r="Y635" t="s">
        <v>33</v>
      </c>
    </row>
    <row r="636" spans="1:25" x14ac:dyDescent="0.25">
      <c r="A636">
        <v>2025</v>
      </c>
      <c r="B636" t="s">
        <v>25</v>
      </c>
      <c r="C636" t="s">
        <v>494</v>
      </c>
      <c r="D636" t="s">
        <v>500</v>
      </c>
      <c r="E636" t="s">
        <v>46</v>
      </c>
      <c r="F636" t="s">
        <v>115</v>
      </c>
      <c r="G636">
        <v>29</v>
      </c>
      <c r="H636">
        <v>34</v>
      </c>
      <c r="I636">
        <v>32</v>
      </c>
      <c r="J636">
        <v>750</v>
      </c>
      <c r="K636">
        <v>9</v>
      </c>
      <c r="L636">
        <v>10</v>
      </c>
      <c r="M636">
        <v>5750</v>
      </c>
      <c r="N636" t="s">
        <v>30</v>
      </c>
      <c r="O636">
        <v>0</v>
      </c>
      <c r="P636">
        <v>0</v>
      </c>
      <c r="Q636">
        <v>0</v>
      </c>
      <c r="R636">
        <v>206</v>
      </c>
      <c r="S636">
        <v>220</v>
      </c>
      <c r="T636">
        <v>189</v>
      </c>
      <c r="U636">
        <v>6</v>
      </c>
      <c r="V636" t="s">
        <v>30</v>
      </c>
      <c r="W636" t="s">
        <v>48</v>
      </c>
      <c r="X636" t="s">
        <v>32</v>
      </c>
      <c r="Y636" t="s">
        <v>33</v>
      </c>
    </row>
    <row r="637" spans="1:25" x14ac:dyDescent="0.25">
      <c r="A637">
        <v>2025</v>
      </c>
      <c r="B637" t="s">
        <v>25</v>
      </c>
      <c r="C637" t="s">
        <v>494</v>
      </c>
      <c r="D637" t="s">
        <v>501</v>
      </c>
      <c r="E637" t="s">
        <v>46</v>
      </c>
      <c r="F637" t="s">
        <v>115</v>
      </c>
      <c r="G637">
        <v>115</v>
      </c>
      <c r="H637">
        <v>98</v>
      </c>
      <c r="I637">
        <v>107</v>
      </c>
      <c r="J637">
        <v>750</v>
      </c>
      <c r="K637">
        <v>9</v>
      </c>
      <c r="L637">
        <v>10</v>
      </c>
      <c r="M637">
        <v>5750</v>
      </c>
      <c r="N637" t="s">
        <v>30</v>
      </c>
      <c r="O637">
        <v>0</v>
      </c>
      <c r="P637">
        <v>0</v>
      </c>
      <c r="Q637">
        <v>0</v>
      </c>
      <c r="R637">
        <v>206</v>
      </c>
      <c r="S637">
        <v>220</v>
      </c>
      <c r="T637">
        <v>189</v>
      </c>
      <c r="U637">
        <v>6</v>
      </c>
      <c r="V637" t="s">
        <v>30</v>
      </c>
      <c r="W637" t="s">
        <v>48</v>
      </c>
      <c r="X637" t="s">
        <v>32</v>
      </c>
      <c r="Y637" t="s">
        <v>33</v>
      </c>
    </row>
    <row r="638" spans="1:25" x14ac:dyDescent="0.25">
      <c r="A638">
        <v>2025</v>
      </c>
      <c r="B638" t="s">
        <v>25</v>
      </c>
      <c r="C638" t="s">
        <v>494</v>
      </c>
      <c r="D638" t="s">
        <v>501</v>
      </c>
      <c r="E638" t="s">
        <v>46</v>
      </c>
      <c r="F638" t="s">
        <v>115</v>
      </c>
      <c r="G638">
        <v>29</v>
      </c>
      <c r="H638">
        <v>34</v>
      </c>
      <c r="I638">
        <v>32</v>
      </c>
      <c r="J638">
        <v>750</v>
      </c>
      <c r="K638">
        <v>9</v>
      </c>
      <c r="L638">
        <v>10</v>
      </c>
      <c r="M638">
        <v>5750</v>
      </c>
      <c r="N638" t="s">
        <v>30</v>
      </c>
      <c r="O638">
        <v>0</v>
      </c>
      <c r="P638">
        <v>0</v>
      </c>
      <c r="Q638">
        <v>0</v>
      </c>
      <c r="R638">
        <v>206</v>
      </c>
      <c r="S638">
        <v>220</v>
      </c>
      <c r="T638">
        <v>189</v>
      </c>
      <c r="U638">
        <v>6</v>
      </c>
      <c r="V638" t="s">
        <v>30</v>
      </c>
      <c r="W638" t="s">
        <v>48</v>
      </c>
      <c r="X638" t="s">
        <v>32</v>
      </c>
      <c r="Y638" t="s">
        <v>33</v>
      </c>
    </row>
    <row r="639" spans="1:25" x14ac:dyDescent="0.25">
      <c r="A639">
        <v>2025</v>
      </c>
      <c r="B639" t="s">
        <v>25</v>
      </c>
      <c r="C639" t="s">
        <v>494</v>
      </c>
      <c r="D639" t="s">
        <v>502</v>
      </c>
      <c r="E639" t="s">
        <v>46</v>
      </c>
      <c r="F639" t="s">
        <v>503</v>
      </c>
      <c r="G639">
        <v>90</v>
      </c>
      <c r="H639">
        <v>75</v>
      </c>
      <c r="I639">
        <v>83</v>
      </c>
      <c r="J639">
        <v>1000</v>
      </c>
      <c r="K639">
        <v>9</v>
      </c>
      <c r="L639">
        <v>10</v>
      </c>
      <c r="M639">
        <v>4500</v>
      </c>
      <c r="N639" t="s">
        <v>30</v>
      </c>
      <c r="O639">
        <v>0</v>
      </c>
      <c r="P639">
        <v>0</v>
      </c>
      <c r="Q639">
        <v>0</v>
      </c>
      <c r="R639">
        <v>234</v>
      </c>
      <c r="S639">
        <v>253</v>
      </c>
      <c r="T639">
        <v>211</v>
      </c>
      <c r="U639">
        <v>9</v>
      </c>
      <c r="V639" t="s">
        <v>30</v>
      </c>
      <c r="W639" t="s">
        <v>48</v>
      </c>
      <c r="X639" t="s">
        <v>32</v>
      </c>
      <c r="Y639" t="s">
        <v>33</v>
      </c>
    </row>
    <row r="640" spans="1:25" x14ac:dyDescent="0.25">
      <c r="A640">
        <v>2025</v>
      </c>
      <c r="B640" t="s">
        <v>25</v>
      </c>
      <c r="C640" t="s">
        <v>494</v>
      </c>
      <c r="D640" t="s">
        <v>502</v>
      </c>
      <c r="E640" t="s">
        <v>46</v>
      </c>
      <c r="F640" t="s">
        <v>503</v>
      </c>
      <c r="G640">
        <v>37</v>
      </c>
      <c r="H640">
        <v>45</v>
      </c>
      <c r="I640">
        <v>41</v>
      </c>
      <c r="J640">
        <v>1000</v>
      </c>
      <c r="K640">
        <v>9</v>
      </c>
      <c r="L640">
        <v>10</v>
      </c>
      <c r="M640">
        <v>4500</v>
      </c>
      <c r="N640" t="s">
        <v>30</v>
      </c>
      <c r="O640">
        <v>0</v>
      </c>
      <c r="P640">
        <v>0</v>
      </c>
      <c r="Q640">
        <v>0</v>
      </c>
      <c r="R640">
        <v>234</v>
      </c>
      <c r="S640">
        <v>253</v>
      </c>
      <c r="T640">
        <v>211</v>
      </c>
      <c r="U640">
        <v>9</v>
      </c>
      <c r="V640" t="s">
        <v>30</v>
      </c>
      <c r="W640" t="s">
        <v>48</v>
      </c>
      <c r="X640" t="s">
        <v>32</v>
      </c>
      <c r="Y640" t="s">
        <v>33</v>
      </c>
    </row>
    <row r="641" spans="1:25" x14ac:dyDescent="0.25">
      <c r="A641">
        <v>2025</v>
      </c>
      <c r="B641" t="s">
        <v>25</v>
      </c>
      <c r="C641" t="s">
        <v>494</v>
      </c>
      <c r="D641" t="s">
        <v>504</v>
      </c>
      <c r="E641" t="s">
        <v>28</v>
      </c>
      <c r="F641" t="s">
        <v>505</v>
      </c>
      <c r="G641">
        <v>87</v>
      </c>
      <c r="H641">
        <v>74</v>
      </c>
      <c r="I641">
        <v>80</v>
      </c>
      <c r="J641">
        <v>1000</v>
      </c>
      <c r="K641">
        <v>9</v>
      </c>
      <c r="L641">
        <v>10</v>
      </c>
      <c r="M641">
        <v>4500</v>
      </c>
      <c r="N641" t="s">
        <v>30</v>
      </c>
      <c r="O641">
        <v>0</v>
      </c>
      <c r="P641">
        <v>0</v>
      </c>
      <c r="Q641">
        <v>0</v>
      </c>
      <c r="R641">
        <v>231</v>
      </c>
      <c r="S641">
        <v>247</v>
      </c>
      <c r="T641">
        <v>211</v>
      </c>
      <c r="U641">
        <v>9</v>
      </c>
      <c r="V641" t="s">
        <v>30</v>
      </c>
      <c r="W641" t="s">
        <v>496</v>
      </c>
      <c r="X641" t="s">
        <v>32</v>
      </c>
      <c r="Y641" t="s">
        <v>33</v>
      </c>
    </row>
    <row r="642" spans="1:25" x14ac:dyDescent="0.25">
      <c r="A642">
        <v>2025</v>
      </c>
      <c r="B642" t="s">
        <v>25</v>
      </c>
      <c r="C642" t="s">
        <v>494</v>
      </c>
      <c r="D642" t="s">
        <v>504</v>
      </c>
      <c r="E642" t="s">
        <v>28</v>
      </c>
      <c r="F642" t="s">
        <v>505</v>
      </c>
      <c r="G642">
        <v>39</v>
      </c>
      <c r="H642">
        <v>46</v>
      </c>
      <c r="I642">
        <v>42</v>
      </c>
      <c r="J642">
        <v>1000</v>
      </c>
      <c r="K642">
        <v>9</v>
      </c>
      <c r="L642">
        <v>10</v>
      </c>
      <c r="M642">
        <v>4500</v>
      </c>
      <c r="N642" t="s">
        <v>30</v>
      </c>
      <c r="O642">
        <v>0</v>
      </c>
      <c r="P642">
        <v>0</v>
      </c>
      <c r="Q642">
        <v>0</v>
      </c>
      <c r="R642">
        <v>231</v>
      </c>
      <c r="S642">
        <v>247</v>
      </c>
      <c r="T642">
        <v>211</v>
      </c>
      <c r="U642">
        <v>9</v>
      </c>
      <c r="V642" t="s">
        <v>30</v>
      </c>
      <c r="W642" t="s">
        <v>496</v>
      </c>
      <c r="X642" t="s">
        <v>32</v>
      </c>
      <c r="Y642" t="s">
        <v>33</v>
      </c>
    </row>
    <row r="643" spans="1:25" x14ac:dyDescent="0.25">
      <c r="A643">
        <v>2025</v>
      </c>
      <c r="B643" t="s">
        <v>335</v>
      </c>
      <c r="C643" t="s">
        <v>506</v>
      </c>
      <c r="D643" t="s">
        <v>507</v>
      </c>
      <c r="E643" t="s">
        <v>28</v>
      </c>
      <c r="F643" t="s">
        <v>29</v>
      </c>
      <c r="G643">
        <v>86</v>
      </c>
      <c r="H643">
        <v>82</v>
      </c>
      <c r="I643">
        <v>84</v>
      </c>
      <c r="J643">
        <v>950</v>
      </c>
      <c r="K643">
        <v>9</v>
      </c>
      <c r="L643">
        <v>10</v>
      </c>
      <c r="M643">
        <v>4750</v>
      </c>
      <c r="N643" t="s">
        <v>30</v>
      </c>
      <c r="O643">
        <v>0</v>
      </c>
      <c r="P643">
        <v>0</v>
      </c>
      <c r="Q643">
        <v>0</v>
      </c>
      <c r="R643">
        <v>310</v>
      </c>
      <c r="S643">
        <v>318</v>
      </c>
      <c r="T643">
        <v>300</v>
      </c>
      <c r="U643">
        <v>10</v>
      </c>
      <c r="V643" t="s">
        <v>30</v>
      </c>
      <c r="W643" t="s">
        <v>352</v>
      </c>
      <c r="X643" t="s">
        <v>32</v>
      </c>
      <c r="Y643" t="s">
        <v>33</v>
      </c>
    </row>
    <row r="644" spans="1:25" x14ac:dyDescent="0.25">
      <c r="A644">
        <v>2025</v>
      </c>
      <c r="B644" t="s">
        <v>335</v>
      </c>
      <c r="C644" t="s">
        <v>506</v>
      </c>
      <c r="D644" t="s">
        <v>507</v>
      </c>
      <c r="E644" t="s">
        <v>28</v>
      </c>
      <c r="F644" t="s">
        <v>29</v>
      </c>
      <c r="G644">
        <v>39</v>
      </c>
      <c r="H644">
        <v>41</v>
      </c>
      <c r="I644">
        <v>40</v>
      </c>
      <c r="J644">
        <v>950</v>
      </c>
      <c r="K644">
        <v>9</v>
      </c>
      <c r="L644">
        <v>10</v>
      </c>
      <c r="M644">
        <v>4750</v>
      </c>
      <c r="N644" t="s">
        <v>30</v>
      </c>
      <c r="O644">
        <v>0</v>
      </c>
      <c r="P644">
        <v>0</v>
      </c>
      <c r="Q644">
        <v>0</v>
      </c>
      <c r="R644">
        <v>310</v>
      </c>
      <c r="S644">
        <v>318</v>
      </c>
      <c r="T644">
        <v>300</v>
      </c>
      <c r="U644">
        <v>10</v>
      </c>
      <c r="V644" t="s">
        <v>30</v>
      </c>
      <c r="W644" t="s">
        <v>352</v>
      </c>
      <c r="X644" t="s">
        <v>32</v>
      </c>
      <c r="Y644" t="s">
        <v>33</v>
      </c>
    </row>
    <row r="645" spans="1:25" x14ac:dyDescent="0.25">
      <c r="A645">
        <v>2025</v>
      </c>
      <c r="B645" t="s">
        <v>335</v>
      </c>
      <c r="C645" t="s">
        <v>506</v>
      </c>
      <c r="D645" t="s">
        <v>508</v>
      </c>
      <c r="E645" t="s">
        <v>28</v>
      </c>
      <c r="F645" t="s">
        <v>29</v>
      </c>
      <c r="G645">
        <v>86</v>
      </c>
      <c r="H645">
        <v>82</v>
      </c>
      <c r="I645">
        <v>84</v>
      </c>
      <c r="J645">
        <v>950</v>
      </c>
      <c r="K645">
        <v>9</v>
      </c>
      <c r="L645">
        <v>10</v>
      </c>
      <c r="M645">
        <v>4750</v>
      </c>
      <c r="N645" t="s">
        <v>30</v>
      </c>
      <c r="O645">
        <v>0</v>
      </c>
      <c r="P645">
        <v>0</v>
      </c>
      <c r="Q645">
        <v>0</v>
      </c>
      <c r="R645">
        <v>310</v>
      </c>
      <c r="S645">
        <v>318</v>
      </c>
      <c r="T645">
        <v>300</v>
      </c>
      <c r="U645">
        <v>10</v>
      </c>
      <c r="V645" t="s">
        <v>30</v>
      </c>
      <c r="W645" t="s">
        <v>509</v>
      </c>
      <c r="X645" t="s">
        <v>32</v>
      </c>
      <c r="Y645" t="s">
        <v>33</v>
      </c>
    </row>
    <row r="646" spans="1:25" x14ac:dyDescent="0.25">
      <c r="A646">
        <v>2025</v>
      </c>
      <c r="B646" t="s">
        <v>335</v>
      </c>
      <c r="C646" t="s">
        <v>506</v>
      </c>
      <c r="D646" t="s">
        <v>508</v>
      </c>
      <c r="E646" t="s">
        <v>28</v>
      </c>
      <c r="F646" t="s">
        <v>29</v>
      </c>
      <c r="G646">
        <v>39</v>
      </c>
      <c r="H646">
        <v>41</v>
      </c>
      <c r="I646">
        <v>40</v>
      </c>
      <c r="J646">
        <v>950</v>
      </c>
      <c r="K646">
        <v>9</v>
      </c>
      <c r="L646">
        <v>10</v>
      </c>
      <c r="M646">
        <v>4750</v>
      </c>
      <c r="N646" t="s">
        <v>30</v>
      </c>
      <c r="O646">
        <v>0</v>
      </c>
      <c r="P646">
        <v>0</v>
      </c>
      <c r="Q646">
        <v>0</v>
      </c>
      <c r="R646">
        <v>310</v>
      </c>
      <c r="S646">
        <v>318</v>
      </c>
      <c r="T646">
        <v>300</v>
      </c>
      <c r="U646">
        <v>10</v>
      </c>
      <c r="V646" t="s">
        <v>30</v>
      </c>
      <c r="W646" t="s">
        <v>509</v>
      </c>
      <c r="X646" t="s">
        <v>32</v>
      </c>
      <c r="Y646" t="s">
        <v>33</v>
      </c>
    </row>
    <row r="647" spans="1:25" x14ac:dyDescent="0.25">
      <c r="A647">
        <v>2025</v>
      </c>
      <c r="B647" t="s">
        <v>335</v>
      </c>
      <c r="C647" t="s">
        <v>506</v>
      </c>
      <c r="D647" t="s">
        <v>510</v>
      </c>
      <c r="E647" t="s">
        <v>28</v>
      </c>
      <c r="F647" t="s">
        <v>118</v>
      </c>
      <c r="G647">
        <v>103</v>
      </c>
      <c r="H647">
        <v>85</v>
      </c>
      <c r="I647">
        <v>94</v>
      </c>
      <c r="J647">
        <v>850</v>
      </c>
      <c r="K647">
        <v>9</v>
      </c>
      <c r="L647">
        <v>10</v>
      </c>
      <c r="M647">
        <v>5250</v>
      </c>
      <c r="N647" t="s">
        <v>30</v>
      </c>
      <c r="O647">
        <v>0</v>
      </c>
      <c r="P647">
        <v>0</v>
      </c>
      <c r="Q647">
        <v>0</v>
      </c>
      <c r="R647">
        <v>260</v>
      </c>
      <c r="S647">
        <v>283</v>
      </c>
      <c r="T647">
        <v>232</v>
      </c>
      <c r="U647">
        <v>8</v>
      </c>
      <c r="V647" t="s">
        <v>30</v>
      </c>
      <c r="W647" t="s">
        <v>511</v>
      </c>
      <c r="X647" t="s">
        <v>32</v>
      </c>
      <c r="Y647" t="s">
        <v>33</v>
      </c>
    </row>
    <row r="648" spans="1:25" x14ac:dyDescent="0.25">
      <c r="A648">
        <v>2025</v>
      </c>
      <c r="B648" t="s">
        <v>335</v>
      </c>
      <c r="C648" t="s">
        <v>506</v>
      </c>
      <c r="D648" t="s">
        <v>510</v>
      </c>
      <c r="E648" t="s">
        <v>28</v>
      </c>
      <c r="F648" t="s">
        <v>118</v>
      </c>
      <c r="G648">
        <v>33</v>
      </c>
      <c r="H648">
        <v>40</v>
      </c>
      <c r="I648">
        <v>36</v>
      </c>
      <c r="J648">
        <v>850</v>
      </c>
      <c r="K648">
        <v>9</v>
      </c>
      <c r="L648">
        <v>10</v>
      </c>
      <c r="M648">
        <v>5250</v>
      </c>
      <c r="N648" t="s">
        <v>30</v>
      </c>
      <c r="O648">
        <v>0</v>
      </c>
      <c r="P648">
        <v>0</v>
      </c>
      <c r="Q648">
        <v>0</v>
      </c>
      <c r="R648">
        <v>260</v>
      </c>
      <c r="S648">
        <v>283</v>
      </c>
      <c r="T648">
        <v>232</v>
      </c>
      <c r="U648">
        <v>8</v>
      </c>
      <c r="V648" t="s">
        <v>30</v>
      </c>
      <c r="W648" t="s">
        <v>511</v>
      </c>
      <c r="X648" t="s">
        <v>32</v>
      </c>
      <c r="Y648" t="s">
        <v>33</v>
      </c>
    </row>
    <row r="649" spans="1:25" x14ac:dyDescent="0.25">
      <c r="A649">
        <v>2025</v>
      </c>
      <c r="B649" t="s">
        <v>335</v>
      </c>
      <c r="C649" t="s">
        <v>506</v>
      </c>
      <c r="D649" t="s">
        <v>512</v>
      </c>
      <c r="E649" t="s">
        <v>28</v>
      </c>
      <c r="F649" t="s">
        <v>118</v>
      </c>
      <c r="G649">
        <v>105</v>
      </c>
      <c r="H649">
        <v>88</v>
      </c>
      <c r="I649">
        <v>97</v>
      </c>
      <c r="J649">
        <v>850</v>
      </c>
      <c r="K649">
        <v>9</v>
      </c>
      <c r="L649">
        <v>10</v>
      </c>
      <c r="M649">
        <v>5250</v>
      </c>
      <c r="N649" t="s">
        <v>30</v>
      </c>
      <c r="O649">
        <v>0</v>
      </c>
      <c r="P649">
        <v>0</v>
      </c>
      <c r="Q649">
        <v>0</v>
      </c>
      <c r="R649">
        <v>268</v>
      </c>
      <c r="S649">
        <v>289</v>
      </c>
      <c r="T649">
        <v>242</v>
      </c>
      <c r="U649">
        <v>8</v>
      </c>
      <c r="V649" t="s">
        <v>30</v>
      </c>
      <c r="W649" t="s">
        <v>513</v>
      </c>
      <c r="X649" t="s">
        <v>32</v>
      </c>
      <c r="Y649" t="s">
        <v>33</v>
      </c>
    </row>
    <row r="650" spans="1:25" x14ac:dyDescent="0.25">
      <c r="A650">
        <v>2025</v>
      </c>
      <c r="B650" t="s">
        <v>335</v>
      </c>
      <c r="C650" t="s">
        <v>506</v>
      </c>
      <c r="D650" t="s">
        <v>512</v>
      </c>
      <c r="E650" t="s">
        <v>28</v>
      </c>
      <c r="F650" t="s">
        <v>118</v>
      </c>
      <c r="G650">
        <v>32</v>
      </c>
      <c r="H650">
        <v>38</v>
      </c>
      <c r="I650">
        <v>35</v>
      </c>
      <c r="J650">
        <v>850</v>
      </c>
      <c r="K650">
        <v>9</v>
      </c>
      <c r="L650">
        <v>10</v>
      </c>
      <c r="M650">
        <v>5250</v>
      </c>
      <c r="N650" t="s">
        <v>30</v>
      </c>
      <c r="O650">
        <v>0</v>
      </c>
      <c r="P650">
        <v>0</v>
      </c>
      <c r="Q650">
        <v>0</v>
      </c>
      <c r="R650">
        <v>268</v>
      </c>
      <c r="S650">
        <v>289</v>
      </c>
      <c r="T650">
        <v>242</v>
      </c>
      <c r="U650">
        <v>8</v>
      </c>
      <c r="V650" t="s">
        <v>30</v>
      </c>
      <c r="W650" t="s">
        <v>513</v>
      </c>
      <c r="X650" t="s">
        <v>32</v>
      </c>
      <c r="Y650" t="s">
        <v>33</v>
      </c>
    </row>
    <row r="651" spans="1:25" x14ac:dyDescent="0.25">
      <c r="A651">
        <v>2025</v>
      </c>
      <c r="B651" t="s">
        <v>335</v>
      </c>
      <c r="C651" t="s">
        <v>506</v>
      </c>
      <c r="D651" t="s">
        <v>514</v>
      </c>
      <c r="E651" t="s">
        <v>28</v>
      </c>
      <c r="F651" t="s">
        <v>118</v>
      </c>
      <c r="G651">
        <v>116</v>
      </c>
      <c r="H651">
        <v>100</v>
      </c>
      <c r="I651">
        <v>109</v>
      </c>
      <c r="J651">
        <v>750</v>
      </c>
      <c r="K651">
        <v>9</v>
      </c>
      <c r="L651">
        <v>10</v>
      </c>
      <c r="M651">
        <v>5750</v>
      </c>
      <c r="N651" t="s">
        <v>30</v>
      </c>
      <c r="O651">
        <v>0</v>
      </c>
      <c r="P651">
        <v>0</v>
      </c>
      <c r="Q651">
        <v>0</v>
      </c>
      <c r="R651">
        <v>253</v>
      </c>
      <c r="S651">
        <v>270</v>
      </c>
      <c r="T651">
        <v>233</v>
      </c>
      <c r="U651">
        <v>8</v>
      </c>
      <c r="V651" t="s">
        <v>30</v>
      </c>
      <c r="W651" t="s">
        <v>515</v>
      </c>
      <c r="X651" t="s">
        <v>32</v>
      </c>
      <c r="Y651" t="s">
        <v>33</v>
      </c>
    </row>
    <row r="652" spans="1:25" x14ac:dyDescent="0.25">
      <c r="A652">
        <v>2025</v>
      </c>
      <c r="B652" t="s">
        <v>335</v>
      </c>
      <c r="C652" t="s">
        <v>506</v>
      </c>
      <c r="D652" t="s">
        <v>514</v>
      </c>
      <c r="E652" t="s">
        <v>28</v>
      </c>
      <c r="F652" t="s">
        <v>118</v>
      </c>
      <c r="G652">
        <v>29</v>
      </c>
      <c r="H652">
        <v>34</v>
      </c>
      <c r="I652">
        <v>31</v>
      </c>
      <c r="J652">
        <v>750</v>
      </c>
      <c r="K652">
        <v>9</v>
      </c>
      <c r="L652">
        <v>10</v>
      </c>
      <c r="M652">
        <v>5750</v>
      </c>
      <c r="N652" t="s">
        <v>30</v>
      </c>
      <c r="O652">
        <v>0</v>
      </c>
      <c r="P652">
        <v>0</v>
      </c>
      <c r="Q652">
        <v>0</v>
      </c>
      <c r="R652">
        <v>253</v>
      </c>
      <c r="S652">
        <v>270</v>
      </c>
      <c r="T652">
        <v>233</v>
      </c>
      <c r="U652">
        <v>8</v>
      </c>
      <c r="V652" t="s">
        <v>30</v>
      </c>
      <c r="W652" t="s">
        <v>515</v>
      </c>
      <c r="X652" t="s">
        <v>32</v>
      </c>
      <c r="Y652" t="s">
        <v>33</v>
      </c>
    </row>
    <row r="653" spans="1:25" x14ac:dyDescent="0.25">
      <c r="A653">
        <v>2025</v>
      </c>
      <c r="B653" t="s">
        <v>335</v>
      </c>
      <c r="C653" t="s">
        <v>506</v>
      </c>
      <c r="D653" t="s">
        <v>516</v>
      </c>
      <c r="E653" t="s">
        <v>46</v>
      </c>
      <c r="F653" t="s">
        <v>115</v>
      </c>
      <c r="G653">
        <v>124</v>
      </c>
      <c r="H653">
        <v>103</v>
      </c>
      <c r="I653">
        <v>114</v>
      </c>
      <c r="J653">
        <v>700</v>
      </c>
      <c r="K653">
        <v>9</v>
      </c>
      <c r="L653">
        <v>10</v>
      </c>
      <c r="M653">
        <v>6000</v>
      </c>
      <c r="N653" t="s">
        <v>30</v>
      </c>
      <c r="O653">
        <v>0</v>
      </c>
      <c r="P653">
        <v>0</v>
      </c>
      <c r="Q653">
        <v>0</v>
      </c>
      <c r="R653">
        <v>257</v>
      </c>
      <c r="S653">
        <v>279</v>
      </c>
      <c r="T653">
        <v>231</v>
      </c>
      <c r="U653">
        <v>8</v>
      </c>
      <c r="V653" t="s">
        <v>30</v>
      </c>
      <c r="W653" t="s">
        <v>517</v>
      </c>
      <c r="X653" t="s">
        <v>32</v>
      </c>
      <c r="Y653" t="s">
        <v>33</v>
      </c>
    </row>
    <row r="654" spans="1:25" x14ac:dyDescent="0.25">
      <c r="A654">
        <v>2025</v>
      </c>
      <c r="B654" t="s">
        <v>335</v>
      </c>
      <c r="C654" t="s">
        <v>506</v>
      </c>
      <c r="D654" t="s">
        <v>516</v>
      </c>
      <c r="E654" t="s">
        <v>46</v>
      </c>
      <c r="F654" t="s">
        <v>115</v>
      </c>
      <c r="G654">
        <v>27</v>
      </c>
      <c r="H654">
        <v>33</v>
      </c>
      <c r="I654">
        <v>30</v>
      </c>
      <c r="J654">
        <v>700</v>
      </c>
      <c r="K654">
        <v>9</v>
      </c>
      <c r="L654">
        <v>10</v>
      </c>
      <c r="M654">
        <v>6000</v>
      </c>
      <c r="N654" t="s">
        <v>30</v>
      </c>
      <c r="O654">
        <v>0</v>
      </c>
      <c r="P654">
        <v>0</v>
      </c>
      <c r="Q654">
        <v>0</v>
      </c>
      <c r="R654">
        <v>257</v>
      </c>
      <c r="S654">
        <v>279</v>
      </c>
      <c r="T654">
        <v>231</v>
      </c>
      <c r="U654">
        <v>8</v>
      </c>
      <c r="V654" t="s">
        <v>30</v>
      </c>
      <c r="W654" t="s">
        <v>517</v>
      </c>
      <c r="X654" t="s">
        <v>32</v>
      </c>
      <c r="Y654" t="s">
        <v>33</v>
      </c>
    </row>
    <row r="655" spans="1:25" x14ac:dyDescent="0.25">
      <c r="A655">
        <v>2025</v>
      </c>
      <c r="B655" t="s">
        <v>335</v>
      </c>
      <c r="C655" t="s">
        <v>506</v>
      </c>
      <c r="D655" t="s">
        <v>518</v>
      </c>
      <c r="E655" t="s">
        <v>46</v>
      </c>
      <c r="F655" t="s">
        <v>115</v>
      </c>
      <c r="G655">
        <v>118</v>
      </c>
      <c r="H655">
        <v>94</v>
      </c>
      <c r="I655">
        <v>106</v>
      </c>
      <c r="J655">
        <v>750</v>
      </c>
      <c r="K655">
        <v>9</v>
      </c>
      <c r="L655">
        <v>10</v>
      </c>
      <c r="M655">
        <v>5750</v>
      </c>
      <c r="N655" t="s">
        <v>30</v>
      </c>
      <c r="O655">
        <v>0</v>
      </c>
      <c r="P655">
        <v>0</v>
      </c>
      <c r="Q655">
        <v>0</v>
      </c>
      <c r="R655">
        <v>296</v>
      </c>
      <c r="S655">
        <v>326</v>
      </c>
      <c r="T655">
        <v>260</v>
      </c>
      <c r="U655">
        <v>8</v>
      </c>
      <c r="V655" t="s">
        <v>30</v>
      </c>
      <c r="W655" t="s">
        <v>340</v>
      </c>
      <c r="X655" t="s">
        <v>32</v>
      </c>
      <c r="Y655" t="s">
        <v>33</v>
      </c>
    </row>
    <row r="656" spans="1:25" x14ac:dyDescent="0.25">
      <c r="A656">
        <v>2025</v>
      </c>
      <c r="B656" t="s">
        <v>335</v>
      </c>
      <c r="C656" t="s">
        <v>506</v>
      </c>
      <c r="D656" t="s">
        <v>518</v>
      </c>
      <c r="E656" t="s">
        <v>46</v>
      </c>
      <c r="F656" t="s">
        <v>115</v>
      </c>
      <c r="G656">
        <v>28</v>
      </c>
      <c r="H656">
        <v>36</v>
      </c>
      <c r="I656">
        <v>32</v>
      </c>
      <c r="J656">
        <v>750</v>
      </c>
      <c r="K656">
        <v>9</v>
      </c>
      <c r="L656">
        <v>10</v>
      </c>
      <c r="M656">
        <v>5750</v>
      </c>
      <c r="N656" t="s">
        <v>30</v>
      </c>
      <c r="O656">
        <v>0</v>
      </c>
      <c r="P656">
        <v>0</v>
      </c>
      <c r="Q656">
        <v>0</v>
      </c>
      <c r="R656">
        <v>296</v>
      </c>
      <c r="S656">
        <v>326</v>
      </c>
      <c r="T656">
        <v>260</v>
      </c>
      <c r="U656">
        <v>8</v>
      </c>
      <c r="V656" t="s">
        <v>30</v>
      </c>
      <c r="W656" t="s">
        <v>340</v>
      </c>
      <c r="X656" t="s">
        <v>32</v>
      </c>
      <c r="Y656" t="s">
        <v>33</v>
      </c>
    </row>
    <row r="657" spans="1:25" x14ac:dyDescent="0.25">
      <c r="A657">
        <v>2025</v>
      </c>
      <c r="B657" t="s">
        <v>335</v>
      </c>
      <c r="C657" t="s">
        <v>506</v>
      </c>
      <c r="D657" t="s">
        <v>519</v>
      </c>
      <c r="E657" t="s">
        <v>46</v>
      </c>
      <c r="F657" t="s">
        <v>115</v>
      </c>
      <c r="G657">
        <v>118</v>
      </c>
      <c r="H657">
        <v>95</v>
      </c>
      <c r="I657">
        <v>106</v>
      </c>
      <c r="J657">
        <v>750</v>
      </c>
      <c r="K657">
        <v>9</v>
      </c>
      <c r="L657">
        <v>10</v>
      </c>
      <c r="M657">
        <v>5750</v>
      </c>
      <c r="N657" t="s">
        <v>30</v>
      </c>
      <c r="O657">
        <v>0</v>
      </c>
      <c r="P657">
        <v>0</v>
      </c>
      <c r="Q657">
        <v>0</v>
      </c>
      <c r="R657">
        <v>298</v>
      </c>
      <c r="S657">
        <v>326</v>
      </c>
      <c r="T657">
        <v>264</v>
      </c>
      <c r="U657">
        <v>8</v>
      </c>
      <c r="V657" t="s">
        <v>30</v>
      </c>
      <c r="W657" t="s">
        <v>340</v>
      </c>
      <c r="X657" t="s">
        <v>32</v>
      </c>
      <c r="Y657" t="s">
        <v>33</v>
      </c>
    </row>
    <row r="658" spans="1:25" x14ac:dyDescent="0.25">
      <c r="A658">
        <v>2025</v>
      </c>
      <c r="B658" t="s">
        <v>335</v>
      </c>
      <c r="C658" t="s">
        <v>506</v>
      </c>
      <c r="D658" t="s">
        <v>519</v>
      </c>
      <c r="E658" t="s">
        <v>46</v>
      </c>
      <c r="F658" t="s">
        <v>115</v>
      </c>
      <c r="G658">
        <v>29</v>
      </c>
      <c r="H658">
        <v>35</v>
      </c>
      <c r="I658">
        <v>32</v>
      </c>
      <c r="J658">
        <v>750</v>
      </c>
      <c r="K658">
        <v>9</v>
      </c>
      <c r="L658">
        <v>10</v>
      </c>
      <c r="M658">
        <v>5750</v>
      </c>
      <c r="N658" t="s">
        <v>30</v>
      </c>
      <c r="O658">
        <v>0</v>
      </c>
      <c r="P658">
        <v>0</v>
      </c>
      <c r="Q658">
        <v>0</v>
      </c>
      <c r="R658">
        <v>298</v>
      </c>
      <c r="S658">
        <v>326</v>
      </c>
      <c r="T658">
        <v>264</v>
      </c>
      <c r="U658">
        <v>8</v>
      </c>
      <c r="V658" t="s">
        <v>30</v>
      </c>
      <c r="W658" t="s">
        <v>340</v>
      </c>
      <c r="X658" t="s">
        <v>32</v>
      </c>
      <c r="Y658" t="s">
        <v>33</v>
      </c>
    </row>
    <row r="659" spans="1:25" x14ac:dyDescent="0.25">
      <c r="A659">
        <v>2025</v>
      </c>
      <c r="B659" t="s">
        <v>335</v>
      </c>
      <c r="C659" t="s">
        <v>506</v>
      </c>
      <c r="D659" t="s">
        <v>520</v>
      </c>
      <c r="E659" t="s">
        <v>28</v>
      </c>
      <c r="F659" t="s">
        <v>29</v>
      </c>
      <c r="G659">
        <v>83</v>
      </c>
      <c r="H659">
        <v>78</v>
      </c>
      <c r="I659">
        <v>81</v>
      </c>
      <c r="J659">
        <v>1000</v>
      </c>
      <c r="K659">
        <v>9</v>
      </c>
      <c r="L659">
        <v>10</v>
      </c>
      <c r="M659">
        <v>4500</v>
      </c>
      <c r="N659" t="s">
        <v>30</v>
      </c>
      <c r="O659">
        <v>0</v>
      </c>
      <c r="P659">
        <v>0</v>
      </c>
      <c r="Q659">
        <v>0</v>
      </c>
      <c r="R659">
        <v>300</v>
      </c>
      <c r="S659">
        <v>306</v>
      </c>
      <c r="T659">
        <v>292</v>
      </c>
      <c r="U659">
        <v>10</v>
      </c>
      <c r="V659" t="s">
        <v>30</v>
      </c>
      <c r="W659" t="s">
        <v>342</v>
      </c>
      <c r="X659" t="s">
        <v>32</v>
      </c>
      <c r="Y659" t="s">
        <v>33</v>
      </c>
    </row>
    <row r="660" spans="1:25" x14ac:dyDescent="0.25">
      <c r="A660">
        <v>2025</v>
      </c>
      <c r="B660" t="s">
        <v>335</v>
      </c>
      <c r="C660" t="s">
        <v>506</v>
      </c>
      <c r="D660" t="s">
        <v>520</v>
      </c>
      <c r="E660" t="s">
        <v>28</v>
      </c>
      <c r="F660" t="s">
        <v>29</v>
      </c>
      <c r="G660">
        <v>41</v>
      </c>
      <c r="H660">
        <v>43</v>
      </c>
      <c r="I660">
        <v>42</v>
      </c>
      <c r="J660">
        <v>1000</v>
      </c>
      <c r="K660">
        <v>9</v>
      </c>
      <c r="L660">
        <v>10</v>
      </c>
      <c r="M660">
        <v>4500</v>
      </c>
      <c r="N660" t="s">
        <v>30</v>
      </c>
      <c r="O660">
        <v>0</v>
      </c>
      <c r="P660">
        <v>0</v>
      </c>
      <c r="Q660">
        <v>0</v>
      </c>
      <c r="R660">
        <v>300</v>
      </c>
      <c r="S660">
        <v>306</v>
      </c>
      <c r="T660">
        <v>292</v>
      </c>
      <c r="U660">
        <v>10</v>
      </c>
      <c r="V660" t="s">
        <v>30</v>
      </c>
      <c r="W660" t="s">
        <v>342</v>
      </c>
      <c r="X660" t="s">
        <v>32</v>
      </c>
      <c r="Y660" t="s">
        <v>33</v>
      </c>
    </row>
    <row r="661" spans="1:25" x14ac:dyDescent="0.25">
      <c r="A661">
        <v>2025</v>
      </c>
      <c r="B661" t="s">
        <v>335</v>
      </c>
      <c r="C661" t="s">
        <v>506</v>
      </c>
      <c r="D661" t="s">
        <v>521</v>
      </c>
      <c r="E661" t="s">
        <v>28</v>
      </c>
      <c r="F661" t="s">
        <v>29</v>
      </c>
      <c r="G661">
        <v>83</v>
      </c>
      <c r="H661">
        <v>78</v>
      </c>
      <c r="I661">
        <v>81</v>
      </c>
      <c r="J661">
        <v>1000</v>
      </c>
      <c r="K661">
        <v>9</v>
      </c>
      <c r="L661">
        <v>10</v>
      </c>
      <c r="M661">
        <v>4500</v>
      </c>
      <c r="N661" t="s">
        <v>30</v>
      </c>
      <c r="O661">
        <v>0</v>
      </c>
      <c r="P661">
        <v>0</v>
      </c>
      <c r="Q661">
        <v>0</v>
      </c>
      <c r="R661">
        <v>300</v>
      </c>
      <c r="S661">
        <v>306</v>
      </c>
      <c r="T661">
        <v>292</v>
      </c>
      <c r="U661">
        <v>10</v>
      </c>
      <c r="V661" t="s">
        <v>30</v>
      </c>
      <c r="W661" t="s">
        <v>350</v>
      </c>
      <c r="X661" t="s">
        <v>32</v>
      </c>
      <c r="Y661" t="s">
        <v>33</v>
      </c>
    </row>
    <row r="662" spans="1:25" x14ac:dyDescent="0.25">
      <c r="A662">
        <v>2025</v>
      </c>
      <c r="B662" t="s">
        <v>335</v>
      </c>
      <c r="C662" t="s">
        <v>506</v>
      </c>
      <c r="D662" t="s">
        <v>521</v>
      </c>
      <c r="E662" t="s">
        <v>28</v>
      </c>
      <c r="F662" t="s">
        <v>29</v>
      </c>
      <c r="G662">
        <v>41</v>
      </c>
      <c r="H662">
        <v>43</v>
      </c>
      <c r="I662">
        <v>42</v>
      </c>
      <c r="J662">
        <v>1000</v>
      </c>
      <c r="K662">
        <v>9</v>
      </c>
      <c r="L662">
        <v>10</v>
      </c>
      <c r="M662">
        <v>4500</v>
      </c>
      <c r="N662" t="s">
        <v>30</v>
      </c>
      <c r="O662">
        <v>0</v>
      </c>
      <c r="P662">
        <v>0</v>
      </c>
      <c r="Q662">
        <v>0</v>
      </c>
      <c r="R662">
        <v>300</v>
      </c>
      <c r="S662">
        <v>306</v>
      </c>
      <c r="T662">
        <v>292</v>
      </c>
      <c r="U662">
        <v>10</v>
      </c>
      <c r="V662" t="s">
        <v>30</v>
      </c>
      <c r="W662" t="s">
        <v>350</v>
      </c>
      <c r="X662" t="s">
        <v>32</v>
      </c>
      <c r="Y662" t="s">
        <v>33</v>
      </c>
    </row>
    <row r="663" spans="1:25" x14ac:dyDescent="0.25">
      <c r="A663">
        <v>2025</v>
      </c>
      <c r="B663" t="s">
        <v>335</v>
      </c>
      <c r="C663" t="s">
        <v>506</v>
      </c>
      <c r="D663" t="s">
        <v>522</v>
      </c>
      <c r="E663" t="s">
        <v>46</v>
      </c>
      <c r="F663" t="s">
        <v>115</v>
      </c>
      <c r="G663">
        <v>127</v>
      </c>
      <c r="H663">
        <v>104</v>
      </c>
      <c r="I663">
        <v>116</v>
      </c>
      <c r="J663">
        <v>700</v>
      </c>
      <c r="K663">
        <v>9</v>
      </c>
      <c r="L663">
        <v>10</v>
      </c>
      <c r="M663">
        <v>6000</v>
      </c>
      <c r="N663" t="s">
        <v>30</v>
      </c>
      <c r="O663">
        <v>0</v>
      </c>
      <c r="P663">
        <v>0</v>
      </c>
      <c r="Q663">
        <v>0</v>
      </c>
      <c r="R663">
        <v>261</v>
      </c>
      <c r="S663">
        <v>284</v>
      </c>
      <c r="T663">
        <v>233</v>
      </c>
      <c r="U663">
        <v>8</v>
      </c>
      <c r="V663" t="s">
        <v>30</v>
      </c>
      <c r="W663" t="s">
        <v>517</v>
      </c>
      <c r="X663" t="s">
        <v>32</v>
      </c>
      <c r="Y663" t="s">
        <v>33</v>
      </c>
    </row>
    <row r="664" spans="1:25" x14ac:dyDescent="0.25">
      <c r="A664">
        <v>2025</v>
      </c>
      <c r="B664" t="s">
        <v>335</v>
      </c>
      <c r="C664" t="s">
        <v>506</v>
      </c>
      <c r="D664" t="s">
        <v>522</v>
      </c>
      <c r="E664" t="s">
        <v>46</v>
      </c>
      <c r="F664" t="s">
        <v>115</v>
      </c>
      <c r="G664">
        <v>27</v>
      </c>
      <c r="H664">
        <v>32</v>
      </c>
      <c r="I664">
        <v>29</v>
      </c>
      <c r="J664">
        <v>700</v>
      </c>
      <c r="K664">
        <v>9</v>
      </c>
      <c r="L664">
        <v>10</v>
      </c>
      <c r="M664">
        <v>6000</v>
      </c>
      <c r="N664" t="s">
        <v>30</v>
      </c>
      <c r="O664">
        <v>0</v>
      </c>
      <c r="P664">
        <v>0</v>
      </c>
      <c r="Q664">
        <v>0</v>
      </c>
      <c r="R664">
        <v>261</v>
      </c>
      <c r="S664">
        <v>284</v>
      </c>
      <c r="T664">
        <v>233</v>
      </c>
      <c r="U664">
        <v>8</v>
      </c>
      <c r="V664" t="s">
        <v>30</v>
      </c>
      <c r="W664" t="s">
        <v>517</v>
      </c>
      <c r="X664" t="s">
        <v>32</v>
      </c>
      <c r="Y664" t="s">
        <v>33</v>
      </c>
    </row>
    <row r="665" spans="1:25" x14ac:dyDescent="0.25">
      <c r="A665">
        <v>2025</v>
      </c>
      <c r="B665" t="s">
        <v>335</v>
      </c>
      <c r="C665" t="s">
        <v>506</v>
      </c>
      <c r="D665" t="s">
        <v>523</v>
      </c>
      <c r="E665" t="s">
        <v>28</v>
      </c>
      <c r="F665" t="s">
        <v>118</v>
      </c>
      <c r="G665">
        <v>118</v>
      </c>
      <c r="H665">
        <v>99</v>
      </c>
      <c r="I665">
        <v>109</v>
      </c>
      <c r="J665">
        <v>750</v>
      </c>
      <c r="K665">
        <v>9</v>
      </c>
      <c r="L665">
        <v>10</v>
      </c>
      <c r="M665">
        <v>5750</v>
      </c>
      <c r="N665" t="s">
        <v>30</v>
      </c>
      <c r="O665">
        <v>0</v>
      </c>
      <c r="P665">
        <v>0</v>
      </c>
      <c r="Q665">
        <v>0</v>
      </c>
      <c r="R665">
        <v>250</v>
      </c>
      <c r="S665">
        <v>269</v>
      </c>
      <c r="T665">
        <v>227</v>
      </c>
      <c r="U665">
        <v>8</v>
      </c>
      <c r="V665" t="s">
        <v>30</v>
      </c>
      <c r="W665" t="s">
        <v>515</v>
      </c>
      <c r="X665" t="s">
        <v>32</v>
      </c>
      <c r="Y665" t="s">
        <v>33</v>
      </c>
    </row>
    <row r="666" spans="1:25" x14ac:dyDescent="0.25">
      <c r="A666">
        <v>2025</v>
      </c>
      <c r="B666" t="s">
        <v>335</v>
      </c>
      <c r="C666" t="s">
        <v>506</v>
      </c>
      <c r="D666" t="s">
        <v>523</v>
      </c>
      <c r="E666" t="s">
        <v>28</v>
      </c>
      <c r="F666" t="s">
        <v>118</v>
      </c>
      <c r="G666">
        <v>29</v>
      </c>
      <c r="H666">
        <v>34</v>
      </c>
      <c r="I666">
        <v>31</v>
      </c>
      <c r="J666">
        <v>750</v>
      </c>
      <c r="K666">
        <v>9</v>
      </c>
      <c r="L666">
        <v>10</v>
      </c>
      <c r="M666">
        <v>5750</v>
      </c>
      <c r="N666" t="s">
        <v>30</v>
      </c>
      <c r="O666">
        <v>0</v>
      </c>
      <c r="P666">
        <v>0</v>
      </c>
      <c r="Q666">
        <v>0</v>
      </c>
      <c r="R666">
        <v>250</v>
      </c>
      <c r="S666">
        <v>269</v>
      </c>
      <c r="T666">
        <v>227</v>
      </c>
      <c r="U666">
        <v>8</v>
      </c>
      <c r="V666" t="s">
        <v>30</v>
      </c>
      <c r="W666" t="s">
        <v>515</v>
      </c>
      <c r="X666" t="s">
        <v>32</v>
      </c>
      <c r="Y666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B1663-9F15-44F8-B4A0-10A17FC1EA18}">
  <dimension ref="A3:F22"/>
  <sheetViews>
    <sheetView workbookViewId="0">
      <selection activeCell="C12" sqref="C12"/>
    </sheetView>
  </sheetViews>
  <sheetFormatPr defaultRowHeight="15" x14ac:dyDescent="0.25"/>
  <cols>
    <col min="1" max="1" width="35.42578125" bestFit="1" customWidth="1"/>
    <col min="2" max="2" width="9.85546875" bestFit="1" customWidth="1"/>
    <col min="3" max="3" width="20" bestFit="1" customWidth="1"/>
    <col min="4" max="4" width="15.140625" bestFit="1" customWidth="1"/>
    <col min="5" max="5" width="16.7109375" bestFit="1" customWidth="1"/>
    <col min="6" max="6" width="21.7109375" bestFit="1" customWidth="1"/>
  </cols>
  <sheetData>
    <row r="3" spans="1:6" x14ac:dyDescent="0.25">
      <c r="A3" s="1" t="s">
        <v>1260</v>
      </c>
      <c r="B3" t="s">
        <v>1273</v>
      </c>
      <c r="C3" t="s">
        <v>1262</v>
      </c>
      <c r="D3" t="s">
        <v>1263</v>
      </c>
      <c r="E3" t="s">
        <v>1264</v>
      </c>
      <c r="F3" t="s">
        <v>1291</v>
      </c>
    </row>
    <row r="4" spans="1:6" x14ac:dyDescent="0.25">
      <c r="A4" s="2" t="s">
        <v>75</v>
      </c>
      <c r="B4" s="3">
        <v>63.971428571428568</v>
      </c>
      <c r="C4" s="4">
        <v>910</v>
      </c>
      <c r="D4" s="5">
        <v>10</v>
      </c>
      <c r="E4" s="3">
        <v>274.82857142857142</v>
      </c>
      <c r="F4" s="4">
        <v>4942.8571428571431</v>
      </c>
    </row>
    <row r="5" spans="1:6" x14ac:dyDescent="0.25">
      <c r="A5" s="2" t="s">
        <v>95</v>
      </c>
      <c r="B5" s="3">
        <v>67.96052631578948</v>
      </c>
      <c r="C5" s="4">
        <v>812.5</v>
      </c>
      <c r="D5" s="5">
        <v>10</v>
      </c>
      <c r="E5" s="3">
        <v>357.31578947368422</v>
      </c>
      <c r="F5" s="4">
        <v>5434.2105263157891</v>
      </c>
    </row>
    <row r="6" spans="1:6" x14ac:dyDescent="0.25">
      <c r="A6" s="2" t="s">
        <v>186</v>
      </c>
      <c r="B6" s="3">
        <v>68.62</v>
      </c>
      <c r="C6" s="4">
        <v>808</v>
      </c>
      <c r="D6" s="5">
        <v>10</v>
      </c>
      <c r="E6" s="3">
        <v>280.2</v>
      </c>
      <c r="F6" s="4">
        <v>5460</v>
      </c>
    </row>
    <row r="7" spans="1:6" x14ac:dyDescent="0.25">
      <c r="A7" s="2" t="s">
        <v>313</v>
      </c>
      <c r="B7" s="3">
        <v>61.5</v>
      </c>
      <c r="C7" s="4">
        <v>987.5</v>
      </c>
      <c r="D7" s="5">
        <v>10</v>
      </c>
      <c r="E7" s="3">
        <v>262.25</v>
      </c>
      <c r="F7" s="4">
        <v>4562.5</v>
      </c>
    </row>
    <row r="8" spans="1:6" x14ac:dyDescent="0.25">
      <c r="A8" s="2" t="s">
        <v>155</v>
      </c>
      <c r="B8" s="3">
        <v>71.5</v>
      </c>
      <c r="C8" s="4">
        <v>725</v>
      </c>
      <c r="D8" s="5">
        <v>10</v>
      </c>
      <c r="E8" s="3">
        <v>145</v>
      </c>
      <c r="F8" s="4">
        <v>5875</v>
      </c>
    </row>
    <row r="9" spans="1:6" x14ac:dyDescent="0.25">
      <c r="A9" s="2" t="s">
        <v>122</v>
      </c>
      <c r="B9" s="3">
        <v>61.5</v>
      </c>
      <c r="C9" s="4">
        <v>1000</v>
      </c>
      <c r="D9" s="5">
        <v>10</v>
      </c>
      <c r="E9" s="3">
        <v>303</v>
      </c>
      <c r="F9" s="4">
        <v>4500</v>
      </c>
    </row>
    <row r="10" spans="1:6" x14ac:dyDescent="0.25">
      <c r="A10" s="2" t="s">
        <v>115</v>
      </c>
      <c r="B10" s="3">
        <v>69.878787878787875</v>
      </c>
      <c r="C10" s="4">
        <v>744.69696969696975</v>
      </c>
      <c r="D10" s="5">
        <v>10</v>
      </c>
      <c r="E10" s="3">
        <v>268.36363636363637</v>
      </c>
      <c r="F10" s="4">
        <v>5704.545454545455</v>
      </c>
    </row>
    <row r="11" spans="1:6" x14ac:dyDescent="0.25">
      <c r="A11" s="2" t="s">
        <v>118</v>
      </c>
      <c r="B11" s="3">
        <v>65.45</v>
      </c>
      <c r="C11" s="4">
        <v>860</v>
      </c>
      <c r="D11" s="5">
        <v>10</v>
      </c>
      <c r="E11" s="3">
        <v>257.72000000000003</v>
      </c>
      <c r="F11" s="4">
        <v>5200</v>
      </c>
    </row>
    <row r="12" spans="1:6" x14ac:dyDescent="0.25">
      <c r="A12" s="2" t="s">
        <v>208</v>
      </c>
      <c r="B12" s="3">
        <v>62.5</v>
      </c>
      <c r="C12" s="4">
        <v>950</v>
      </c>
      <c r="D12" s="5">
        <v>10</v>
      </c>
      <c r="E12" s="3">
        <v>176</v>
      </c>
      <c r="F12" s="4">
        <v>4750</v>
      </c>
    </row>
    <row r="13" spans="1:6" x14ac:dyDescent="0.25">
      <c r="A13" s="2" t="s">
        <v>201</v>
      </c>
      <c r="B13" s="3">
        <v>59.625</v>
      </c>
      <c r="C13" s="4">
        <v>1300</v>
      </c>
      <c r="D13" s="5">
        <v>10</v>
      </c>
      <c r="E13" s="3">
        <v>246.75</v>
      </c>
      <c r="F13" s="4">
        <v>3000</v>
      </c>
    </row>
    <row r="14" spans="1:6" x14ac:dyDescent="0.25">
      <c r="A14" s="2" t="s">
        <v>503</v>
      </c>
      <c r="B14" s="3">
        <v>62</v>
      </c>
      <c r="C14" s="4">
        <v>1000</v>
      </c>
      <c r="D14" s="5">
        <v>10</v>
      </c>
      <c r="E14" s="3">
        <v>234</v>
      </c>
      <c r="F14" s="4">
        <v>4500</v>
      </c>
    </row>
    <row r="15" spans="1:6" x14ac:dyDescent="0.25">
      <c r="A15" s="2" t="s">
        <v>505</v>
      </c>
      <c r="B15" s="3">
        <v>61</v>
      </c>
      <c r="C15" s="4">
        <v>1000</v>
      </c>
      <c r="D15" s="5">
        <v>10</v>
      </c>
      <c r="E15" s="3">
        <v>231</v>
      </c>
      <c r="F15" s="4">
        <v>4500</v>
      </c>
    </row>
    <row r="16" spans="1:6" x14ac:dyDescent="0.25">
      <c r="A16" s="2" t="s">
        <v>463</v>
      </c>
      <c r="B16" s="3">
        <v>61</v>
      </c>
      <c r="C16" s="4">
        <v>1025</v>
      </c>
      <c r="D16" s="5">
        <v>10</v>
      </c>
      <c r="E16" s="3">
        <v>335</v>
      </c>
      <c r="F16" s="4">
        <v>4375</v>
      </c>
    </row>
    <row r="17" spans="1:6" x14ac:dyDescent="0.25">
      <c r="A17" s="2" t="s">
        <v>135</v>
      </c>
      <c r="B17" s="3">
        <v>60.064102564102562</v>
      </c>
      <c r="C17" s="4">
        <v>1269.2307692307693</v>
      </c>
      <c r="D17" s="5">
        <v>9.8974358974358978</v>
      </c>
      <c r="E17" s="3">
        <v>335.74358974358972</v>
      </c>
      <c r="F17" s="4">
        <v>3782.0512820512822</v>
      </c>
    </row>
    <row r="18" spans="1:6" x14ac:dyDescent="0.25">
      <c r="A18" s="2" t="s">
        <v>47</v>
      </c>
      <c r="B18" s="3">
        <v>65.541666666666671</v>
      </c>
      <c r="C18" s="4">
        <v>852.08333333333337</v>
      </c>
      <c r="D18" s="5">
        <v>10</v>
      </c>
      <c r="E18" s="3">
        <v>308.91666666666669</v>
      </c>
      <c r="F18" s="4">
        <v>5250</v>
      </c>
    </row>
    <row r="19" spans="1:6" x14ac:dyDescent="0.25">
      <c r="A19" s="2" t="s">
        <v>29</v>
      </c>
      <c r="B19" s="3">
        <v>61.819354838709678</v>
      </c>
      <c r="C19" s="4">
        <v>1015.8064516129032</v>
      </c>
      <c r="D19" s="5">
        <v>10</v>
      </c>
      <c r="E19" s="3">
        <v>305.18709677419355</v>
      </c>
      <c r="F19" s="4">
        <v>4420.9677419354839</v>
      </c>
    </row>
    <row r="20" spans="1:6" x14ac:dyDescent="0.25">
      <c r="A20" s="2" t="s">
        <v>36</v>
      </c>
      <c r="B20" s="3">
        <v>62.5</v>
      </c>
      <c r="C20" s="4">
        <v>940</v>
      </c>
      <c r="D20" s="5">
        <v>10</v>
      </c>
      <c r="E20" s="3">
        <v>266.8</v>
      </c>
      <c r="F20" s="4">
        <v>4800</v>
      </c>
    </row>
    <row r="21" spans="1:6" x14ac:dyDescent="0.25">
      <c r="A21" s="2" t="s">
        <v>108</v>
      </c>
      <c r="B21" s="3">
        <v>58.25</v>
      </c>
      <c r="C21" s="4">
        <v>1550</v>
      </c>
      <c r="D21" s="5">
        <v>10</v>
      </c>
      <c r="E21" s="3">
        <v>189</v>
      </c>
      <c r="F21" s="4">
        <v>1750</v>
      </c>
    </row>
    <row r="22" spans="1:6" x14ac:dyDescent="0.25">
      <c r="A22" s="2" t="s">
        <v>1261</v>
      </c>
      <c r="B22" s="3">
        <v>64.544360902255633</v>
      </c>
      <c r="C22" s="4">
        <v>942.40601503759399</v>
      </c>
      <c r="D22" s="5">
        <v>9.9879699248120293</v>
      </c>
      <c r="E22" s="3">
        <v>294.88421052631577</v>
      </c>
      <c r="F22" s="4">
        <v>4853.7593984962405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23E50-D0C8-4383-A1D0-A0910EC89892}">
  <dimension ref="A1:X869"/>
  <sheetViews>
    <sheetView topLeftCell="H129" workbookViewId="0">
      <selection activeCell="M12" sqref="M12"/>
    </sheetView>
  </sheetViews>
  <sheetFormatPr defaultRowHeight="15" x14ac:dyDescent="0.25"/>
  <cols>
    <col min="1" max="1" width="13.7109375" bestFit="1" customWidth="1"/>
    <col min="2" max="2" width="19.85546875" bestFit="1" customWidth="1"/>
    <col min="3" max="3" width="30.140625" bestFit="1" customWidth="1"/>
    <col min="4" max="4" width="43" bestFit="1" customWidth="1"/>
    <col min="5" max="5" width="23.140625" bestFit="1" customWidth="1"/>
    <col min="6" max="6" width="12" bestFit="1" customWidth="1"/>
    <col min="7" max="7" width="15.42578125" bestFit="1" customWidth="1"/>
    <col min="8" max="8" width="13.7109375" bestFit="1" customWidth="1"/>
    <col min="9" max="9" width="22" bestFit="1" customWidth="1"/>
    <col min="10" max="10" width="12" bestFit="1" customWidth="1"/>
    <col min="11" max="11" width="12.140625" bestFit="1" customWidth="1"/>
    <col min="12" max="12" width="17.85546875" bestFit="1" customWidth="1"/>
    <col min="13" max="13" width="35.42578125" bestFit="1" customWidth="1"/>
    <col min="14" max="14" width="19.5703125" bestFit="1" customWidth="1"/>
    <col min="15" max="15" width="12" bestFit="1" customWidth="1"/>
    <col min="16" max="16" width="14.140625" bestFit="1" customWidth="1"/>
    <col min="17" max="17" width="11.7109375" bestFit="1" customWidth="1"/>
    <col min="18" max="18" width="11.85546875" bestFit="1" customWidth="1"/>
    <col min="19" max="19" width="17.5703125" bestFit="1" customWidth="1"/>
    <col min="20" max="20" width="13.7109375" bestFit="1" customWidth="1"/>
    <col min="21" max="21" width="18.140625" bestFit="1" customWidth="1"/>
    <col min="22" max="22" width="14.28515625" bestFit="1" customWidth="1"/>
    <col min="23" max="23" width="27" bestFit="1" customWidth="1"/>
    <col min="24" max="24" width="19.5703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1259</v>
      </c>
      <c r="F1" t="s">
        <v>1258</v>
      </c>
      <c r="G1" t="s">
        <v>1257</v>
      </c>
      <c r="H1" t="s">
        <v>1256</v>
      </c>
      <c r="I1" t="s">
        <v>4</v>
      </c>
      <c r="J1" t="s">
        <v>1255</v>
      </c>
      <c r="K1" t="s">
        <v>1254</v>
      </c>
      <c r="L1" t="s">
        <v>1253</v>
      </c>
      <c r="M1" t="s">
        <v>5</v>
      </c>
      <c r="N1" t="s">
        <v>9</v>
      </c>
      <c r="O1" t="s">
        <v>10</v>
      </c>
      <c r="P1" t="s">
        <v>11</v>
      </c>
      <c r="Q1" t="s">
        <v>14</v>
      </c>
      <c r="R1" t="s">
        <v>15</v>
      </c>
      <c r="S1" t="s">
        <v>16</v>
      </c>
      <c r="T1" t="s">
        <v>12</v>
      </c>
      <c r="U1" t="s">
        <v>13</v>
      </c>
      <c r="V1" t="s">
        <v>1252</v>
      </c>
      <c r="W1" t="s">
        <v>1251</v>
      </c>
      <c r="X1" t="s">
        <v>1250</v>
      </c>
    </row>
    <row r="2" spans="1:24" x14ac:dyDescent="0.25">
      <c r="A2">
        <v>2025</v>
      </c>
      <c r="B2" t="s">
        <v>210</v>
      </c>
      <c r="C2" t="s">
        <v>1238</v>
      </c>
      <c r="D2" t="s">
        <v>1249</v>
      </c>
      <c r="E2">
        <v>1.5</v>
      </c>
      <c r="F2">
        <v>4</v>
      </c>
      <c r="G2" t="s">
        <v>980</v>
      </c>
      <c r="H2">
        <v>7</v>
      </c>
      <c r="I2" t="s">
        <v>28</v>
      </c>
      <c r="J2">
        <v>25</v>
      </c>
      <c r="K2">
        <v>30</v>
      </c>
      <c r="L2">
        <v>27</v>
      </c>
      <c r="M2" t="s">
        <v>122</v>
      </c>
      <c r="N2">
        <v>2350</v>
      </c>
      <c r="O2">
        <v>5</v>
      </c>
      <c r="P2">
        <v>5</v>
      </c>
      <c r="Q2">
        <v>355</v>
      </c>
      <c r="R2">
        <v>291</v>
      </c>
      <c r="S2">
        <v>329</v>
      </c>
      <c r="U2">
        <v>2250</v>
      </c>
      <c r="V2" t="s">
        <v>30</v>
      </c>
      <c r="W2" t="s">
        <v>528</v>
      </c>
      <c r="X2" t="s">
        <v>524</v>
      </c>
    </row>
    <row r="3" spans="1:24" x14ac:dyDescent="0.25">
      <c r="A3">
        <v>2025</v>
      </c>
      <c r="B3" t="s">
        <v>210</v>
      </c>
      <c r="C3" t="s">
        <v>1238</v>
      </c>
      <c r="D3" t="s">
        <v>1248</v>
      </c>
      <c r="E3">
        <v>1.5</v>
      </c>
      <c r="F3">
        <v>4</v>
      </c>
      <c r="G3" t="s">
        <v>980</v>
      </c>
      <c r="H3">
        <v>7</v>
      </c>
      <c r="I3" t="s">
        <v>128</v>
      </c>
      <c r="J3">
        <v>26</v>
      </c>
      <c r="K3">
        <v>31</v>
      </c>
      <c r="L3">
        <v>28</v>
      </c>
      <c r="M3" t="s">
        <v>122</v>
      </c>
      <c r="N3">
        <v>2300</v>
      </c>
      <c r="O3">
        <v>6</v>
      </c>
      <c r="P3">
        <v>6</v>
      </c>
      <c r="Q3">
        <v>341</v>
      </c>
      <c r="R3">
        <v>286</v>
      </c>
      <c r="S3">
        <v>317</v>
      </c>
      <c r="U3">
        <v>2000</v>
      </c>
      <c r="V3" t="s">
        <v>30</v>
      </c>
      <c r="W3" t="s">
        <v>528</v>
      </c>
      <c r="X3" t="s">
        <v>524</v>
      </c>
    </row>
    <row r="4" spans="1:24" x14ac:dyDescent="0.25">
      <c r="A4">
        <v>2025</v>
      </c>
      <c r="B4" t="s">
        <v>210</v>
      </c>
      <c r="C4" t="s">
        <v>1238</v>
      </c>
      <c r="D4" t="s">
        <v>1247</v>
      </c>
      <c r="E4">
        <v>1.5</v>
      </c>
      <c r="F4">
        <v>4</v>
      </c>
      <c r="G4" t="s">
        <v>980</v>
      </c>
      <c r="H4">
        <v>7</v>
      </c>
      <c r="I4" t="s">
        <v>128</v>
      </c>
      <c r="J4">
        <v>30</v>
      </c>
      <c r="K4">
        <v>37</v>
      </c>
      <c r="L4">
        <v>33</v>
      </c>
      <c r="M4" t="s">
        <v>95</v>
      </c>
      <c r="N4">
        <v>1950</v>
      </c>
      <c r="O4">
        <v>6</v>
      </c>
      <c r="P4">
        <v>6</v>
      </c>
      <c r="Q4">
        <v>296</v>
      </c>
      <c r="R4">
        <v>237</v>
      </c>
      <c r="S4">
        <v>269</v>
      </c>
      <c r="U4">
        <v>250</v>
      </c>
      <c r="V4" t="s">
        <v>30</v>
      </c>
      <c r="W4" t="s">
        <v>528</v>
      </c>
      <c r="X4" t="s">
        <v>524</v>
      </c>
    </row>
    <row r="5" spans="1:24" x14ac:dyDescent="0.25">
      <c r="A5">
        <v>2025</v>
      </c>
      <c r="B5" t="s">
        <v>210</v>
      </c>
      <c r="C5" t="s">
        <v>1238</v>
      </c>
      <c r="D5" t="s">
        <v>1247</v>
      </c>
      <c r="E5">
        <v>2</v>
      </c>
      <c r="F5">
        <v>4</v>
      </c>
      <c r="G5" t="s">
        <v>546</v>
      </c>
      <c r="H5">
        <v>6</v>
      </c>
      <c r="I5" t="s">
        <v>128</v>
      </c>
      <c r="J5">
        <v>21</v>
      </c>
      <c r="K5">
        <v>28</v>
      </c>
      <c r="L5">
        <v>24</v>
      </c>
      <c r="M5" t="s">
        <v>95</v>
      </c>
      <c r="N5">
        <v>2650</v>
      </c>
      <c r="O5">
        <v>5</v>
      </c>
      <c r="P5">
        <v>5</v>
      </c>
      <c r="Q5">
        <v>419</v>
      </c>
      <c r="R5">
        <v>312</v>
      </c>
      <c r="S5">
        <v>371</v>
      </c>
      <c r="U5">
        <v>3750</v>
      </c>
      <c r="V5" t="s">
        <v>30</v>
      </c>
      <c r="W5" t="s">
        <v>528</v>
      </c>
      <c r="X5" t="s">
        <v>565</v>
      </c>
    </row>
    <row r="6" spans="1:24" x14ac:dyDescent="0.25">
      <c r="A6">
        <v>2025</v>
      </c>
      <c r="B6" t="s">
        <v>210</v>
      </c>
      <c r="C6" t="s">
        <v>1238</v>
      </c>
      <c r="D6" t="s">
        <v>1246</v>
      </c>
      <c r="E6">
        <v>1.5</v>
      </c>
      <c r="F6">
        <v>4</v>
      </c>
      <c r="G6" t="s">
        <v>980</v>
      </c>
      <c r="H6">
        <v>7</v>
      </c>
      <c r="I6" t="s">
        <v>128</v>
      </c>
      <c r="J6">
        <v>29</v>
      </c>
      <c r="K6">
        <v>36</v>
      </c>
      <c r="L6">
        <v>32</v>
      </c>
      <c r="M6" t="s">
        <v>95</v>
      </c>
      <c r="N6">
        <v>2000</v>
      </c>
      <c r="O6">
        <v>6</v>
      </c>
      <c r="P6">
        <v>6</v>
      </c>
      <c r="Q6">
        <v>304</v>
      </c>
      <c r="R6">
        <v>245</v>
      </c>
      <c r="S6">
        <v>277</v>
      </c>
      <c r="U6">
        <v>500</v>
      </c>
      <c r="V6" t="s">
        <v>30</v>
      </c>
      <c r="W6" t="s">
        <v>528</v>
      </c>
      <c r="X6" t="s">
        <v>524</v>
      </c>
    </row>
    <row r="7" spans="1:24" x14ac:dyDescent="0.25">
      <c r="A7">
        <v>2025</v>
      </c>
      <c r="B7" t="s">
        <v>210</v>
      </c>
      <c r="C7" t="s">
        <v>1238</v>
      </c>
      <c r="D7" t="s">
        <v>1246</v>
      </c>
      <c r="E7">
        <v>1.5</v>
      </c>
      <c r="F7">
        <v>4</v>
      </c>
      <c r="G7" t="s">
        <v>546</v>
      </c>
      <c r="H7">
        <v>6</v>
      </c>
      <c r="I7" t="s">
        <v>128</v>
      </c>
      <c r="J7">
        <v>26</v>
      </c>
      <c r="K7">
        <v>36</v>
      </c>
      <c r="L7">
        <v>30</v>
      </c>
      <c r="M7" t="s">
        <v>95</v>
      </c>
      <c r="N7">
        <v>2100</v>
      </c>
      <c r="O7">
        <v>6</v>
      </c>
      <c r="P7">
        <v>6</v>
      </c>
      <c r="Q7">
        <v>339</v>
      </c>
      <c r="R7">
        <v>241</v>
      </c>
      <c r="S7">
        <v>293</v>
      </c>
      <c r="U7">
        <v>1000</v>
      </c>
      <c r="V7" t="s">
        <v>30</v>
      </c>
      <c r="W7" t="s">
        <v>528</v>
      </c>
      <c r="X7" t="s">
        <v>524</v>
      </c>
    </row>
    <row r="8" spans="1:24" x14ac:dyDescent="0.25">
      <c r="A8">
        <v>2025</v>
      </c>
      <c r="B8" t="s">
        <v>210</v>
      </c>
      <c r="C8" t="s">
        <v>1238</v>
      </c>
      <c r="D8" t="s">
        <v>1245</v>
      </c>
      <c r="E8">
        <v>3.5</v>
      </c>
      <c r="F8">
        <v>6</v>
      </c>
      <c r="G8" t="s">
        <v>554</v>
      </c>
      <c r="H8">
        <v>10</v>
      </c>
      <c r="I8" t="s">
        <v>28</v>
      </c>
      <c r="J8">
        <v>19</v>
      </c>
      <c r="K8">
        <v>25</v>
      </c>
      <c r="L8">
        <v>21</v>
      </c>
      <c r="M8" t="s">
        <v>118</v>
      </c>
      <c r="N8">
        <v>3050</v>
      </c>
      <c r="O8">
        <v>4</v>
      </c>
      <c r="P8">
        <v>4</v>
      </c>
      <c r="Q8">
        <v>477</v>
      </c>
      <c r="R8">
        <v>357</v>
      </c>
      <c r="S8">
        <v>423</v>
      </c>
      <c r="U8">
        <v>5750</v>
      </c>
      <c r="V8" t="s">
        <v>30</v>
      </c>
      <c r="W8" t="s">
        <v>558</v>
      </c>
      <c r="X8" t="s">
        <v>524</v>
      </c>
    </row>
    <row r="9" spans="1:24" x14ac:dyDescent="0.25">
      <c r="A9">
        <v>2025</v>
      </c>
      <c r="B9" t="s">
        <v>210</v>
      </c>
      <c r="C9" t="s">
        <v>1238</v>
      </c>
      <c r="D9" t="s">
        <v>1244</v>
      </c>
      <c r="E9">
        <v>3</v>
      </c>
      <c r="F9">
        <v>6</v>
      </c>
      <c r="G9" t="s">
        <v>554</v>
      </c>
      <c r="H9">
        <v>10</v>
      </c>
      <c r="I9" t="s">
        <v>28</v>
      </c>
      <c r="J9">
        <v>17</v>
      </c>
      <c r="K9">
        <v>21</v>
      </c>
      <c r="L9">
        <v>19</v>
      </c>
      <c r="M9" t="s">
        <v>29</v>
      </c>
      <c r="N9">
        <v>3350</v>
      </c>
      <c r="O9">
        <v>4</v>
      </c>
      <c r="P9">
        <v>4</v>
      </c>
      <c r="Q9">
        <v>523</v>
      </c>
      <c r="R9">
        <v>414</v>
      </c>
      <c r="S9">
        <v>474</v>
      </c>
      <c r="U9">
        <v>7250</v>
      </c>
      <c r="V9" t="s">
        <v>30</v>
      </c>
      <c r="W9" t="s">
        <v>528</v>
      </c>
      <c r="X9" t="s">
        <v>524</v>
      </c>
    </row>
    <row r="10" spans="1:24" x14ac:dyDescent="0.25">
      <c r="A10">
        <v>2025</v>
      </c>
      <c r="B10" t="s">
        <v>210</v>
      </c>
      <c r="C10" t="s">
        <v>1238</v>
      </c>
      <c r="D10" t="s">
        <v>1243</v>
      </c>
      <c r="E10">
        <v>3.5</v>
      </c>
      <c r="F10">
        <v>6</v>
      </c>
      <c r="G10" t="s">
        <v>554</v>
      </c>
      <c r="H10">
        <v>10</v>
      </c>
      <c r="I10" t="s">
        <v>128</v>
      </c>
      <c r="J10">
        <v>19</v>
      </c>
      <c r="K10">
        <v>26</v>
      </c>
      <c r="L10">
        <v>22</v>
      </c>
      <c r="M10" t="s">
        <v>115</v>
      </c>
      <c r="N10">
        <v>2900</v>
      </c>
      <c r="O10">
        <v>5</v>
      </c>
      <c r="P10">
        <v>5</v>
      </c>
      <c r="Q10">
        <v>470</v>
      </c>
      <c r="R10">
        <v>339</v>
      </c>
      <c r="S10">
        <v>411</v>
      </c>
      <c r="U10">
        <v>5000</v>
      </c>
      <c r="V10" t="s">
        <v>30</v>
      </c>
      <c r="W10" t="s">
        <v>558</v>
      </c>
      <c r="X10" t="s">
        <v>524</v>
      </c>
    </row>
    <row r="11" spans="1:24" x14ac:dyDescent="0.25">
      <c r="A11">
        <v>2025</v>
      </c>
      <c r="B11" t="s">
        <v>210</v>
      </c>
      <c r="C11" t="s">
        <v>1238</v>
      </c>
      <c r="D11" t="s">
        <v>1242</v>
      </c>
      <c r="E11">
        <v>2</v>
      </c>
      <c r="F11">
        <v>4</v>
      </c>
      <c r="G11" t="s">
        <v>554</v>
      </c>
      <c r="H11">
        <v>10</v>
      </c>
      <c r="I11" t="s">
        <v>28</v>
      </c>
      <c r="J11">
        <v>21</v>
      </c>
      <c r="K11">
        <v>27</v>
      </c>
      <c r="L11">
        <v>23</v>
      </c>
      <c r="M11" t="s">
        <v>118</v>
      </c>
      <c r="N11">
        <v>2750</v>
      </c>
      <c r="O11">
        <v>5</v>
      </c>
      <c r="P11">
        <v>5</v>
      </c>
      <c r="Q11">
        <v>415</v>
      </c>
      <c r="R11">
        <v>322</v>
      </c>
      <c r="S11">
        <v>385</v>
      </c>
      <c r="U11">
        <v>4250</v>
      </c>
      <c r="V11" t="s">
        <v>30</v>
      </c>
      <c r="W11" t="s">
        <v>528</v>
      </c>
      <c r="X11" t="s">
        <v>524</v>
      </c>
    </row>
    <row r="12" spans="1:24" x14ac:dyDescent="0.25">
      <c r="A12">
        <v>2025</v>
      </c>
      <c r="B12" t="s">
        <v>210</v>
      </c>
      <c r="C12" t="s">
        <v>1238</v>
      </c>
      <c r="D12" t="s">
        <v>1241</v>
      </c>
      <c r="E12">
        <v>2</v>
      </c>
      <c r="F12">
        <v>4</v>
      </c>
      <c r="G12" t="s">
        <v>554</v>
      </c>
      <c r="H12">
        <v>10</v>
      </c>
      <c r="I12" t="s">
        <v>28</v>
      </c>
      <c r="J12">
        <v>21</v>
      </c>
      <c r="K12">
        <v>26</v>
      </c>
      <c r="L12">
        <v>23</v>
      </c>
      <c r="M12" t="s">
        <v>118</v>
      </c>
      <c r="N12">
        <v>2750</v>
      </c>
      <c r="O12">
        <v>5</v>
      </c>
      <c r="P12">
        <v>5</v>
      </c>
      <c r="Q12">
        <v>423</v>
      </c>
      <c r="R12">
        <v>342</v>
      </c>
      <c r="S12">
        <v>386</v>
      </c>
      <c r="U12">
        <v>4250</v>
      </c>
      <c r="V12" t="s">
        <v>30</v>
      </c>
      <c r="W12" t="s">
        <v>528</v>
      </c>
      <c r="X12" t="s">
        <v>524</v>
      </c>
    </row>
    <row r="13" spans="1:24" x14ac:dyDescent="0.25">
      <c r="A13">
        <v>2025</v>
      </c>
      <c r="B13" t="s">
        <v>210</v>
      </c>
      <c r="C13" t="s">
        <v>1238</v>
      </c>
      <c r="D13" t="s">
        <v>1240</v>
      </c>
      <c r="E13">
        <v>2</v>
      </c>
      <c r="F13">
        <v>4</v>
      </c>
      <c r="G13" t="s">
        <v>554</v>
      </c>
      <c r="H13">
        <v>10</v>
      </c>
      <c r="I13" t="s">
        <v>28</v>
      </c>
      <c r="J13">
        <v>21</v>
      </c>
      <c r="K13">
        <v>29</v>
      </c>
      <c r="L13">
        <v>24</v>
      </c>
      <c r="M13" t="s">
        <v>75</v>
      </c>
      <c r="N13">
        <v>2650</v>
      </c>
      <c r="O13">
        <v>5</v>
      </c>
      <c r="P13">
        <v>5</v>
      </c>
      <c r="Q13">
        <v>425</v>
      </c>
      <c r="R13">
        <v>305</v>
      </c>
      <c r="S13">
        <v>371</v>
      </c>
      <c r="U13">
        <v>3750</v>
      </c>
      <c r="V13" t="s">
        <v>30</v>
      </c>
      <c r="W13" t="s">
        <v>528</v>
      </c>
      <c r="X13" t="s">
        <v>524</v>
      </c>
    </row>
    <row r="14" spans="1:24" x14ac:dyDescent="0.25">
      <c r="A14">
        <v>2025</v>
      </c>
      <c r="B14" t="s">
        <v>210</v>
      </c>
      <c r="C14" t="s">
        <v>1238</v>
      </c>
      <c r="D14" t="s">
        <v>1239</v>
      </c>
      <c r="E14">
        <v>2</v>
      </c>
      <c r="F14">
        <v>4</v>
      </c>
      <c r="G14" t="s">
        <v>554</v>
      </c>
      <c r="H14">
        <v>10</v>
      </c>
      <c r="I14" t="s">
        <v>128</v>
      </c>
      <c r="J14">
        <v>22</v>
      </c>
      <c r="K14">
        <v>31</v>
      </c>
      <c r="L14">
        <v>25</v>
      </c>
      <c r="M14" t="s">
        <v>75</v>
      </c>
      <c r="N14">
        <v>2550</v>
      </c>
      <c r="O14">
        <v>5</v>
      </c>
      <c r="P14">
        <v>5</v>
      </c>
      <c r="Q14">
        <v>404</v>
      </c>
      <c r="R14">
        <v>289</v>
      </c>
      <c r="S14">
        <v>352</v>
      </c>
      <c r="U14">
        <v>3250</v>
      </c>
      <c r="V14" t="s">
        <v>30</v>
      </c>
      <c r="W14" t="s">
        <v>528</v>
      </c>
      <c r="X14" t="s">
        <v>524</v>
      </c>
    </row>
    <row r="15" spans="1:24" x14ac:dyDescent="0.25">
      <c r="A15">
        <v>2025</v>
      </c>
      <c r="B15" t="s">
        <v>210</v>
      </c>
      <c r="C15" t="s">
        <v>1238</v>
      </c>
      <c r="D15" t="s">
        <v>1237</v>
      </c>
      <c r="E15">
        <v>3</v>
      </c>
      <c r="F15">
        <v>6</v>
      </c>
      <c r="G15" t="s">
        <v>554</v>
      </c>
      <c r="H15">
        <v>10</v>
      </c>
      <c r="I15" t="s">
        <v>28</v>
      </c>
      <c r="J15">
        <v>19</v>
      </c>
      <c r="K15">
        <v>25</v>
      </c>
      <c r="L15">
        <v>21</v>
      </c>
      <c r="M15" t="s">
        <v>75</v>
      </c>
      <c r="N15">
        <v>3050</v>
      </c>
      <c r="O15">
        <v>4</v>
      </c>
      <c r="P15">
        <v>4</v>
      </c>
      <c r="Q15">
        <v>464</v>
      </c>
      <c r="R15">
        <v>353</v>
      </c>
      <c r="S15">
        <v>420</v>
      </c>
      <c r="U15">
        <v>5750</v>
      </c>
      <c r="V15" t="s">
        <v>30</v>
      </c>
      <c r="W15" t="s">
        <v>528</v>
      </c>
      <c r="X15" t="s">
        <v>524</v>
      </c>
    </row>
    <row r="16" spans="1:24" x14ac:dyDescent="0.25">
      <c r="A16">
        <v>2025</v>
      </c>
      <c r="B16" t="s">
        <v>143</v>
      </c>
      <c r="C16" t="s">
        <v>1233</v>
      </c>
      <c r="D16" t="s">
        <v>1236</v>
      </c>
      <c r="E16">
        <v>2</v>
      </c>
      <c r="F16">
        <v>4</v>
      </c>
      <c r="G16" t="s">
        <v>641</v>
      </c>
      <c r="H16">
        <v>8</v>
      </c>
      <c r="I16" t="s">
        <v>46</v>
      </c>
      <c r="J16">
        <v>24</v>
      </c>
      <c r="K16">
        <v>33</v>
      </c>
      <c r="L16">
        <v>27</v>
      </c>
      <c r="M16" t="s">
        <v>186</v>
      </c>
      <c r="N16">
        <v>2350</v>
      </c>
      <c r="O16">
        <v>5</v>
      </c>
      <c r="P16">
        <v>5</v>
      </c>
      <c r="Q16">
        <v>377</v>
      </c>
      <c r="R16">
        <v>273</v>
      </c>
      <c r="S16">
        <v>330</v>
      </c>
      <c r="U16">
        <v>2250</v>
      </c>
      <c r="V16" t="s">
        <v>30</v>
      </c>
      <c r="W16" t="s">
        <v>528</v>
      </c>
      <c r="X16" t="s">
        <v>524</v>
      </c>
    </row>
    <row r="17" spans="1:24" x14ac:dyDescent="0.25">
      <c r="A17">
        <v>2025</v>
      </c>
      <c r="B17" t="s">
        <v>143</v>
      </c>
      <c r="C17" t="s">
        <v>1233</v>
      </c>
      <c r="D17" t="s">
        <v>1235</v>
      </c>
      <c r="E17">
        <v>2</v>
      </c>
      <c r="F17">
        <v>4</v>
      </c>
      <c r="G17" t="s">
        <v>641</v>
      </c>
      <c r="H17">
        <v>8</v>
      </c>
      <c r="I17" t="s">
        <v>28</v>
      </c>
      <c r="J17">
        <v>23</v>
      </c>
      <c r="K17">
        <v>31</v>
      </c>
      <c r="L17">
        <v>26</v>
      </c>
      <c r="M17" t="s">
        <v>186</v>
      </c>
      <c r="N17">
        <v>2450</v>
      </c>
      <c r="O17">
        <v>5</v>
      </c>
      <c r="P17">
        <v>5</v>
      </c>
      <c r="Q17">
        <v>395</v>
      </c>
      <c r="R17">
        <v>291</v>
      </c>
      <c r="S17">
        <v>348</v>
      </c>
      <c r="U17">
        <v>2750</v>
      </c>
      <c r="V17" t="s">
        <v>30</v>
      </c>
      <c r="W17" t="s">
        <v>528</v>
      </c>
      <c r="X17" t="s">
        <v>524</v>
      </c>
    </row>
    <row r="18" spans="1:24" x14ac:dyDescent="0.25">
      <c r="A18">
        <v>2025</v>
      </c>
      <c r="B18" t="s">
        <v>143</v>
      </c>
      <c r="C18" t="s">
        <v>1233</v>
      </c>
      <c r="D18" t="s">
        <v>1234</v>
      </c>
      <c r="E18">
        <v>2</v>
      </c>
      <c r="F18">
        <v>4</v>
      </c>
      <c r="G18" t="s">
        <v>641</v>
      </c>
      <c r="H18">
        <v>8</v>
      </c>
      <c r="I18" t="s">
        <v>28</v>
      </c>
      <c r="J18">
        <v>22</v>
      </c>
      <c r="K18">
        <v>28</v>
      </c>
      <c r="L18">
        <v>24</v>
      </c>
      <c r="M18" t="s">
        <v>118</v>
      </c>
      <c r="N18">
        <v>2650</v>
      </c>
      <c r="O18">
        <v>5</v>
      </c>
      <c r="P18">
        <v>5</v>
      </c>
      <c r="Q18">
        <v>407</v>
      </c>
      <c r="R18">
        <v>311</v>
      </c>
      <c r="S18">
        <v>364</v>
      </c>
      <c r="U18">
        <v>3750</v>
      </c>
      <c r="V18" t="s">
        <v>30</v>
      </c>
      <c r="W18" t="s">
        <v>528</v>
      </c>
      <c r="X18" t="s">
        <v>524</v>
      </c>
    </row>
    <row r="19" spans="1:24" x14ac:dyDescent="0.25">
      <c r="A19">
        <v>2025</v>
      </c>
      <c r="B19" t="s">
        <v>143</v>
      </c>
      <c r="C19" t="s">
        <v>1233</v>
      </c>
      <c r="D19" t="s">
        <v>1232</v>
      </c>
      <c r="E19">
        <v>2</v>
      </c>
      <c r="F19">
        <v>4</v>
      </c>
      <c r="G19" t="s">
        <v>735</v>
      </c>
      <c r="H19">
        <v>9</v>
      </c>
      <c r="I19" t="s">
        <v>28</v>
      </c>
      <c r="J19">
        <v>21</v>
      </c>
      <c r="K19">
        <v>29</v>
      </c>
      <c r="L19">
        <v>24</v>
      </c>
      <c r="M19" t="s">
        <v>118</v>
      </c>
      <c r="N19">
        <v>2200</v>
      </c>
      <c r="O19">
        <v>5</v>
      </c>
      <c r="P19">
        <v>5</v>
      </c>
      <c r="Q19">
        <v>425</v>
      </c>
      <c r="R19">
        <v>308</v>
      </c>
      <c r="S19">
        <v>372</v>
      </c>
      <c r="U19">
        <v>1500</v>
      </c>
      <c r="V19" t="s">
        <v>30</v>
      </c>
      <c r="W19" t="s">
        <v>528</v>
      </c>
      <c r="X19" t="s">
        <v>524</v>
      </c>
    </row>
    <row r="20" spans="1:24" x14ac:dyDescent="0.25">
      <c r="A20">
        <v>2025</v>
      </c>
      <c r="B20" t="s">
        <v>1228</v>
      </c>
      <c r="C20" t="s">
        <v>1227</v>
      </c>
      <c r="D20" t="s">
        <v>1231</v>
      </c>
      <c r="E20">
        <v>4</v>
      </c>
      <c r="F20">
        <v>8</v>
      </c>
      <c r="G20" t="s">
        <v>641</v>
      </c>
      <c r="H20">
        <v>8</v>
      </c>
      <c r="I20" t="s">
        <v>46</v>
      </c>
      <c r="J20">
        <v>15</v>
      </c>
      <c r="K20">
        <v>22</v>
      </c>
      <c r="L20">
        <v>17</v>
      </c>
      <c r="M20" t="s">
        <v>155</v>
      </c>
      <c r="N20">
        <v>3750</v>
      </c>
      <c r="O20">
        <v>3</v>
      </c>
      <c r="P20">
        <v>3</v>
      </c>
      <c r="Q20">
        <v>599</v>
      </c>
      <c r="R20">
        <v>395</v>
      </c>
      <c r="S20">
        <v>507</v>
      </c>
      <c r="U20">
        <v>9250</v>
      </c>
      <c r="V20" t="s">
        <v>30</v>
      </c>
      <c r="W20" t="s">
        <v>528</v>
      </c>
      <c r="X20" t="s">
        <v>565</v>
      </c>
    </row>
    <row r="21" spans="1:24" x14ac:dyDescent="0.25">
      <c r="A21">
        <v>2025</v>
      </c>
      <c r="B21" t="s">
        <v>1228</v>
      </c>
      <c r="C21" t="s">
        <v>1227</v>
      </c>
      <c r="D21" t="s">
        <v>1230</v>
      </c>
      <c r="E21">
        <v>4</v>
      </c>
      <c r="F21">
        <v>8</v>
      </c>
      <c r="G21" t="s">
        <v>735</v>
      </c>
      <c r="H21">
        <v>9</v>
      </c>
      <c r="I21" t="s">
        <v>107</v>
      </c>
      <c r="J21">
        <v>15</v>
      </c>
      <c r="K21">
        <v>20</v>
      </c>
      <c r="L21">
        <v>17</v>
      </c>
      <c r="M21" t="s">
        <v>29</v>
      </c>
      <c r="N21">
        <v>3750</v>
      </c>
      <c r="O21">
        <v>3</v>
      </c>
      <c r="P21">
        <v>3</v>
      </c>
      <c r="Q21">
        <v>602</v>
      </c>
      <c r="R21">
        <v>457</v>
      </c>
      <c r="S21">
        <v>536</v>
      </c>
      <c r="U21">
        <v>9250</v>
      </c>
      <c r="V21" t="s">
        <v>30</v>
      </c>
      <c r="W21" t="s">
        <v>528</v>
      </c>
      <c r="X21" t="s">
        <v>565</v>
      </c>
    </row>
    <row r="22" spans="1:24" x14ac:dyDescent="0.25">
      <c r="A22">
        <v>2025</v>
      </c>
      <c r="B22" t="s">
        <v>1228</v>
      </c>
      <c r="C22" t="s">
        <v>1227</v>
      </c>
      <c r="D22" t="s">
        <v>1229</v>
      </c>
      <c r="E22">
        <v>5.2</v>
      </c>
      <c r="F22">
        <v>12</v>
      </c>
      <c r="G22" t="s">
        <v>641</v>
      </c>
      <c r="H22">
        <v>8</v>
      </c>
      <c r="I22" t="s">
        <v>46</v>
      </c>
      <c r="J22">
        <v>13</v>
      </c>
      <c r="K22">
        <v>21</v>
      </c>
      <c r="L22">
        <v>16</v>
      </c>
      <c r="M22" t="s">
        <v>108</v>
      </c>
      <c r="N22">
        <v>4000</v>
      </c>
      <c r="O22">
        <v>3</v>
      </c>
      <c r="P22">
        <v>3</v>
      </c>
      <c r="Q22">
        <v>671</v>
      </c>
      <c r="R22">
        <v>431</v>
      </c>
      <c r="S22">
        <v>563</v>
      </c>
      <c r="U22">
        <v>10500</v>
      </c>
      <c r="V22" t="s">
        <v>633</v>
      </c>
      <c r="W22" t="s">
        <v>528</v>
      </c>
      <c r="X22" t="s">
        <v>565</v>
      </c>
    </row>
    <row r="23" spans="1:24" x14ac:dyDescent="0.25">
      <c r="A23">
        <v>2025</v>
      </c>
      <c r="B23" t="s">
        <v>1228</v>
      </c>
      <c r="C23" t="s">
        <v>1227</v>
      </c>
      <c r="D23" t="s">
        <v>1226</v>
      </c>
      <c r="E23">
        <v>4</v>
      </c>
      <c r="F23">
        <v>8</v>
      </c>
      <c r="G23" t="s">
        <v>641</v>
      </c>
      <c r="H23">
        <v>8</v>
      </c>
      <c r="I23" t="s">
        <v>46</v>
      </c>
      <c r="J23">
        <v>15</v>
      </c>
      <c r="K23">
        <v>22</v>
      </c>
      <c r="L23">
        <v>18</v>
      </c>
      <c r="M23" t="s">
        <v>108</v>
      </c>
      <c r="N23">
        <v>3550</v>
      </c>
      <c r="O23">
        <v>4</v>
      </c>
      <c r="P23">
        <v>4</v>
      </c>
      <c r="Q23">
        <v>579</v>
      </c>
      <c r="R23">
        <v>399</v>
      </c>
      <c r="S23">
        <v>498</v>
      </c>
      <c r="U23">
        <v>8250</v>
      </c>
      <c r="V23" t="s">
        <v>30</v>
      </c>
      <c r="W23" t="s">
        <v>528</v>
      </c>
      <c r="X23" t="s">
        <v>565</v>
      </c>
    </row>
    <row r="24" spans="1:24" x14ac:dyDescent="0.25">
      <c r="A24">
        <v>2025</v>
      </c>
      <c r="B24" t="s">
        <v>25</v>
      </c>
      <c r="C24" t="s">
        <v>26</v>
      </c>
      <c r="D24" t="s">
        <v>1225</v>
      </c>
      <c r="E24">
        <v>2</v>
      </c>
      <c r="F24">
        <v>4</v>
      </c>
      <c r="G24" t="s">
        <v>543</v>
      </c>
      <c r="H24">
        <v>7</v>
      </c>
      <c r="I24" t="s">
        <v>28</v>
      </c>
      <c r="J24">
        <v>24</v>
      </c>
      <c r="K24">
        <v>34</v>
      </c>
      <c r="L24">
        <v>28</v>
      </c>
      <c r="M24" t="s">
        <v>36</v>
      </c>
      <c r="N24">
        <v>2300</v>
      </c>
      <c r="O24">
        <v>6</v>
      </c>
      <c r="P24">
        <v>6</v>
      </c>
      <c r="Q24">
        <v>364</v>
      </c>
      <c r="R24">
        <v>262</v>
      </c>
      <c r="S24">
        <v>318</v>
      </c>
      <c r="U24">
        <v>2000</v>
      </c>
      <c r="V24" t="s">
        <v>30</v>
      </c>
      <c r="W24" t="s">
        <v>528</v>
      </c>
      <c r="X24" t="s">
        <v>524</v>
      </c>
    </row>
    <row r="25" spans="1:24" x14ac:dyDescent="0.25">
      <c r="A25">
        <v>2025</v>
      </c>
      <c r="B25" t="s">
        <v>25</v>
      </c>
      <c r="C25" t="s">
        <v>26</v>
      </c>
      <c r="D25" t="s">
        <v>1224</v>
      </c>
      <c r="E25">
        <v>2</v>
      </c>
      <c r="F25">
        <v>4</v>
      </c>
      <c r="G25" t="s">
        <v>543</v>
      </c>
      <c r="H25">
        <v>7</v>
      </c>
      <c r="I25" t="s">
        <v>28</v>
      </c>
      <c r="J25">
        <v>23</v>
      </c>
      <c r="K25">
        <v>30</v>
      </c>
      <c r="L25">
        <v>26</v>
      </c>
      <c r="M25" t="s">
        <v>122</v>
      </c>
      <c r="N25">
        <v>2450</v>
      </c>
      <c r="O25">
        <v>5</v>
      </c>
      <c r="P25">
        <v>5</v>
      </c>
      <c r="Q25">
        <v>389</v>
      </c>
      <c r="R25">
        <v>293</v>
      </c>
      <c r="S25">
        <v>346</v>
      </c>
      <c r="U25">
        <v>2750</v>
      </c>
      <c r="V25" t="s">
        <v>30</v>
      </c>
      <c r="W25" t="s">
        <v>528</v>
      </c>
      <c r="X25" t="s">
        <v>524</v>
      </c>
    </row>
    <row r="26" spans="1:24" x14ac:dyDescent="0.25">
      <c r="A26">
        <v>2025</v>
      </c>
      <c r="B26" t="s">
        <v>25</v>
      </c>
      <c r="C26" t="s">
        <v>26</v>
      </c>
      <c r="D26" t="s">
        <v>1223</v>
      </c>
      <c r="E26">
        <v>2</v>
      </c>
      <c r="F26">
        <v>4</v>
      </c>
      <c r="G26" t="s">
        <v>543</v>
      </c>
      <c r="H26">
        <v>7</v>
      </c>
      <c r="I26" t="s">
        <v>28</v>
      </c>
      <c r="J26">
        <v>26</v>
      </c>
      <c r="K26">
        <v>36</v>
      </c>
      <c r="L26">
        <v>29</v>
      </c>
      <c r="M26" t="s">
        <v>75</v>
      </c>
      <c r="N26">
        <v>2200</v>
      </c>
      <c r="O26">
        <v>6</v>
      </c>
      <c r="P26">
        <v>6</v>
      </c>
      <c r="Q26">
        <v>344</v>
      </c>
      <c r="R26">
        <v>248</v>
      </c>
      <c r="S26">
        <v>301</v>
      </c>
      <c r="U26">
        <v>1500</v>
      </c>
      <c r="V26" t="s">
        <v>30</v>
      </c>
      <c r="W26" t="s">
        <v>528</v>
      </c>
      <c r="X26" t="s">
        <v>524</v>
      </c>
    </row>
    <row r="27" spans="1:24" x14ac:dyDescent="0.25">
      <c r="A27">
        <v>2025</v>
      </c>
      <c r="B27" t="s">
        <v>25</v>
      </c>
      <c r="C27" t="s">
        <v>26</v>
      </c>
      <c r="D27" t="s">
        <v>1222</v>
      </c>
      <c r="E27">
        <v>2</v>
      </c>
      <c r="F27">
        <v>4</v>
      </c>
      <c r="G27" t="s">
        <v>543</v>
      </c>
      <c r="H27">
        <v>7</v>
      </c>
      <c r="I27" t="s">
        <v>28</v>
      </c>
      <c r="J27">
        <v>23</v>
      </c>
      <c r="K27">
        <v>32</v>
      </c>
      <c r="L27">
        <v>26</v>
      </c>
      <c r="M27" t="s">
        <v>75</v>
      </c>
      <c r="N27">
        <v>2450</v>
      </c>
      <c r="O27">
        <v>5</v>
      </c>
      <c r="P27">
        <v>5</v>
      </c>
      <c r="Q27">
        <v>389</v>
      </c>
      <c r="R27">
        <v>279</v>
      </c>
      <c r="S27">
        <v>339</v>
      </c>
      <c r="U27">
        <v>2750</v>
      </c>
      <c r="V27" t="s">
        <v>30</v>
      </c>
      <c r="W27" t="s">
        <v>528</v>
      </c>
      <c r="X27" t="s">
        <v>524</v>
      </c>
    </row>
    <row r="28" spans="1:24" x14ac:dyDescent="0.25">
      <c r="A28">
        <v>2025</v>
      </c>
      <c r="B28" t="s">
        <v>25</v>
      </c>
      <c r="C28" t="s">
        <v>26</v>
      </c>
      <c r="D28" t="s">
        <v>1221</v>
      </c>
      <c r="E28">
        <v>2</v>
      </c>
      <c r="F28">
        <v>4</v>
      </c>
      <c r="G28" t="s">
        <v>543</v>
      </c>
      <c r="H28">
        <v>7</v>
      </c>
      <c r="I28" t="s">
        <v>28</v>
      </c>
      <c r="J28">
        <v>22</v>
      </c>
      <c r="K28">
        <v>31</v>
      </c>
      <c r="L28">
        <v>26</v>
      </c>
      <c r="M28" t="s">
        <v>186</v>
      </c>
      <c r="N28">
        <v>2450</v>
      </c>
      <c r="O28">
        <v>5</v>
      </c>
      <c r="P28">
        <v>5</v>
      </c>
      <c r="Q28">
        <v>399</v>
      </c>
      <c r="R28">
        <v>287</v>
      </c>
      <c r="S28">
        <v>349</v>
      </c>
      <c r="U28">
        <v>2750</v>
      </c>
      <c r="V28" t="s">
        <v>30</v>
      </c>
      <c r="W28" t="s">
        <v>528</v>
      </c>
      <c r="X28" t="s">
        <v>524</v>
      </c>
    </row>
    <row r="29" spans="1:24" x14ac:dyDescent="0.25">
      <c r="A29">
        <v>2025</v>
      </c>
      <c r="B29" t="s">
        <v>25</v>
      </c>
      <c r="C29" t="s">
        <v>26</v>
      </c>
      <c r="D29" t="s">
        <v>1220</v>
      </c>
      <c r="E29">
        <v>2</v>
      </c>
      <c r="F29">
        <v>4</v>
      </c>
      <c r="G29" t="s">
        <v>543</v>
      </c>
      <c r="H29">
        <v>7</v>
      </c>
      <c r="I29" t="s">
        <v>28</v>
      </c>
      <c r="J29">
        <v>26</v>
      </c>
      <c r="K29">
        <v>36</v>
      </c>
      <c r="L29">
        <v>29</v>
      </c>
      <c r="M29" t="s">
        <v>186</v>
      </c>
      <c r="N29">
        <v>2200</v>
      </c>
      <c r="O29">
        <v>6</v>
      </c>
      <c r="P29">
        <v>6</v>
      </c>
      <c r="Q29">
        <v>344</v>
      </c>
      <c r="R29">
        <v>248</v>
      </c>
      <c r="S29">
        <v>301</v>
      </c>
      <c r="U29">
        <v>1500</v>
      </c>
      <c r="V29" t="s">
        <v>30</v>
      </c>
      <c r="W29" t="s">
        <v>528</v>
      </c>
      <c r="X29" t="s">
        <v>524</v>
      </c>
    </row>
    <row r="30" spans="1:24" x14ac:dyDescent="0.25">
      <c r="A30">
        <v>2025</v>
      </c>
      <c r="B30" t="s">
        <v>25</v>
      </c>
      <c r="C30" t="s">
        <v>26</v>
      </c>
      <c r="D30" t="s">
        <v>1219</v>
      </c>
      <c r="E30">
        <v>2</v>
      </c>
      <c r="F30">
        <v>4</v>
      </c>
      <c r="G30" t="s">
        <v>543</v>
      </c>
      <c r="H30">
        <v>7</v>
      </c>
      <c r="I30" t="s">
        <v>28</v>
      </c>
      <c r="J30">
        <v>23</v>
      </c>
      <c r="K30">
        <v>32</v>
      </c>
      <c r="L30">
        <v>26</v>
      </c>
      <c r="M30" t="s">
        <v>186</v>
      </c>
      <c r="N30">
        <v>2450</v>
      </c>
      <c r="O30">
        <v>5</v>
      </c>
      <c r="P30">
        <v>5</v>
      </c>
      <c r="Q30">
        <v>389</v>
      </c>
      <c r="R30">
        <v>279</v>
      </c>
      <c r="S30">
        <v>339</v>
      </c>
      <c r="U30">
        <v>2750</v>
      </c>
      <c r="V30" t="s">
        <v>30</v>
      </c>
      <c r="W30" t="s">
        <v>528</v>
      </c>
      <c r="X30" t="s">
        <v>524</v>
      </c>
    </row>
    <row r="31" spans="1:24" x14ac:dyDescent="0.25">
      <c r="A31">
        <v>2025</v>
      </c>
      <c r="B31" t="s">
        <v>25</v>
      </c>
      <c r="C31" t="s">
        <v>26</v>
      </c>
      <c r="D31" t="s">
        <v>1218</v>
      </c>
      <c r="E31">
        <v>3</v>
      </c>
      <c r="F31">
        <v>6</v>
      </c>
      <c r="G31" t="s">
        <v>543</v>
      </c>
      <c r="H31">
        <v>7</v>
      </c>
      <c r="I31" t="s">
        <v>28</v>
      </c>
      <c r="J31">
        <v>22</v>
      </c>
      <c r="K31">
        <v>30</v>
      </c>
      <c r="L31">
        <v>25</v>
      </c>
      <c r="M31" t="s">
        <v>313</v>
      </c>
      <c r="N31">
        <v>2550</v>
      </c>
      <c r="O31">
        <v>5</v>
      </c>
      <c r="P31">
        <v>5</v>
      </c>
      <c r="Q31">
        <v>406</v>
      </c>
      <c r="R31">
        <v>295</v>
      </c>
      <c r="S31">
        <v>356</v>
      </c>
      <c r="U31">
        <v>3250</v>
      </c>
      <c r="V31" t="s">
        <v>30</v>
      </c>
      <c r="W31" t="s">
        <v>528</v>
      </c>
      <c r="X31" t="s">
        <v>524</v>
      </c>
    </row>
    <row r="32" spans="1:24" x14ac:dyDescent="0.25">
      <c r="A32">
        <v>2025</v>
      </c>
      <c r="B32" t="s">
        <v>25</v>
      </c>
      <c r="C32" t="s">
        <v>26</v>
      </c>
      <c r="D32" t="s">
        <v>1217</v>
      </c>
      <c r="E32">
        <v>2</v>
      </c>
      <c r="F32">
        <v>4</v>
      </c>
      <c r="G32" t="s">
        <v>543</v>
      </c>
      <c r="H32">
        <v>7</v>
      </c>
      <c r="I32" t="s">
        <v>28</v>
      </c>
      <c r="J32">
        <v>24</v>
      </c>
      <c r="K32">
        <v>31</v>
      </c>
      <c r="L32">
        <v>26</v>
      </c>
      <c r="M32" t="s">
        <v>186</v>
      </c>
      <c r="N32">
        <v>2450</v>
      </c>
      <c r="O32">
        <v>5</v>
      </c>
      <c r="P32">
        <v>5</v>
      </c>
      <c r="Q32">
        <v>379</v>
      </c>
      <c r="R32">
        <v>291</v>
      </c>
      <c r="S32">
        <v>339</v>
      </c>
      <c r="U32">
        <v>2750</v>
      </c>
      <c r="V32" t="s">
        <v>30</v>
      </c>
      <c r="W32" t="s">
        <v>528</v>
      </c>
      <c r="X32" t="s">
        <v>524</v>
      </c>
    </row>
    <row r="33" spans="1:24" x14ac:dyDescent="0.25">
      <c r="A33">
        <v>2025</v>
      </c>
      <c r="B33" t="s">
        <v>25</v>
      </c>
      <c r="C33" t="s">
        <v>26</v>
      </c>
      <c r="D33" t="s">
        <v>1217</v>
      </c>
      <c r="E33">
        <v>3</v>
      </c>
      <c r="F33">
        <v>6</v>
      </c>
      <c r="G33" t="s">
        <v>543</v>
      </c>
      <c r="H33">
        <v>7</v>
      </c>
      <c r="I33" t="s">
        <v>28</v>
      </c>
      <c r="J33">
        <v>22</v>
      </c>
      <c r="K33">
        <v>30</v>
      </c>
      <c r="L33">
        <v>25</v>
      </c>
      <c r="M33" t="s">
        <v>186</v>
      </c>
      <c r="N33">
        <v>2550</v>
      </c>
      <c r="O33">
        <v>5</v>
      </c>
      <c r="P33">
        <v>5</v>
      </c>
      <c r="Q33">
        <v>406</v>
      </c>
      <c r="R33">
        <v>295</v>
      </c>
      <c r="S33">
        <v>356</v>
      </c>
      <c r="U33">
        <v>3250</v>
      </c>
      <c r="V33" t="s">
        <v>30</v>
      </c>
      <c r="W33" t="s">
        <v>528</v>
      </c>
      <c r="X33" t="s">
        <v>524</v>
      </c>
    </row>
    <row r="34" spans="1:24" x14ac:dyDescent="0.25">
      <c r="A34">
        <v>2025</v>
      </c>
      <c r="B34" t="s">
        <v>25</v>
      </c>
      <c r="C34" t="s">
        <v>26</v>
      </c>
      <c r="D34" t="s">
        <v>1216</v>
      </c>
      <c r="E34">
        <v>3</v>
      </c>
      <c r="F34">
        <v>6</v>
      </c>
      <c r="G34" t="s">
        <v>543</v>
      </c>
      <c r="H34">
        <v>7</v>
      </c>
      <c r="I34" t="s">
        <v>28</v>
      </c>
      <c r="J34">
        <v>22</v>
      </c>
      <c r="K34">
        <v>30</v>
      </c>
      <c r="L34">
        <v>25</v>
      </c>
      <c r="M34" t="s">
        <v>186</v>
      </c>
      <c r="N34">
        <v>2550</v>
      </c>
      <c r="O34">
        <v>5</v>
      </c>
      <c r="P34">
        <v>5</v>
      </c>
      <c r="Q34">
        <v>406</v>
      </c>
      <c r="R34">
        <v>295</v>
      </c>
      <c r="S34">
        <v>356</v>
      </c>
      <c r="U34">
        <v>3250</v>
      </c>
      <c r="V34" t="s">
        <v>30</v>
      </c>
      <c r="W34" t="s">
        <v>528</v>
      </c>
      <c r="X34" t="s">
        <v>524</v>
      </c>
    </row>
    <row r="35" spans="1:24" x14ac:dyDescent="0.25">
      <c r="A35">
        <v>2025</v>
      </c>
      <c r="B35" t="s">
        <v>25</v>
      </c>
      <c r="C35" t="s">
        <v>26</v>
      </c>
      <c r="D35" t="s">
        <v>1215</v>
      </c>
      <c r="E35">
        <v>3</v>
      </c>
      <c r="F35">
        <v>6</v>
      </c>
      <c r="G35" t="s">
        <v>526</v>
      </c>
      <c r="H35">
        <v>8</v>
      </c>
      <c r="I35" t="s">
        <v>28</v>
      </c>
      <c r="J35">
        <v>19</v>
      </c>
      <c r="K35">
        <v>27</v>
      </c>
      <c r="L35">
        <v>22</v>
      </c>
      <c r="M35" t="s">
        <v>95</v>
      </c>
      <c r="N35">
        <v>2900</v>
      </c>
      <c r="O35">
        <v>5</v>
      </c>
      <c r="P35">
        <v>5</v>
      </c>
      <c r="Q35">
        <v>480</v>
      </c>
      <c r="R35">
        <v>334</v>
      </c>
      <c r="S35">
        <v>414</v>
      </c>
      <c r="U35">
        <v>5000</v>
      </c>
      <c r="V35" t="s">
        <v>30</v>
      </c>
      <c r="W35" t="s">
        <v>528</v>
      </c>
      <c r="X35" t="s">
        <v>524</v>
      </c>
    </row>
    <row r="36" spans="1:24" x14ac:dyDescent="0.25">
      <c r="A36">
        <v>2025</v>
      </c>
      <c r="B36" t="s">
        <v>25</v>
      </c>
      <c r="C36" t="s">
        <v>26</v>
      </c>
      <c r="D36" t="s">
        <v>1214</v>
      </c>
      <c r="E36">
        <v>2</v>
      </c>
      <c r="F36">
        <v>4</v>
      </c>
      <c r="G36" t="s">
        <v>526</v>
      </c>
      <c r="H36">
        <v>8</v>
      </c>
      <c r="I36" t="s">
        <v>28</v>
      </c>
      <c r="J36">
        <v>22</v>
      </c>
      <c r="K36">
        <v>29</v>
      </c>
      <c r="L36">
        <v>25</v>
      </c>
      <c r="M36" t="s">
        <v>118</v>
      </c>
      <c r="N36">
        <v>2100</v>
      </c>
      <c r="O36">
        <v>5</v>
      </c>
      <c r="P36">
        <v>5</v>
      </c>
      <c r="Q36">
        <v>406</v>
      </c>
      <c r="R36">
        <v>303</v>
      </c>
      <c r="S36">
        <v>360</v>
      </c>
      <c r="U36">
        <v>1000</v>
      </c>
      <c r="V36" t="s">
        <v>30</v>
      </c>
      <c r="W36" t="s">
        <v>528</v>
      </c>
      <c r="X36" t="s">
        <v>524</v>
      </c>
    </row>
    <row r="37" spans="1:24" x14ac:dyDescent="0.25">
      <c r="A37">
        <v>2025</v>
      </c>
      <c r="B37" t="s">
        <v>25</v>
      </c>
      <c r="C37" t="s">
        <v>26</v>
      </c>
      <c r="D37" t="s">
        <v>1213</v>
      </c>
      <c r="E37">
        <v>2</v>
      </c>
      <c r="F37">
        <v>4</v>
      </c>
      <c r="G37" t="s">
        <v>526</v>
      </c>
      <c r="H37">
        <v>8</v>
      </c>
      <c r="I37" t="s">
        <v>28</v>
      </c>
      <c r="J37">
        <v>20</v>
      </c>
      <c r="K37">
        <v>28</v>
      </c>
      <c r="L37">
        <v>23</v>
      </c>
      <c r="M37" t="s">
        <v>118</v>
      </c>
      <c r="N37">
        <v>2300</v>
      </c>
      <c r="O37">
        <v>5</v>
      </c>
      <c r="P37">
        <v>5</v>
      </c>
      <c r="Q37">
        <v>445</v>
      </c>
      <c r="R37">
        <v>314</v>
      </c>
      <c r="S37">
        <v>386</v>
      </c>
      <c r="U37">
        <v>2000</v>
      </c>
      <c r="V37" t="s">
        <v>30</v>
      </c>
      <c r="W37" t="s">
        <v>528</v>
      </c>
      <c r="X37" t="s">
        <v>524</v>
      </c>
    </row>
    <row r="38" spans="1:24" x14ac:dyDescent="0.25">
      <c r="A38">
        <v>2025</v>
      </c>
      <c r="B38" t="s">
        <v>25</v>
      </c>
      <c r="C38" t="s">
        <v>26</v>
      </c>
      <c r="D38" t="s">
        <v>1212</v>
      </c>
      <c r="E38">
        <v>2</v>
      </c>
      <c r="F38">
        <v>4</v>
      </c>
      <c r="G38" t="s">
        <v>543</v>
      </c>
      <c r="H38">
        <v>7</v>
      </c>
      <c r="I38" t="s">
        <v>28</v>
      </c>
      <c r="J38">
        <v>23</v>
      </c>
      <c r="K38">
        <v>29</v>
      </c>
      <c r="L38">
        <v>26</v>
      </c>
      <c r="M38" t="s">
        <v>118</v>
      </c>
      <c r="N38">
        <v>2450</v>
      </c>
      <c r="O38">
        <v>5</v>
      </c>
      <c r="P38">
        <v>5</v>
      </c>
      <c r="Q38">
        <v>382</v>
      </c>
      <c r="R38">
        <v>301</v>
      </c>
      <c r="S38">
        <v>346</v>
      </c>
      <c r="U38">
        <v>2750</v>
      </c>
      <c r="V38" t="s">
        <v>30</v>
      </c>
      <c r="W38" t="s">
        <v>528</v>
      </c>
      <c r="X38" t="s">
        <v>524</v>
      </c>
    </row>
    <row r="39" spans="1:24" x14ac:dyDescent="0.25">
      <c r="A39">
        <v>2025</v>
      </c>
      <c r="B39" t="s">
        <v>25</v>
      </c>
      <c r="C39" t="s">
        <v>26</v>
      </c>
      <c r="D39" t="s">
        <v>1211</v>
      </c>
      <c r="E39">
        <v>2</v>
      </c>
      <c r="F39">
        <v>4</v>
      </c>
      <c r="G39" t="s">
        <v>543</v>
      </c>
      <c r="H39">
        <v>7</v>
      </c>
      <c r="I39" t="s">
        <v>28</v>
      </c>
      <c r="J39">
        <v>22</v>
      </c>
      <c r="K39">
        <v>28</v>
      </c>
      <c r="L39">
        <v>25</v>
      </c>
      <c r="M39" t="s">
        <v>118</v>
      </c>
      <c r="N39">
        <v>2550</v>
      </c>
      <c r="O39">
        <v>5</v>
      </c>
      <c r="P39">
        <v>5</v>
      </c>
      <c r="Q39">
        <v>400</v>
      </c>
      <c r="R39">
        <v>319</v>
      </c>
      <c r="S39">
        <v>363</v>
      </c>
      <c r="U39">
        <v>3250</v>
      </c>
      <c r="V39" t="s">
        <v>30</v>
      </c>
      <c r="W39" t="s">
        <v>528</v>
      </c>
      <c r="X39" t="s">
        <v>524</v>
      </c>
    </row>
    <row r="40" spans="1:24" x14ac:dyDescent="0.25">
      <c r="A40">
        <v>2025</v>
      </c>
      <c r="B40" t="s">
        <v>25</v>
      </c>
      <c r="C40" t="s">
        <v>26</v>
      </c>
      <c r="D40" t="s">
        <v>1210</v>
      </c>
      <c r="E40">
        <v>2</v>
      </c>
      <c r="F40">
        <v>4</v>
      </c>
      <c r="G40" t="s">
        <v>543</v>
      </c>
      <c r="H40">
        <v>7</v>
      </c>
      <c r="I40" t="s">
        <v>28</v>
      </c>
      <c r="J40">
        <v>22</v>
      </c>
      <c r="K40">
        <v>28</v>
      </c>
      <c r="L40">
        <v>25</v>
      </c>
      <c r="M40" t="s">
        <v>118</v>
      </c>
      <c r="N40">
        <v>2550</v>
      </c>
      <c r="O40">
        <v>5</v>
      </c>
      <c r="P40">
        <v>5</v>
      </c>
      <c r="Q40">
        <v>400</v>
      </c>
      <c r="R40">
        <v>319</v>
      </c>
      <c r="S40">
        <v>363</v>
      </c>
      <c r="U40">
        <v>3250</v>
      </c>
      <c r="V40" t="s">
        <v>30</v>
      </c>
      <c r="W40" t="s">
        <v>528</v>
      </c>
      <c r="X40" t="s">
        <v>524</v>
      </c>
    </row>
    <row r="41" spans="1:24" x14ac:dyDescent="0.25">
      <c r="A41">
        <v>2025</v>
      </c>
      <c r="B41" t="s">
        <v>25</v>
      </c>
      <c r="C41" t="s">
        <v>26</v>
      </c>
      <c r="D41" t="s">
        <v>1209</v>
      </c>
      <c r="E41">
        <v>2</v>
      </c>
      <c r="F41">
        <v>4</v>
      </c>
      <c r="G41" t="s">
        <v>543</v>
      </c>
      <c r="H41">
        <v>7</v>
      </c>
      <c r="I41" t="s">
        <v>28</v>
      </c>
      <c r="J41">
        <v>22</v>
      </c>
      <c r="K41">
        <v>30</v>
      </c>
      <c r="L41">
        <v>25</v>
      </c>
      <c r="M41" t="s">
        <v>118</v>
      </c>
      <c r="N41">
        <v>2550</v>
      </c>
      <c r="O41">
        <v>5</v>
      </c>
      <c r="P41">
        <v>5</v>
      </c>
      <c r="Q41">
        <v>408</v>
      </c>
      <c r="R41">
        <v>298</v>
      </c>
      <c r="S41">
        <v>358</v>
      </c>
      <c r="U41">
        <v>3250</v>
      </c>
      <c r="V41" t="s">
        <v>30</v>
      </c>
      <c r="W41" t="s">
        <v>528</v>
      </c>
      <c r="X41" t="s">
        <v>524</v>
      </c>
    </row>
    <row r="42" spans="1:24" x14ac:dyDescent="0.25">
      <c r="A42">
        <v>2025</v>
      </c>
      <c r="B42" t="s">
        <v>25</v>
      </c>
      <c r="C42" t="s">
        <v>26</v>
      </c>
      <c r="D42" t="s">
        <v>1208</v>
      </c>
      <c r="E42">
        <v>2</v>
      </c>
      <c r="F42">
        <v>4</v>
      </c>
      <c r="G42" t="s">
        <v>543</v>
      </c>
      <c r="H42">
        <v>7</v>
      </c>
      <c r="I42" t="s">
        <v>28</v>
      </c>
      <c r="J42">
        <v>22</v>
      </c>
      <c r="K42">
        <v>30</v>
      </c>
      <c r="L42">
        <v>25</v>
      </c>
      <c r="M42" t="s">
        <v>118</v>
      </c>
      <c r="N42">
        <v>2550</v>
      </c>
      <c r="O42">
        <v>5</v>
      </c>
      <c r="P42">
        <v>5</v>
      </c>
      <c r="Q42">
        <v>408</v>
      </c>
      <c r="R42">
        <v>298</v>
      </c>
      <c r="S42">
        <v>358</v>
      </c>
      <c r="U42">
        <v>3250</v>
      </c>
      <c r="V42" t="s">
        <v>30</v>
      </c>
      <c r="W42" t="s">
        <v>528</v>
      </c>
      <c r="X42" t="s">
        <v>524</v>
      </c>
    </row>
    <row r="43" spans="1:24" x14ac:dyDescent="0.25">
      <c r="A43">
        <v>2025</v>
      </c>
      <c r="B43" t="s">
        <v>25</v>
      </c>
      <c r="C43" t="s">
        <v>26</v>
      </c>
      <c r="D43" t="s">
        <v>1207</v>
      </c>
      <c r="E43">
        <v>2</v>
      </c>
      <c r="F43">
        <v>4</v>
      </c>
      <c r="G43" t="s">
        <v>526</v>
      </c>
      <c r="H43">
        <v>8</v>
      </c>
      <c r="I43" t="s">
        <v>28</v>
      </c>
      <c r="J43">
        <v>20</v>
      </c>
      <c r="K43">
        <v>26</v>
      </c>
      <c r="L43">
        <v>22</v>
      </c>
      <c r="M43" t="s">
        <v>29</v>
      </c>
      <c r="N43">
        <v>2900</v>
      </c>
      <c r="O43">
        <v>5</v>
      </c>
      <c r="P43">
        <v>5</v>
      </c>
      <c r="Q43">
        <v>453</v>
      </c>
      <c r="R43">
        <v>347</v>
      </c>
      <c r="S43">
        <v>405</v>
      </c>
      <c r="U43">
        <v>5000</v>
      </c>
      <c r="V43" t="s">
        <v>30</v>
      </c>
      <c r="W43" t="s">
        <v>528</v>
      </c>
      <c r="X43" t="s">
        <v>524</v>
      </c>
    </row>
    <row r="44" spans="1:24" x14ac:dyDescent="0.25">
      <c r="A44">
        <v>2025</v>
      </c>
      <c r="B44" t="s">
        <v>25</v>
      </c>
      <c r="C44" t="s">
        <v>26</v>
      </c>
      <c r="D44" t="s">
        <v>1207</v>
      </c>
      <c r="E44">
        <v>3</v>
      </c>
      <c r="F44">
        <v>6</v>
      </c>
      <c r="G44" t="s">
        <v>526</v>
      </c>
      <c r="H44">
        <v>8</v>
      </c>
      <c r="I44" t="s">
        <v>28</v>
      </c>
      <c r="J44">
        <v>18</v>
      </c>
      <c r="K44">
        <v>23</v>
      </c>
      <c r="L44">
        <v>20</v>
      </c>
      <c r="M44" t="s">
        <v>29</v>
      </c>
      <c r="N44">
        <v>3200</v>
      </c>
      <c r="O44">
        <v>4</v>
      </c>
      <c r="P44">
        <v>4</v>
      </c>
      <c r="Q44">
        <v>492</v>
      </c>
      <c r="R44">
        <v>380</v>
      </c>
      <c r="S44">
        <v>442</v>
      </c>
      <c r="U44">
        <v>6500</v>
      </c>
      <c r="V44" t="s">
        <v>30</v>
      </c>
      <c r="W44" t="s">
        <v>528</v>
      </c>
      <c r="X44" t="s">
        <v>524</v>
      </c>
    </row>
    <row r="45" spans="1:24" x14ac:dyDescent="0.25">
      <c r="A45">
        <v>2025</v>
      </c>
      <c r="B45" t="s">
        <v>25</v>
      </c>
      <c r="C45" t="s">
        <v>26</v>
      </c>
      <c r="D45" t="s">
        <v>1206</v>
      </c>
      <c r="E45">
        <v>3</v>
      </c>
      <c r="F45">
        <v>6</v>
      </c>
      <c r="G45" t="s">
        <v>526</v>
      </c>
      <c r="H45">
        <v>8</v>
      </c>
      <c r="I45" t="s">
        <v>28</v>
      </c>
      <c r="J45">
        <v>17</v>
      </c>
      <c r="K45">
        <v>23</v>
      </c>
      <c r="L45">
        <v>19</v>
      </c>
      <c r="M45" t="s">
        <v>29</v>
      </c>
      <c r="N45">
        <v>3350</v>
      </c>
      <c r="O45">
        <v>4</v>
      </c>
      <c r="P45">
        <v>4</v>
      </c>
      <c r="Q45">
        <v>514</v>
      </c>
      <c r="R45">
        <v>392</v>
      </c>
      <c r="S45">
        <v>459</v>
      </c>
      <c r="U45">
        <v>7250</v>
      </c>
      <c r="V45" t="s">
        <v>30</v>
      </c>
      <c r="W45" t="s">
        <v>528</v>
      </c>
      <c r="X45" t="s">
        <v>524</v>
      </c>
    </row>
    <row r="46" spans="1:24" x14ac:dyDescent="0.25">
      <c r="A46">
        <v>2025</v>
      </c>
      <c r="B46" t="s">
        <v>25</v>
      </c>
      <c r="C46" t="s">
        <v>26</v>
      </c>
      <c r="D46" t="s">
        <v>1205</v>
      </c>
      <c r="E46">
        <v>2.5</v>
      </c>
      <c r="F46">
        <v>5</v>
      </c>
      <c r="G46" t="s">
        <v>543</v>
      </c>
      <c r="H46">
        <v>7</v>
      </c>
      <c r="I46" t="s">
        <v>28</v>
      </c>
      <c r="J46">
        <v>20</v>
      </c>
      <c r="K46">
        <v>29</v>
      </c>
      <c r="L46">
        <v>23</v>
      </c>
      <c r="M46" t="s">
        <v>36</v>
      </c>
      <c r="N46">
        <v>2750</v>
      </c>
      <c r="O46">
        <v>5</v>
      </c>
      <c r="P46">
        <v>5</v>
      </c>
      <c r="Q46">
        <v>453</v>
      </c>
      <c r="R46">
        <v>302</v>
      </c>
      <c r="S46">
        <v>385</v>
      </c>
      <c r="U46">
        <v>4250</v>
      </c>
      <c r="V46" t="s">
        <v>30</v>
      </c>
      <c r="W46" t="s">
        <v>528</v>
      </c>
      <c r="X46" t="s">
        <v>565</v>
      </c>
    </row>
    <row r="47" spans="1:24" x14ac:dyDescent="0.25">
      <c r="A47">
        <v>2025</v>
      </c>
      <c r="B47" t="s">
        <v>25</v>
      </c>
      <c r="C47" t="s">
        <v>26</v>
      </c>
      <c r="D47" t="s">
        <v>1204</v>
      </c>
      <c r="E47">
        <v>2.9</v>
      </c>
      <c r="F47">
        <v>6</v>
      </c>
      <c r="G47" t="s">
        <v>526</v>
      </c>
      <c r="H47">
        <v>8</v>
      </c>
      <c r="I47" t="s">
        <v>28</v>
      </c>
      <c r="J47">
        <v>18</v>
      </c>
      <c r="K47">
        <v>25</v>
      </c>
      <c r="L47">
        <v>20</v>
      </c>
      <c r="M47" t="s">
        <v>186</v>
      </c>
      <c r="N47">
        <v>3200</v>
      </c>
      <c r="O47">
        <v>4</v>
      </c>
      <c r="P47">
        <v>4</v>
      </c>
      <c r="Q47">
        <v>502</v>
      </c>
      <c r="R47">
        <v>361</v>
      </c>
      <c r="S47">
        <v>438</v>
      </c>
      <c r="U47">
        <v>6500</v>
      </c>
      <c r="V47" t="s">
        <v>30</v>
      </c>
      <c r="W47" t="s">
        <v>528</v>
      </c>
      <c r="X47" t="s">
        <v>565</v>
      </c>
    </row>
    <row r="48" spans="1:24" x14ac:dyDescent="0.25">
      <c r="A48">
        <v>2025</v>
      </c>
      <c r="B48" t="s">
        <v>25</v>
      </c>
      <c r="C48" t="s">
        <v>26</v>
      </c>
      <c r="D48" t="s">
        <v>1203</v>
      </c>
      <c r="E48">
        <v>4</v>
      </c>
      <c r="F48">
        <v>8</v>
      </c>
      <c r="G48" t="s">
        <v>526</v>
      </c>
      <c r="H48">
        <v>8</v>
      </c>
      <c r="I48" t="s">
        <v>28</v>
      </c>
      <c r="J48">
        <v>14</v>
      </c>
      <c r="K48">
        <v>21</v>
      </c>
      <c r="L48">
        <v>17</v>
      </c>
      <c r="M48" t="s">
        <v>313</v>
      </c>
      <c r="N48">
        <v>3750</v>
      </c>
      <c r="O48">
        <v>3</v>
      </c>
      <c r="P48">
        <v>3</v>
      </c>
      <c r="Q48">
        <v>638</v>
      </c>
      <c r="R48">
        <v>416</v>
      </c>
      <c r="S48">
        <v>538</v>
      </c>
      <c r="U48">
        <v>9250</v>
      </c>
      <c r="V48" t="s">
        <v>633</v>
      </c>
      <c r="W48" t="s">
        <v>528</v>
      </c>
      <c r="X48" t="s">
        <v>524</v>
      </c>
    </row>
    <row r="49" spans="1:24" x14ac:dyDescent="0.25">
      <c r="A49">
        <v>2025</v>
      </c>
      <c r="B49" t="s">
        <v>25</v>
      </c>
      <c r="C49" t="s">
        <v>26</v>
      </c>
      <c r="D49" t="s">
        <v>1202</v>
      </c>
      <c r="E49">
        <v>4</v>
      </c>
      <c r="F49">
        <v>8</v>
      </c>
      <c r="G49" t="s">
        <v>526</v>
      </c>
      <c r="H49">
        <v>8</v>
      </c>
      <c r="I49" t="s">
        <v>28</v>
      </c>
      <c r="J49">
        <v>14</v>
      </c>
      <c r="K49">
        <v>21</v>
      </c>
      <c r="L49">
        <v>17</v>
      </c>
      <c r="M49" t="s">
        <v>186</v>
      </c>
      <c r="N49">
        <v>3750</v>
      </c>
      <c r="O49">
        <v>3</v>
      </c>
      <c r="P49">
        <v>3</v>
      </c>
      <c r="Q49">
        <v>638</v>
      </c>
      <c r="R49">
        <v>416</v>
      </c>
      <c r="S49">
        <v>538</v>
      </c>
      <c r="U49">
        <v>9250</v>
      </c>
      <c r="V49" t="s">
        <v>633</v>
      </c>
      <c r="W49" t="s">
        <v>528</v>
      </c>
      <c r="X49" t="s">
        <v>524</v>
      </c>
    </row>
    <row r="50" spans="1:24" x14ac:dyDescent="0.25">
      <c r="A50">
        <v>2025</v>
      </c>
      <c r="B50" t="s">
        <v>25</v>
      </c>
      <c r="C50" t="s">
        <v>26</v>
      </c>
      <c r="D50" t="s">
        <v>1201</v>
      </c>
      <c r="E50">
        <v>4</v>
      </c>
      <c r="F50">
        <v>8</v>
      </c>
      <c r="G50" t="s">
        <v>526</v>
      </c>
      <c r="H50">
        <v>8</v>
      </c>
      <c r="I50" t="s">
        <v>28</v>
      </c>
      <c r="J50">
        <v>14</v>
      </c>
      <c r="K50">
        <v>20</v>
      </c>
      <c r="L50">
        <v>16</v>
      </c>
      <c r="M50" t="s">
        <v>29</v>
      </c>
      <c r="N50">
        <v>4000</v>
      </c>
      <c r="O50">
        <v>3</v>
      </c>
      <c r="P50">
        <v>3</v>
      </c>
      <c r="Q50">
        <v>622</v>
      </c>
      <c r="R50">
        <v>454</v>
      </c>
      <c r="S50">
        <v>547</v>
      </c>
      <c r="U50">
        <v>10500</v>
      </c>
      <c r="V50" t="s">
        <v>30</v>
      </c>
      <c r="W50" t="s">
        <v>528</v>
      </c>
      <c r="X50" t="s">
        <v>524</v>
      </c>
    </row>
    <row r="51" spans="1:24" x14ac:dyDescent="0.25">
      <c r="A51">
        <v>2025</v>
      </c>
      <c r="B51" t="s">
        <v>25</v>
      </c>
      <c r="C51" t="s">
        <v>26</v>
      </c>
      <c r="D51" t="s">
        <v>1200</v>
      </c>
      <c r="E51">
        <v>2</v>
      </c>
      <c r="F51">
        <v>4</v>
      </c>
      <c r="G51" t="s">
        <v>543</v>
      </c>
      <c r="H51">
        <v>7</v>
      </c>
      <c r="I51" t="s">
        <v>28</v>
      </c>
      <c r="J51">
        <v>23</v>
      </c>
      <c r="K51">
        <v>31</v>
      </c>
      <c r="L51">
        <v>26</v>
      </c>
      <c r="M51" t="s">
        <v>36</v>
      </c>
      <c r="N51">
        <v>2450</v>
      </c>
      <c r="O51">
        <v>5</v>
      </c>
      <c r="P51">
        <v>5</v>
      </c>
      <c r="Q51">
        <v>392</v>
      </c>
      <c r="R51">
        <v>285</v>
      </c>
      <c r="S51">
        <v>344</v>
      </c>
      <c r="U51">
        <v>2750</v>
      </c>
      <c r="V51" t="s">
        <v>30</v>
      </c>
      <c r="W51" t="s">
        <v>528</v>
      </c>
      <c r="X51" t="s">
        <v>524</v>
      </c>
    </row>
    <row r="52" spans="1:24" x14ac:dyDescent="0.25">
      <c r="A52">
        <v>2025</v>
      </c>
      <c r="B52" t="s">
        <v>25</v>
      </c>
      <c r="C52" t="s">
        <v>26</v>
      </c>
      <c r="D52" t="s">
        <v>1199</v>
      </c>
      <c r="E52">
        <v>3</v>
      </c>
      <c r="F52">
        <v>6</v>
      </c>
      <c r="G52" t="s">
        <v>526</v>
      </c>
      <c r="H52">
        <v>8</v>
      </c>
      <c r="I52" t="s">
        <v>28</v>
      </c>
      <c r="J52">
        <v>20</v>
      </c>
      <c r="K52">
        <v>29</v>
      </c>
      <c r="L52">
        <v>24</v>
      </c>
      <c r="M52" t="s">
        <v>75</v>
      </c>
      <c r="N52">
        <v>2650</v>
      </c>
      <c r="O52">
        <v>5</v>
      </c>
      <c r="P52">
        <v>5</v>
      </c>
      <c r="Q52">
        <v>433</v>
      </c>
      <c r="R52">
        <v>308</v>
      </c>
      <c r="S52">
        <v>377</v>
      </c>
      <c r="U52">
        <v>3750</v>
      </c>
      <c r="V52" t="s">
        <v>30</v>
      </c>
      <c r="W52" t="s">
        <v>528</v>
      </c>
      <c r="X52" t="s">
        <v>524</v>
      </c>
    </row>
    <row r="53" spans="1:24" x14ac:dyDescent="0.25">
      <c r="A53">
        <v>2025</v>
      </c>
      <c r="B53" t="s">
        <v>25</v>
      </c>
      <c r="C53" t="s">
        <v>26</v>
      </c>
      <c r="D53" t="s">
        <v>1198</v>
      </c>
      <c r="E53">
        <v>3</v>
      </c>
      <c r="F53">
        <v>6</v>
      </c>
      <c r="G53" t="s">
        <v>543</v>
      </c>
      <c r="H53">
        <v>7</v>
      </c>
      <c r="I53" t="s">
        <v>28</v>
      </c>
      <c r="J53">
        <v>19</v>
      </c>
      <c r="K53">
        <v>28</v>
      </c>
      <c r="L53">
        <v>22</v>
      </c>
      <c r="M53" t="s">
        <v>186</v>
      </c>
      <c r="N53">
        <v>2900</v>
      </c>
      <c r="O53">
        <v>5</v>
      </c>
      <c r="P53">
        <v>5</v>
      </c>
      <c r="Q53">
        <v>466</v>
      </c>
      <c r="R53">
        <v>314</v>
      </c>
      <c r="S53">
        <v>397</v>
      </c>
      <c r="U53">
        <v>5000</v>
      </c>
      <c r="V53" t="s">
        <v>30</v>
      </c>
      <c r="W53" t="s">
        <v>528</v>
      </c>
      <c r="X53" t="s">
        <v>524</v>
      </c>
    </row>
    <row r="54" spans="1:24" x14ac:dyDescent="0.25">
      <c r="A54">
        <v>2025</v>
      </c>
      <c r="B54" t="s">
        <v>25</v>
      </c>
      <c r="C54" t="s">
        <v>26</v>
      </c>
      <c r="D54" t="s">
        <v>1197</v>
      </c>
      <c r="E54">
        <v>3</v>
      </c>
      <c r="F54">
        <v>6</v>
      </c>
      <c r="G54" t="s">
        <v>526</v>
      </c>
      <c r="H54">
        <v>8</v>
      </c>
      <c r="I54" t="s">
        <v>28</v>
      </c>
      <c r="J54">
        <v>20</v>
      </c>
      <c r="K54">
        <v>29</v>
      </c>
      <c r="L54">
        <v>23</v>
      </c>
      <c r="M54" t="s">
        <v>186</v>
      </c>
      <c r="N54">
        <v>2750</v>
      </c>
      <c r="O54">
        <v>5</v>
      </c>
      <c r="P54">
        <v>5</v>
      </c>
      <c r="Q54">
        <v>444</v>
      </c>
      <c r="R54">
        <v>311</v>
      </c>
      <c r="S54">
        <v>384</v>
      </c>
      <c r="U54">
        <v>4250</v>
      </c>
      <c r="V54" t="s">
        <v>30</v>
      </c>
      <c r="W54" t="s">
        <v>528</v>
      </c>
      <c r="X54" t="s">
        <v>524</v>
      </c>
    </row>
    <row r="55" spans="1:24" x14ac:dyDescent="0.25">
      <c r="A55">
        <v>2025</v>
      </c>
      <c r="B55" t="s">
        <v>25</v>
      </c>
      <c r="C55" t="s">
        <v>26</v>
      </c>
      <c r="D55" t="s">
        <v>1196</v>
      </c>
      <c r="E55">
        <v>2.9</v>
      </c>
      <c r="F55">
        <v>6</v>
      </c>
      <c r="G55" t="s">
        <v>526</v>
      </c>
      <c r="H55">
        <v>8</v>
      </c>
      <c r="I55" t="s">
        <v>28</v>
      </c>
      <c r="J55">
        <v>19</v>
      </c>
      <c r="K55">
        <v>27</v>
      </c>
      <c r="L55">
        <v>22</v>
      </c>
      <c r="M55" t="s">
        <v>186</v>
      </c>
      <c r="N55">
        <v>2900</v>
      </c>
      <c r="O55">
        <v>5</v>
      </c>
      <c r="P55">
        <v>5</v>
      </c>
      <c r="Q55">
        <v>468</v>
      </c>
      <c r="R55">
        <v>335</v>
      </c>
      <c r="S55">
        <v>408</v>
      </c>
      <c r="U55">
        <v>5000</v>
      </c>
      <c r="V55" t="s">
        <v>30</v>
      </c>
      <c r="W55" t="s">
        <v>402</v>
      </c>
      <c r="X55" t="s">
        <v>524</v>
      </c>
    </row>
    <row r="56" spans="1:24" x14ac:dyDescent="0.25">
      <c r="A56">
        <v>2025</v>
      </c>
      <c r="B56" t="s">
        <v>25</v>
      </c>
      <c r="C56" t="s">
        <v>26</v>
      </c>
      <c r="D56" t="s">
        <v>1195</v>
      </c>
      <c r="E56">
        <v>2.9</v>
      </c>
      <c r="F56">
        <v>6</v>
      </c>
      <c r="G56" t="s">
        <v>526</v>
      </c>
      <c r="H56">
        <v>8</v>
      </c>
      <c r="I56" t="s">
        <v>28</v>
      </c>
      <c r="J56">
        <v>19</v>
      </c>
      <c r="K56">
        <v>27</v>
      </c>
      <c r="L56">
        <v>22</v>
      </c>
      <c r="M56" t="s">
        <v>186</v>
      </c>
      <c r="N56">
        <v>2900</v>
      </c>
      <c r="O56">
        <v>5</v>
      </c>
      <c r="P56">
        <v>5</v>
      </c>
      <c r="Q56">
        <v>468</v>
      </c>
      <c r="R56">
        <v>335</v>
      </c>
      <c r="S56">
        <v>408</v>
      </c>
      <c r="U56">
        <v>5000</v>
      </c>
      <c r="V56" t="s">
        <v>30</v>
      </c>
      <c r="W56" t="s">
        <v>402</v>
      </c>
      <c r="X56" t="s">
        <v>524</v>
      </c>
    </row>
    <row r="57" spans="1:24" x14ac:dyDescent="0.25">
      <c r="A57">
        <v>2025</v>
      </c>
      <c r="B57" t="s">
        <v>25</v>
      </c>
      <c r="C57" t="s">
        <v>26</v>
      </c>
      <c r="D57" t="s">
        <v>1194</v>
      </c>
      <c r="E57">
        <v>4</v>
      </c>
      <c r="F57">
        <v>8</v>
      </c>
      <c r="G57" t="s">
        <v>526</v>
      </c>
      <c r="H57">
        <v>8</v>
      </c>
      <c r="I57" t="s">
        <v>28</v>
      </c>
      <c r="J57">
        <v>15</v>
      </c>
      <c r="K57">
        <v>24</v>
      </c>
      <c r="L57">
        <v>18</v>
      </c>
      <c r="M57" t="s">
        <v>95</v>
      </c>
      <c r="N57">
        <v>3550</v>
      </c>
      <c r="O57">
        <v>4</v>
      </c>
      <c r="P57">
        <v>4</v>
      </c>
      <c r="Q57">
        <v>605</v>
      </c>
      <c r="R57">
        <v>377</v>
      </c>
      <c r="S57">
        <v>502</v>
      </c>
      <c r="U57">
        <v>8250</v>
      </c>
      <c r="V57" t="s">
        <v>30</v>
      </c>
      <c r="W57" t="s">
        <v>528</v>
      </c>
      <c r="X57" t="s">
        <v>524</v>
      </c>
    </row>
    <row r="58" spans="1:24" x14ac:dyDescent="0.25">
      <c r="A58">
        <v>2025</v>
      </c>
      <c r="B58" t="s">
        <v>25</v>
      </c>
      <c r="C58" t="s">
        <v>26</v>
      </c>
      <c r="D58" t="s">
        <v>1193</v>
      </c>
      <c r="E58">
        <v>3</v>
      </c>
      <c r="F58">
        <v>6</v>
      </c>
      <c r="G58" t="s">
        <v>526</v>
      </c>
      <c r="H58">
        <v>8</v>
      </c>
      <c r="I58" t="s">
        <v>28</v>
      </c>
      <c r="J58">
        <v>19</v>
      </c>
      <c r="K58">
        <v>24</v>
      </c>
      <c r="L58">
        <v>21</v>
      </c>
      <c r="M58" t="s">
        <v>118</v>
      </c>
      <c r="N58">
        <v>3050</v>
      </c>
      <c r="O58">
        <v>4</v>
      </c>
      <c r="P58">
        <v>4</v>
      </c>
      <c r="Q58">
        <v>474</v>
      </c>
      <c r="R58">
        <v>370</v>
      </c>
      <c r="S58">
        <v>427</v>
      </c>
      <c r="U58">
        <v>5750</v>
      </c>
      <c r="V58" t="s">
        <v>30</v>
      </c>
      <c r="W58" t="s">
        <v>528</v>
      </c>
      <c r="X58" t="s">
        <v>524</v>
      </c>
    </row>
    <row r="59" spans="1:24" x14ac:dyDescent="0.25">
      <c r="A59">
        <v>2025</v>
      </c>
      <c r="B59" t="s">
        <v>25</v>
      </c>
      <c r="C59" t="s">
        <v>26</v>
      </c>
      <c r="D59" t="s">
        <v>1193</v>
      </c>
      <c r="E59">
        <v>3</v>
      </c>
      <c r="F59">
        <v>6</v>
      </c>
      <c r="G59" t="s">
        <v>543</v>
      </c>
      <c r="H59">
        <v>7</v>
      </c>
      <c r="I59" t="s">
        <v>28</v>
      </c>
      <c r="J59">
        <v>19</v>
      </c>
      <c r="K59">
        <v>26</v>
      </c>
      <c r="L59">
        <v>22</v>
      </c>
      <c r="M59" t="s">
        <v>118</v>
      </c>
      <c r="N59">
        <v>2900</v>
      </c>
      <c r="O59">
        <v>5</v>
      </c>
      <c r="P59">
        <v>5</v>
      </c>
      <c r="Q59">
        <v>460</v>
      </c>
      <c r="R59">
        <v>336</v>
      </c>
      <c r="S59">
        <v>404</v>
      </c>
      <c r="U59">
        <v>5000</v>
      </c>
      <c r="V59" t="s">
        <v>30</v>
      </c>
      <c r="W59" t="s">
        <v>528</v>
      </c>
      <c r="X59" t="s">
        <v>524</v>
      </c>
    </row>
    <row r="60" spans="1:24" x14ac:dyDescent="0.25">
      <c r="A60">
        <v>2025</v>
      </c>
      <c r="B60" t="s">
        <v>25</v>
      </c>
      <c r="C60" t="s">
        <v>26</v>
      </c>
      <c r="D60" t="s">
        <v>1192</v>
      </c>
      <c r="E60">
        <v>3</v>
      </c>
      <c r="F60">
        <v>6</v>
      </c>
      <c r="G60" t="s">
        <v>526</v>
      </c>
      <c r="H60">
        <v>8</v>
      </c>
      <c r="I60" t="s">
        <v>28</v>
      </c>
      <c r="J60">
        <v>19</v>
      </c>
      <c r="K60">
        <v>24</v>
      </c>
      <c r="L60">
        <v>21</v>
      </c>
      <c r="M60" t="s">
        <v>118</v>
      </c>
      <c r="N60">
        <v>3050</v>
      </c>
      <c r="O60">
        <v>4</v>
      </c>
      <c r="P60">
        <v>4</v>
      </c>
      <c r="Q60">
        <v>474</v>
      </c>
      <c r="R60">
        <v>370</v>
      </c>
      <c r="S60">
        <v>427</v>
      </c>
      <c r="U60">
        <v>5750</v>
      </c>
      <c r="V60" t="s">
        <v>30</v>
      </c>
      <c r="W60" t="s">
        <v>528</v>
      </c>
      <c r="X60" t="s">
        <v>524</v>
      </c>
    </row>
    <row r="61" spans="1:24" x14ac:dyDescent="0.25">
      <c r="A61">
        <v>2025</v>
      </c>
      <c r="B61" t="s">
        <v>25</v>
      </c>
      <c r="C61" t="s">
        <v>26</v>
      </c>
      <c r="D61" t="s">
        <v>1192</v>
      </c>
      <c r="E61">
        <v>3</v>
      </c>
      <c r="F61">
        <v>6</v>
      </c>
      <c r="G61" t="s">
        <v>543</v>
      </c>
      <c r="H61">
        <v>7</v>
      </c>
      <c r="I61" t="s">
        <v>28</v>
      </c>
      <c r="J61">
        <v>19</v>
      </c>
      <c r="K61">
        <v>26</v>
      </c>
      <c r="L61">
        <v>22</v>
      </c>
      <c r="M61" t="s">
        <v>118</v>
      </c>
      <c r="N61">
        <v>2900</v>
      </c>
      <c r="O61">
        <v>5</v>
      </c>
      <c r="P61">
        <v>5</v>
      </c>
      <c r="Q61">
        <v>460</v>
      </c>
      <c r="R61">
        <v>336</v>
      </c>
      <c r="S61">
        <v>404</v>
      </c>
      <c r="U61">
        <v>5000</v>
      </c>
      <c r="V61" t="s">
        <v>30</v>
      </c>
      <c r="W61" t="s">
        <v>528</v>
      </c>
      <c r="X61" t="s">
        <v>524</v>
      </c>
    </row>
    <row r="62" spans="1:24" x14ac:dyDescent="0.25">
      <c r="A62">
        <v>2025</v>
      </c>
      <c r="B62" t="s">
        <v>25</v>
      </c>
      <c r="C62" t="s">
        <v>26</v>
      </c>
      <c r="D62" t="s">
        <v>1191</v>
      </c>
      <c r="E62">
        <v>4</v>
      </c>
      <c r="F62">
        <v>8</v>
      </c>
      <c r="G62" t="s">
        <v>526</v>
      </c>
      <c r="H62">
        <v>8</v>
      </c>
      <c r="I62" t="s">
        <v>28</v>
      </c>
      <c r="J62">
        <v>15</v>
      </c>
      <c r="K62">
        <v>21</v>
      </c>
      <c r="L62">
        <v>17</v>
      </c>
      <c r="M62" t="s">
        <v>29</v>
      </c>
      <c r="N62">
        <v>3750</v>
      </c>
      <c r="O62">
        <v>3</v>
      </c>
      <c r="P62">
        <v>3</v>
      </c>
      <c r="Q62">
        <v>604</v>
      </c>
      <c r="R62">
        <v>425</v>
      </c>
      <c r="S62">
        <v>524</v>
      </c>
      <c r="U62">
        <v>9250</v>
      </c>
      <c r="V62" t="s">
        <v>30</v>
      </c>
      <c r="W62" t="s">
        <v>528</v>
      </c>
      <c r="X62" t="s">
        <v>524</v>
      </c>
    </row>
    <row r="63" spans="1:24" x14ac:dyDescent="0.25">
      <c r="A63">
        <v>2025</v>
      </c>
      <c r="B63" t="s">
        <v>25</v>
      </c>
      <c r="C63" t="s">
        <v>26</v>
      </c>
      <c r="D63" t="s">
        <v>1190</v>
      </c>
      <c r="E63">
        <v>4</v>
      </c>
      <c r="F63">
        <v>8</v>
      </c>
      <c r="G63" t="s">
        <v>526</v>
      </c>
      <c r="H63">
        <v>8</v>
      </c>
      <c r="I63" t="s">
        <v>28</v>
      </c>
      <c r="J63">
        <v>15</v>
      </c>
      <c r="K63">
        <v>21</v>
      </c>
      <c r="L63">
        <v>17</v>
      </c>
      <c r="M63" t="s">
        <v>29</v>
      </c>
      <c r="N63">
        <v>3750</v>
      </c>
      <c r="O63">
        <v>3</v>
      </c>
      <c r="P63">
        <v>3</v>
      </c>
      <c r="Q63">
        <v>587</v>
      </c>
      <c r="R63">
        <v>432</v>
      </c>
      <c r="S63">
        <v>518</v>
      </c>
      <c r="U63">
        <v>9250</v>
      </c>
      <c r="V63" t="s">
        <v>30</v>
      </c>
      <c r="W63" t="s">
        <v>528</v>
      </c>
      <c r="X63" t="s">
        <v>524</v>
      </c>
    </row>
    <row r="64" spans="1:24" x14ac:dyDescent="0.25">
      <c r="A64">
        <v>2025</v>
      </c>
      <c r="B64" t="s">
        <v>25</v>
      </c>
      <c r="C64" t="s">
        <v>1188</v>
      </c>
      <c r="D64" t="s">
        <v>1189</v>
      </c>
      <c r="E64">
        <v>4</v>
      </c>
      <c r="F64">
        <v>8</v>
      </c>
      <c r="G64" t="s">
        <v>526</v>
      </c>
      <c r="H64">
        <v>8</v>
      </c>
      <c r="I64" t="s">
        <v>28</v>
      </c>
      <c r="J64">
        <v>14</v>
      </c>
      <c r="K64">
        <v>21</v>
      </c>
      <c r="L64">
        <v>16</v>
      </c>
      <c r="M64" t="s">
        <v>29</v>
      </c>
      <c r="N64">
        <v>4000</v>
      </c>
      <c r="O64">
        <v>3</v>
      </c>
      <c r="P64">
        <v>3</v>
      </c>
      <c r="Q64">
        <v>650</v>
      </c>
      <c r="R64">
        <v>433</v>
      </c>
      <c r="S64">
        <v>553</v>
      </c>
      <c r="U64">
        <v>10500</v>
      </c>
      <c r="V64" t="s">
        <v>30</v>
      </c>
      <c r="W64" t="s">
        <v>528</v>
      </c>
      <c r="X64" t="s">
        <v>524</v>
      </c>
    </row>
    <row r="65" spans="1:24" x14ac:dyDescent="0.25">
      <c r="A65">
        <v>2025</v>
      </c>
      <c r="B65" t="s">
        <v>25</v>
      </c>
      <c r="C65" t="s">
        <v>1188</v>
      </c>
      <c r="D65" t="s">
        <v>1187</v>
      </c>
      <c r="E65">
        <v>4</v>
      </c>
      <c r="F65">
        <v>8</v>
      </c>
      <c r="G65" t="s">
        <v>526</v>
      </c>
      <c r="H65">
        <v>8</v>
      </c>
      <c r="I65" t="s">
        <v>28</v>
      </c>
      <c r="J65">
        <v>14</v>
      </c>
      <c r="K65">
        <v>21</v>
      </c>
      <c r="L65">
        <v>16</v>
      </c>
      <c r="M65" t="s">
        <v>29</v>
      </c>
      <c r="N65">
        <v>4000</v>
      </c>
      <c r="O65">
        <v>3</v>
      </c>
      <c r="P65">
        <v>3</v>
      </c>
      <c r="Q65">
        <v>650</v>
      </c>
      <c r="R65">
        <v>433</v>
      </c>
      <c r="S65">
        <v>553</v>
      </c>
      <c r="U65">
        <v>10500</v>
      </c>
      <c r="V65" t="s">
        <v>30</v>
      </c>
      <c r="W65" t="s">
        <v>528</v>
      </c>
      <c r="X65" t="s">
        <v>524</v>
      </c>
    </row>
    <row r="66" spans="1:24" x14ac:dyDescent="0.25">
      <c r="A66">
        <v>2025</v>
      </c>
      <c r="B66" t="s">
        <v>63</v>
      </c>
      <c r="C66" t="s">
        <v>63</v>
      </c>
      <c r="D66" t="s">
        <v>1186</v>
      </c>
      <c r="E66">
        <v>2</v>
      </c>
      <c r="F66">
        <v>4</v>
      </c>
      <c r="G66" t="s">
        <v>543</v>
      </c>
      <c r="H66">
        <v>7</v>
      </c>
      <c r="I66" t="s">
        <v>28</v>
      </c>
      <c r="J66">
        <v>26</v>
      </c>
      <c r="K66">
        <v>38</v>
      </c>
      <c r="L66">
        <v>30</v>
      </c>
      <c r="M66" t="s">
        <v>75</v>
      </c>
      <c r="N66">
        <v>2100</v>
      </c>
      <c r="O66">
        <v>6</v>
      </c>
      <c r="P66">
        <v>6</v>
      </c>
      <c r="Q66">
        <v>333</v>
      </c>
      <c r="R66">
        <v>233</v>
      </c>
      <c r="S66">
        <v>288</v>
      </c>
      <c r="U66">
        <v>1000</v>
      </c>
      <c r="V66" t="s">
        <v>30</v>
      </c>
      <c r="W66" t="s">
        <v>528</v>
      </c>
      <c r="X66" t="s">
        <v>524</v>
      </c>
    </row>
    <row r="67" spans="1:24" x14ac:dyDescent="0.25">
      <c r="A67">
        <v>2025</v>
      </c>
      <c r="B67" t="s">
        <v>63</v>
      </c>
      <c r="C67" t="s">
        <v>63</v>
      </c>
      <c r="D67" t="s">
        <v>1185</v>
      </c>
      <c r="E67">
        <v>2</v>
      </c>
      <c r="F67">
        <v>4</v>
      </c>
      <c r="G67" t="s">
        <v>526</v>
      </c>
      <c r="H67">
        <v>8</v>
      </c>
      <c r="I67" t="s">
        <v>46</v>
      </c>
      <c r="J67">
        <v>26</v>
      </c>
      <c r="K67">
        <v>35</v>
      </c>
      <c r="L67">
        <v>30</v>
      </c>
      <c r="M67" t="s">
        <v>36</v>
      </c>
      <c r="N67">
        <v>2100</v>
      </c>
      <c r="O67">
        <v>6</v>
      </c>
      <c r="P67">
        <v>6</v>
      </c>
      <c r="Q67">
        <v>333</v>
      </c>
      <c r="R67">
        <v>251</v>
      </c>
      <c r="S67">
        <v>296</v>
      </c>
      <c r="U67">
        <v>1000</v>
      </c>
      <c r="V67" t="s">
        <v>30</v>
      </c>
      <c r="W67" t="s">
        <v>528</v>
      </c>
      <c r="X67" t="s">
        <v>524</v>
      </c>
    </row>
    <row r="68" spans="1:24" x14ac:dyDescent="0.25">
      <c r="A68">
        <v>2025</v>
      </c>
      <c r="B68" t="s">
        <v>63</v>
      </c>
      <c r="C68" t="s">
        <v>63</v>
      </c>
      <c r="D68" t="s">
        <v>1184</v>
      </c>
      <c r="E68">
        <v>2</v>
      </c>
      <c r="F68">
        <v>4</v>
      </c>
      <c r="G68" t="s">
        <v>526</v>
      </c>
      <c r="H68">
        <v>8</v>
      </c>
      <c r="I68" t="s">
        <v>28</v>
      </c>
      <c r="J68">
        <v>25</v>
      </c>
      <c r="K68">
        <v>33</v>
      </c>
      <c r="L68">
        <v>28</v>
      </c>
      <c r="M68" t="s">
        <v>36</v>
      </c>
      <c r="N68">
        <v>2300</v>
      </c>
      <c r="O68">
        <v>6</v>
      </c>
      <c r="P68">
        <v>6</v>
      </c>
      <c r="Q68">
        <v>355</v>
      </c>
      <c r="R68">
        <v>262</v>
      </c>
      <c r="S68">
        <v>313</v>
      </c>
      <c r="U68">
        <v>2000</v>
      </c>
      <c r="V68" t="s">
        <v>30</v>
      </c>
      <c r="W68" t="s">
        <v>528</v>
      </c>
      <c r="X68" t="s">
        <v>524</v>
      </c>
    </row>
    <row r="69" spans="1:24" x14ac:dyDescent="0.25">
      <c r="A69">
        <v>2025</v>
      </c>
      <c r="B69" t="s">
        <v>63</v>
      </c>
      <c r="C69" t="s">
        <v>63</v>
      </c>
      <c r="D69" t="s">
        <v>1183</v>
      </c>
      <c r="E69">
        <v>2</v>
      </c>
      <c r="F69">
        <v>4</v>
      </c>
      <c r="G69" t="s">
        <v>526</v>
      </c>
      <c r="H69">
        <v>8</v>
      </c>
      <c r="I69" t="s">
        <v>46</v>
      </c>
      <c r="J69">
        <v>28</v>
      </c>
      <c r="K69">
        <v>35</v>
      </c>
      <c r="L69">
        <v>31</v>
      </c>
      <c r="M69" t="s">
        <v>75</v>
      </c>
      <c r="N69">
        <v>2050</v>
      </c>
      <c r="O69">
        <v>6</v>
      </c>
      <c r="P69">
        <v>6</v>
      </c>
      <c r="Q69">
        <v>317</v>
      </c>
      <c r="R69">
        <v>248</v>
      </c>
      <c r="S69">
        <v>286</v>
      </c>
      <c r="U69">
        <v>750</v>
      </c>
      <c r="V69" t="s">
        <v>30</v>
      </c>
      <c r="W69" t="s">
        <v>528</v>
      </c>
      <c r="X69" t="s">
        <v>524</v>
      </c>
    </row>
    <row r="70" spans="1:24" x14ac:dyDescent="0.25">
      <c r="A70">
        <v>2025</v>
      </c>
      <c r="B70" t="s">
        <v>63</v>
      </c>
      <c r="C70" t="s">
        <v>63</v>
      </c>
      <c r="D70" t="s">
        <v>1182</v>
      </c>
      <c r="E70">
        <v>2</v>
      </c>
      <c r="F70">
        <v>4</v>
      </c>
      <c r="G70" t="s">
        <v>526</v>
      </c>
      <c r="H70">
        <v>8</v>
      </c>
      <c r="I70" t="s">
        <v>28</v>
      </c>
      <c r="J70">
        <v>26</v>
      </c>
      <c r="K70">
        <v>34</v>
      </c>
      <c r="L70">
        <v>29</v>
      </c>
      <c r="M70" t="s">
        <v>75</v>
      </c>
      <c r="N70">
        <v>2200</v>
      </c>
      <c r="O70">
        <v>6</v>
      </c>
      <c r="P70">
        <v>6</v>
      </c>
      <c r="Q70">
        <v>332</v>
      </c>
      <c r="R70">
        <v>256</v>
      </c>
      <c r="S70">
        <v>298</v>
      </c>
      <c r="U70">
        <v>1500</v>
      </c>
      <c r="V70" t="s">
        <v>30</v>
      </c>
      <c r="W70" t="s">
        <v>528</v>
      </c>
      <c r="X70" t="s">
        <v>524</v>
      </c>
    </row>
    <row r="71" spans="1:24" x14ac:dyDescent="0.25">
      <c r="A71">
        <v>2025</v>
      </c>
      <c r="B71" t="s">
        <v>63</v>
      </c>
      <c r="C71" t="s">
        <v>63</v>
      </c>
      <c r="D71" t="s">
        <v>1181</v>
      </c>
      <c r="E71">
        <v>2</v>
      </c>
      <c r="F71">
        <v>4</v>
      </c>
      <c r="G71" t="s">
        <v>526</v>
      </c>
      <c r="H71">
        <v>8</v>
      </c>
      <c r="I71" t="s">
        <v>46</v>
      </c>
      <c r="J71">
        <v>27</v>
      </c>
      <c r="K71">
        <v>35</v>
      </c>
      <c r="L71">
        <v>30</v>
      </c>
      <c r="M71" t="s">
        <v>36</v>
      </c>
      <c r="N71">
        <v>2100</v>
      </c>
      <c r="O71">
        <v>6</v>
      </c>
      <c r="P71">
        <v>6</v>
      </c>
      <c r="Q71">
        <v>329</v>
      </c>
      <c r="R71">
        <v>253</v>
      </c>
      <c r="S71">
        <v>295</v>
      </c>
      <c r="U71">
        <v>1000</v>
      </c>
      <c r="V71" t="s">
        <v>30</v>
      </c>
      <c r="W71" t="s">
        <v>528</v>
      </c>
      <c r="X71" t="s">
        <v>524</v>
      </c>
    </row>
    <row r="72" spans="1:24" x14ac:dyDescent="0.25">
      <c r="A72">
        <v>2025</v>
      </c>
      <c r="B72" t="s">
        <v>63</v>
      </c>
      <c r="C72" t="s">
        <v>63</v>
      </c>
      <c r="D72" t="s">
        <v>1180</v>
      </c>
      <c r="E72">
        <v>2</v>
      </c>
      <c r="F72">
        <v>4</v>
      </c>
      <c r="G72" t="s">
        <v>526</v>
      </c>
      <c r="H72">
        <v>8</v>
      </c>
      <c r="I72" t="s">
        <v>46</v>
      </c>
      <c r="J72">
        <v>28</v>
      </c>
      <c r="K72">
        <v>36</v>
      </c>
      <c r="L72">
        <v>31</v>
      </c>
      <c r="M72" t="s">
        <v>36</v>
      </c>
      <c r="N72">
        <v>2050</v>
      </c>
      <c r="O72">
        <v>6</v>
      </c>
      <c r="P72">
        <v>6</v>
      </c>
      <c r="Q72">
        <v>315</v>
      </c>
      <c r="R72">
        <v>248</v>
      </c>
      <c r="S72">
        <v>285</v>
      </c>
      <c r="U72">
        <v>750</v>
      </c>
      <c r="V72" t="s">
        <v>30</v>
      </c>
      <c r="W72" t="s">
        <v>528</v>
      </c>
      <c r="X72" t="s">
        <v>524</v>
      </c>
    </row>
    <row r="73" spans="1:24" x14ac:dyDescent="0.25">
      <c r="A73">
        <v>2025</v>
      </c>
      <c r="B73" t="s">
        <v>63</v>
      </c>
      <c r="C73" t="s">
        <v>63</v>
      </c>
      <c r="D73" t="s">
        <v>1179</v>
      </c>
      <c r="E73">
        <v>2</v>
      </c>
      <c r="F73">
        <v>4</v>
      </c>
      <c r="G73" t="s">
        <v>526</v>
      </c>
      <c r="H73">
        <v>8</v>
      </c>
      <c r="I73" t="s">
        <v>46</v>
      </c>
      <c r="J73">
        <v>27</v>
      </c>
      <c r="K73">
        <v>35</v>
      </c>
      <c r="L73">
        <v>30</v>
      </c>
      <c r="M73" t="s">
        <v>75</v>
      </c>
      <c r="N73">
        <v>2100</v>
      </c>
      <c r="O73">
        <v>6</v>
      </c>
      <c r="P73">
        <v>6</v>
      </c>
      <c r="Q73">
        <v>320</v>
      </c>
      <c r="R73">
        <v>252</v>
      </c>
      <c r="S73">
        <v>290</v>
      </c>
      <c r="U73">
        <v>1000</v>
      </c>
      <c r="V73" t="s">
        <v>30</v>
      </c>
      <c r="W73" t="s">
        <v>528</v>
      </c>
      <c r="X73" t="s">
        <v>524</v>
      </c>
    </row>
    <row r="74" spans="1:24" x14ac:dyDescent="0.25">
      <c r="A74">
        <v>2025</v>
      </c>
      <c r="B74" t="s">
        <v>63</v>
      </c>
      <c r="C74" t="s">
        <v>63</v>
      </c>
      <c r="D74" t="s">
        <v>1178</v>
      </c>
      <c r="E74">
        <v>2</v>
      </c>
      <c r="F74">
        <v>4</v>
      </c>
      <c r="G74" t="s">
        <v>526</v>
      </c>
      <c r="H74">
        <v>8</v>
      </c>
      <c r="I74" t="s">
        <v>28</v>
      </c>
      <c r="J74">
        <v>24</v>
      </c>
      <c r="K74">
        <v>33</v>
      </c>
      <c r="L74">
        <v>28</v>
      </c>
      <c r="M74" t="s">
        <v>36</v>
      </c>
      <c r="N74">
        <v>2300</v>
      </c>
      <c r="O74">
        <v>6</v>
      </c>
      <c r="P74">
        <v>6</v>
      </c>
      <c r="Q74">
        <v>359</v>
      </c>
      <c r="R74">
        <v>263</v>
      </c>
      <c r="S74">
        <v>316</v>
      </c>
      <c r="U74">
        <v>2000</v>
      </c>
      <c r="V74" t="s">
        <v>30</v>
      </c>
      <c r="W74" t="s">
        <v>528</v>
      </c>
      <c r="X74" t="s">
        <v>524</v>
      </c>
    </row>
    <row r="75" spans="1:24" x14ac:dyDescent="0.25">
      <c r="A75">
        <v>2025</v>
      </c>
      <c r="B75" t="s">
        <v>63</v>
      </c>
      <c r="C75" t="s">
        <v>63</v>
      </c>
      <c r="D75" t="s">
        <v>1177</v>
      </c>
      <c r="E75">
        <v>2</v>
      </c>
      <c r="F75">
        <v>4</v>
      </c>
      <c r="G75" t="s">
        <v>526</v>
      </c>
      <c r="H75">
        <v>8</v>
      </c>
      <c r="I75" t="s">
        <v>28</v>
      </c>
      <c r="J75">
        <v>27</v>
      </c>
      <c r="K75">
        <v>34</v>
      </c>
      <c r="L75">
        <v>30</v>
      </c>
      <c r="M75" t="s">
        <v>36</v>
      </c>
      <c r="N75">
        <v>2100</v>
      </c>
      <c r="O75">
        <v>6</v>
      </c>
      <c r="P75">
        <v>6</v>
      </c>
      <c r="Q75">
        <v>325</v>
      </c>
      <c r="R75">
        <v>256</v>
      </c>
      <c r="S75">
        <v>294</v>
      </c>
      <c r="U75">
        <v>1000</v>
      </c>
      <c r="V75" t="s">
        <v>30</v>
      </c>
      <c r="W75" t="s">
        <v>528</v>
      </c>
      <c r="X75" t="s">
        <v>524</v>
      </c>
    </row>
    <row r="76" spans="1:24" x14ac:dyDescent="0.25">
      <c r="A76">
        <v>2025</v>
      </c>
      <c r="B76" t="s">
        <v>63</v>
      </c>
      <c r="C76" t="s">
        <v>63</v>
      </c>
      <c r="D76" t="s">
        <v>1176</v>
      </c>
      <c r="E76">
        <v>2</v>
      </c>
      <c r="F76">
        <v>4</v>
      </c>
      <c r="G76" t="s">
        <v>526</v>
      </c>
      <c r="H76">
        <v>8</v>
      </c>
      <c r="I76" t="s">
        <v>28</v>
      </c>
      <c r="J76">
        <v>25</v>
      </c>
      <c r="K76">
        <v>34</v>
      </c>
      <c r="L76">
        <v>29</v>
      </c>
      <c r="M76" t="s">
        <v>75</v>
      </c>
      <c r="N76">
        <v>2200</v>
      </c>
      <c r="O76">
        <v>6</v>
      </c>
      <c r="P76">
        <v>6</v>
      </c>
      <c r="Q76">
        <v>345</v>
      </c>
      <c r="R76">
        <v>257</v>
      </c>
      <c r="S76">
        <v>305</v>
      </c>
      <c r="U76">
        <v>1500</v>
      </c>
      <c r="V76" t="s">
        <v>30</v>
      </c>
      <c r="W76" t="s">
        <v>528</v>
      </c>
      <c r="X76" t="s">
        <v>524</v>
      </c>
    </row>
    <row r="77" spans="1:24" x14ac:dyDescent="0.25">
      <c r="A77">
        <v>2025</v>
      </c>
      <c r="B77" t="s">
        <v>63</v>
      </c>
      <c r="C77" t="s">
        <v>63</v>
      </c>
      <c r="D77" t="s">
        <v>1175</v>
      </c>
      <c r="E77">
        <v>2</v>
      </c>
      <c r="F77">
        <v>4</v>
      </c>
      <c r="G77" t="s">
        <v>526</v>
      </c>
      <c r="H77">
        <v>8</v>
      </c>
      <c r="I77" t="s">
        <v>46</v>
      </c>
      <c r="J77">
        <v>28</v>
      </c>
      <c r="K77">
        <v>35</v>
      </c>
      <c r="L77">
        <v>31</v>
      </c>
      <c r="M77" t="s">
        <v>186</v>
      </c>
      <c r="N77">
        <v>2050</v>
      </c>
      <c r="O77">
        <v>6</v>
      </c>
      <c r="P77">
        <v>6</v>
      </c>
      <c r="Q77">
        <v>315</v>
      </c>
      <c r="R77">
        <v>249</v>
      </c>
      <c r="S77">
        <v>285</v>
      </c>
      <c r="U77">
        <v>750</v>
      </c>
      <c r="V77" t="s">
        <v>30</v>
      </c>
      <c r="W77" t="s">
        <v>528</v>
      </c>
      <c r="X77" t="s">
        <v>524</v>
      </c>
    </row>
    <row r="78" spans="1:24" x14ac:dyDescent="0.25">
      <c r="A78">
        <v>2025</v>
      </c>
      <c r="B78" t="s">
        <v>63</v>
      </c>
      <c r="C78" t="s">
        <v>63</v>
      </c>
      <c r="D78" t="s">
        <v>1174</v>
      </c>
      <c r="E78">
        <v>2</v>
      </c>
      <c r="F78">
        <v>4</v>
      </c>
      <c r="G78" t="s">
        <v>526</v>
      </c>
      <c r="H78">
        <v>8</v>
      </c>
      <c r="I78" t="s">
        <v>28</v>
      </c>
      <c r="J78">
        <v>27</v>
      </c>
      <c r="K78">
        <v>35</v>
      </c>
      <c r="L78">
        <v>30</v>
      </c>
      <c r="M78" t="s">
        <v>186</v>
      </c>
      <c r="N78">
        <v>2100</v>
      </c>
      <c r="O78">
        <v>6</v>
      </c>
      <c r="P78">
        <v>6</v>
      </c>
      <c r="Q78">
        <v>325</v>
      </c>
      <c r="R78">
        <v>253</v>
      </c>
      <c r="S78">
        <v>292</v>
      </c>
      <c r="U78">
        <v>1000</v>
      </c>
      <c r="V78" t="s">
        <v>30</v>
      </c>
      <c r="W78" t="s">
        <v>528</v>
      </c>
      <c r="X78" t="s">
        <v>524</v>
      </c>
    </row>
    <row r="79" spans="1:24" x14ac:dyDescent="0.25">
      <c r="A79">
        <v>2025</v>
      </c>
      <c r="B79" t="s">
        <v>63</v>
      </c>
      <c r="C79" t="s">
        <v>63</v>
      </c>
      <c r="D79" t="s">
        <v>1173</v>
      </c>
      <c r="E79">
        <v>3</v>
      </c>
      <c r="F79">
        <v>6</v>
      </c>
      <c r="G79" t="s">
        <v>526</v>
      </c>
      <c r="H79">
        <v>8</v>
      </c>
      <c r="I79" t="s">
        <v>28</v>
      </c>
      <c r="J79">
        <v>26</v>
      </c>
      <c r="K79">
        <v>33</v>
      </c>
      <c r="L79">
        <v>28</v>
      </c>
      <c r="M79" t="s">
        <v>186</v>
      </c>
      <c r="N79">
        <v>2300</v>
      </c>
      <c r="O79">
        <v>6</v>
      </c>
      <c r="P79">
        <v>6</v>
      </c>
      <c r="Q79">
        <v>339</v>
      </c>
      <c r="R79">
        <v>267</v>
      </c>
      <c r="S79">
        <v>307</v>
      </c>
      <c r="U79">
        <v>2000</v>
      </c>
      <c r="V79" t="s">
        <v>30</v>
      </c>
      <c r="W79" t="s">
        <v>528</v>
      </c>
      <c r="X79" t="s">
        <v>524</v>
      </c>
    </row>
    <row r="80" spans="1:24" x14ac:dyDescent="0.25">
      <c r="A80">
        <v>2025</v>
      </c>
      <c r="B80" t="s">
        <v>63</v>
      </c>
      <c r="C80" t="s">
        <v>63</v>
      </c>
      <c r="D80" t="s">
        <v>1172</v>
      </c>
      <c r="E80">
        <v>3</v>
      </c>
      <c r="F80">
        <v>6</v>
      </c>
      <c r="G80" t="s">
        <v>526</v>
      </c>
      <c r="H80">
        <v>8</v>
      </c>
      <c r="I80" t="s">
        <v>46</v>
      </c>
      <c r="J80">
        <v>25</v>
      </c>
      <c r="K80">
        <v>31</v>
      </c>
      <c r="L80">
        <v>28</v>
      </c>
      <c r="M80" t="s">
        <v>95</v>
      </c>
      <c r="N80">
        <v>2300</v>
      </c>
      <c r="O80">
        <v>6</v>
      </c>
      <c r="P80">
        <v>6</v>
      </c>
      <c r="Q80">
        <v>347</v>
      </c>
      <c r="R80">
        <v>279</v>
      </c>
      <c r="S80">
        <v>317</v>
      </c>
      <c r="U80">
        <v>2000</v>
      </c>
      <c r="V80" t="s">
        <v>30</v>
      </c>
      <c r="W80" t="s">
        <v>528</v>
      </c>
      <c r="X80" t="s">
        <v>524</v>
      </c>
    </row>
    <row r="81" spans="1:24" x14ac:dyDescent="0.25">
      <c r="A81">
        <v>2025</v>
      </c>
      <c r="B81" t="s">
        <v>63</v>
      </c>
      <c r="C81" t="s">
        <v>63</v>
      </c>
      <c r="D81" t="s">
        <v>1171</v>
      </c>
      <c r="E81">
        <v>3</v>
      </c>
      <c r="F81">
        <v>6</v>
      </c>
      <c r="G81" t="s">
        <v>526</v>
      </c>
      <c r="H81">
        <v>8</v>
      </c>
      <c r="I81" t="s">
        <v>28</v>
      </c>
      <c r="J81">
        <v>24</v>
      </c>
      <c r="K81">
        <v>31</v>
      </c>
      <c r="L81">
        <v>27</v>
      </c>
      <c r="M81" t="s">
        <v>95</v>
      </c>
      <c r="N81">
        <v>2350</v>
      </c>
      <c r="O81">
        <v>5</v>
      </c>
      <c r="P81">
        <v>5</v>
      </c>
      <c r="Q81">
        <v>359</v>
      </c>
      <c r="R81">
        <v>285</v>
      </c>
      <c r="S81">
        <v>326</v>
      </c>
      <c r="U81">
        <v>2250</v>
      </c>
      <c r="V81" t="s">
        <v>30</v>
      </c>
      <c r="W81" t="s">
        <v>528</v>
      </c>
      <c r="X81" t="s">
        <v>524</v>
      </c>
    </row>
    <row r="82" spans="1:24" x14ac:dyDescent="0.25">
      <c r="A82">
        <v>2025</v>
      </c>
      <c r="B82" t="s">
        <v>63</v>
      </c>
      <c r="C82" t="s">
        <v>63</v>
      </c>
      <c r="D82" t="s">
        <v>1170</v>
      </c>
      <c r="E82">
        <v>4.4000000000000004</v>
      </c>
      <c r="F82">
        <v>8</v>
      </c>
      <c r="G82" t="s">
        <v>526</v>
      </c>
      <c r="H82">
        <v>8</v>
      </c>
      <c r="I82" t="s">
        <v>28</v>
      </c>
      <c r="J82">
        <v>18</v>
      </c>
      <c r="K82">
        <v>25</v>
      </c>
      <c r="L82">
        <v>20</v>
      </c>
      <c r="M82" t="s">
        <v>95</v>
      </c>
      <c r="N82">
        <v>3200</v>
      </c>
      <c r="O82">
        <v>4</v>
      </c>
      <c r="P82">
        <v>4</v>
      </c>
      <c r="Q82">
        <v>494</v>
      </c>
      <c r="R82">
        <v>344</v>
      </c>
      <c r="S82">
        <v>427</v>
      </c>
      <c r="U82">
        <v>6500</v>
      </c>
      <c r="V82" t="s">
        <v>30</v>
      </c>
      <c r="W82" t="s">
        <v>528</v>
      </c>
      <c r="X82" t="s">
        <v>524</v>
      </c>
    </row>
    <row r="83" spans="1:24" x14ac:dyDescent="0.25">
      <c r="A83">
        <v>2025</v>
      </c>
      <c r="B83" t="s">
        <v>63</v>
      </c>
      <c r="C83" t="s">
        <v>63</v>
      </c>
      <c r="D83" t="s">
        <v>1169</v>
      </c>
      <c r="E83">
        <v>3</v>
      </c>
      <c r="F83">
        <v>6</v>
      </c>
      <c r="G83" t="s">
        <v>526</v>
      </c>
      <c r="H83">
        <v>8</v>
      </c>
      <c r="I83" t="s">
        <v>46</v>
      </c>
      <c r="J83">
        <v>21</v>
      </c>
      <c r="K83">
        <v>29</v>
      </c>
      <c r="L83">
        <v>24</v>
      </c>
      <c r="M83" t="s">
        <v>36</v>
      </c>
      <c r="N83">
        <v>2650</v>
      </c>
      <c r="O83">
        <v>5</v>
      </c>
      <c r="P83">
        <v>5</v>
      </c>
      <c r="Q83">
        <v>420</v>
      </c>
      <c r="R83">
        <v>305</v>
      </c>
      <c r="S83">
        <v>368</v>
      </c>
      <c r="U83">
        <v>3750</v>
      </c>
      <c r="V83" t="s">
        <v>30</v>
      </c>
      <c r="W83" t="s">
        <v>528</v>
      </c>
      <c r="X83" t="s">
        <v>524</v>
      </c>
    </row>
    <row r="84" spans="1:24" x14ac:dyDescent="0.25">
      <c r="A84">
        <v>2025</v>
      </c>
      <c r="B84" t="s">
        <v>63</v>
      </c>
      <c r="C84" t="s">
        <v>63</v>
      </c>
      <c r="D84" t="s">
        <v>1168</v>
      </c>
      <c r="E84">
        <v>3</v>
      </c>
      <c r="F84">
        <v>6</v>
      </c>
      <c r="G84" t="s">
        <v>526</v>
      </c>
      <c r="H84">
        <v>8</v>
      </c>
      <c r="I84" t="s">
        <v>46</v>
      </c>
      <c r="J84">
        <v>21</v>
      </c>
      <c r="K84">
        <v>29</v>
      </c>
      <c r="L84">
        <v>24</v>
      </c>
      <c r="M84" t="s">
        <v>36</v>
      </c>
      <c r="N84">
        <v>2650</v>
      </c>
      <c r="O84">
        <v>5</v>
      </c>
      <c r="P84">
        <v>5</v>
      </c>
      <c r="Q84">
        <v>420</v>
      </c>
      <c r="R84">
        <v>305</v>
      </c>
      <c r="S84">
        <v>368</v>
      </c>
      <c r="U84">
        <v>3750</v>
      </c>
      <c r="V84" t="s">
        <v>30</v>
      </c>
      <c r="W84" t="s">
        <v>528</v>
      </c>
      <c r="X84" t="s">
        <v>524</v>
      </c>
    </row>
    <row r="85" spans="1:24" x14ac:dyDescent="0.25">
      <c r="A85">
        <v>2025</v>
      </c>
      <c r="B85" t="s">
        <v>63</v>
      </c>
      <c r="C85" t="s">
        <v>63</v>
      </c>
      <c r="D85" t="s">
        <v>1167</v>
      </c>
      <c r="E85">
        <v>3</v>
      </c>
      <c r="F85">
        <v>6</v>
      </c>
      <c r="G85" t="s">
        <v>526</v>
      </c>
      <c r="H85">
        <v>8</v>
      </c>
      <c r="I85" t="s">
        <v>46</v>
      </c>
      <c r="J85">
        <v>21</v>
      </c>
      <c r="K85">
        <v>29</v>
      </c>
      <c r="L85">
        <v>24</v>
      </c>
      <c r="M85" t="s">
        <v>186</v>
      </c>
      <c r="N85">
        <v>2650</v>
      </c>
      <c r="O85">
        <v>5</v>
      </c>
      <c r="P85">
        <v>5</v>
      </c>
      <c r="Q85">
        <v>420</v>
      </c>
      <c r="R85">
        <v>305</v>
      </c>
      <c r="S85">
        <v>368</v>
      </c>
      <c r="U85">
        <v>3750</v>
      </c>
      <c r="V85" t="s">
        <v>30</v>
      </c>
      <c r="W85" t="s">
        <v>528</v>
      </c>
      <c r="X85" t="s">
        <v>524</v>
      </c>
    </row>
    <row r="86" spans="1:24" x14ac:dyDescent="0.25">
      <c r="A86">
        <v>2025</v>
      </c>
      <c r="B86" t="s">
        <v>63</v>
      </c>
      <c r="C86" t="s">
        <v>63</v>
      </c>
      <c r="D86" t="s">
        <v>1166</v>
      </c>
      <c r="E86">
        <v>3</v>
      </c>
      <c r="F86">
        <v>6</v>
      </c>
      <c r="G86" t="s">
        <v>526</v>
      </c>
      <c r="H86">
        <v>8</v>
      </c>
      <c r="I86" t="s">
        <v>28</v>
      </c>
      <c r="J86">
        <v>21</v>
      </c>
      <c r="K86">
        <v>29</v>
      </c>
      <c r="L86">
        <v>24</v>
      </c>
      <c r="M86" t="s">
        <v>36</v>
      </c>
      <c r="N86">
        <v>2650</v>
      </c>
      <c r="O86">
        <v>5</v>
      </c>
      <c r="P86">
        <v>5</v>
      </c>
      <c r="Q86">
        <v>426</v>
      </c>
      <c r="R86">
        <v>308</v>
      </c>
      <c r="S86">
        <v>373</v>
      </c>
      <c r="U86">
        <v>3750</v>
      </c>
      <c r="V86" t="s">
        <v>30</v>
      </c>
      <c r="W86" t="s">
        <v>528</v>
      </c>
      <c r="X86" t="s">
        <v>524</v>
      </c>
    </row>
    <row r="87" spans="1:24" x14ac:dyDescent="0.25">
      <c r="A87">
        <v>2025</v>
      </c>
      <c r="B87" t="s">
        <v>63</v>
      </c>
      <c r="C87" t="s">
        <v>63</v>
      </c>
      <c r="D87" t="s">
        <v>1165</v>
      </c>
      <c r="E87">
        <v>3</v>
      </c>
      <c r="F87">
        <v>6</v>
      </c>
      <c r="G87" t="s">
        <v>526</v>
      </c>
      <c r="H87">
        <v>8</v>
      </c>
      <c r="I87" t="s">
        <v>28</v>
      </c>
      <c r="J87">
        <v>21</v>
      </c>
      <c r="K87">
        <v>29</v>
      </c>
      <c r="L87">
        <v>24</v>
      </c>
      <c r="M87" t="s">
        <v>36</v>
      </c>
      <c r="N87">
        <v>2650</v>
      </c>
      <c r="O87">
        <v>5</v>
      </c>
      <c r="P87">
        <v>5</v>
      </c>
      <c r="Q87">
        <v>426</v>
      </c>
      <c r="R87">
        <v>308</v>
      </c>
      <c r="S87">
        <v>373</v>
      </c>
      <c r="U87">
        <v>3750</v>
      </c>
      <c r="V87" t="s">
        <v>30</v>
      </c>
      <c r="W87" t="s">
        <v>528</v>
      </c>
      <c r="X87" t="s">
        <v>524</v>
      </c>
    </row>
    <row r="88" spans="1:24" x14ac:dyDescent="0.25">
      <c r="A88">
        <v>2025</v>
      </c>
      <c r="B88" t="s">
        <v>63</v>
      </c>
      <c r="C88" t="s">
        <v>63</v>
      </c>
      <c r="D88" t="s">
        <v>1164</v>
      </c>
      <c r="E88">
        <v>3</v>
      </c>
      <c r="F88">
        <v>6</v>
      </c>
      <c r="G88" t="s">
        <v>526</v>
      </c>
      <c r="H88">
        <v>8</v>
      </c>
      <c r="I88" t="s">
        <v>28</v>
      </c>
      <c r="J88">
        <v>21</v>
      </c>
      <c r="K88">
        <v>29</v>
      </c>
      <c r="L88">
        <v>24</v>
      </c>
      <c r="M88" t="s">
        <v>186</v>
      </c>
      <c r="N88">
        <v>2650</v>
      </c>
      <c r="O88">
        <v>5</v>
      </c>
      <c r="P88">
        <v>5</v>
      </c>
      <c r="Q88">
        <v>426</v>
      </c>
      <c r="R88">
        <v>308</v>
      </c>
      <c r="S88">
        <v>373</v>
      </c>
      <c r="U88">
        <v>3750</v>
      </c>
      <c r="V88" t="s">
        <v>30</v>
      </c>
      <c r="W88" t="s">
        <v>528</v>
      </c>
      <c r="X88" t="s">
        <v>524</v>
      </c>
    </row>
    <row r="89" spans="1:24" x14ac:dyDescent="0.25">
      <c r="A89">
        <v>2025</v>
      </c>
      <c r="B89" t="s">
        <v>63</v>
      </c>
      <c r="C89" t="s">
        <v>63</v>
      </c>
      <c r="D89" t="s">
        <v>1163</v>
      </c>
      <c r="E89">
        <v>4.4000000000000004</v>
      </c>
      <c r="F89">
        <v>8</v>
      </c>
      <c r="G89" t="s">
        <v>526</v>
      </c>
      <c r="H89">
        <v>8</v>
      </c>
      <c r="I89" t="s">
        <v>28</v>
      </c>
      <c r="J89">
        <v>17</v>
      </c>
      <c r="K89">
        <v>24</v>
      </c>
      <c r="L89">
        <v>19</v>
      </c>
      <c r="M89" t="s">
        <v>186</v>
      </c>
      <c r="N89">
        <v>3350</v>
      </c>
      <c r="O89">
        <v>4</v>
      </c>
      <c r="P89">
        <v>4</v>
      </c>
      <c r="Q89">
        <v>530</v>
      </c>
      <c r="R89">
        <v>371</v>
      </c>
      <c r="S89">
        <v>458</v>
      </c>
      <c r="U89">
        <v>7250</v>
      </c>
      <c r="V89" t="s">
        <v>30</v>
      </c>
      <c r="W89" t="s">
        <v>528</v>
      </c>
      <c r="X89" t="s">
        <v>524</v>
      </c>
    </row>
    <row r="90" spans="1:24" x14ac:dyDescent="0.25">
      <c r="A90">
        <v>2025</v>
      </c>
      <c r="B90" t="s">
        <v>63</v>
      </c>
      <c r="C90" t="s">
        <v>63</v>
      </c>
      <c r="D90" t="s">
        <v>1162</v>
      </c>
      <c r="E90">
        <v>3</v>
      </c>
      <c r="F90">
        <v>6</v>
      </c>
      <c r="G90" t="s">
        <v>546</v>
      </c>
      <c r="H90">
        <v>6</v>
      </c>
      <c r="I90" t="s">
        <v>46</v>
      </c>
      <c r="J90">
        <v>16</v>
      </c>
      <c r="K90">
        <v>23</v>
      </c>
      <c r="L90">
        <v>19</v>
      </c>
      <c r="M90" t="s">
        <v>36</v>
      </c>
      <c r="N90">
        <v>3350</v>
      </c>
      <c r="O90">
        <v>4</v>
      </c>
      <c r="P90">
        <v>4</v>
      </c>
      <c r="Q90">
        <v>552</v>
      </c>
      <c r="R90">
        <v>377</v>
      </c>
      <c r="S90">
        <v>473</v>
      </c>
      <c r="U90">
        <v>7250</v>
      </c>
      <c r="V90" t="s">
        <v>30</v>
      </c>
      <c r="W90" t="s">
        <v>528</v>
      </c>
      <c r="X90" t="s">
        <v>524</v>
      </c>
    </row>
    <row r="91" spans="1:24" x14ac:dyDescent="0.25">
      <c r="A91">
        <v>2025</v>
      </c>
      <c r="B91" t="s">
        <v>63</v>
      </c>
      <c r="C91" t="s">
        <v>63</v>
      </c>
      <c r="D91" t="s">
        <v>1162</v>
      </c>
      <c r="E91">
        <v>3</v>
      </c>
      <c r="F91">
        <v>6</v>
      </c>
      <c r="G91" t="s">
        <v>526</v>
      </c>
      <c r="H91">
        <v>8</v>
      </c>
      <c r="I91" t="s">
        <v>46</v>
      </c>
      <c r="J91">
        <v>16</v>
      </c>
      <c r="K91">
        <v>23</v>
      </c>
      <c r="L91">
        <v>19</v>
      </c>
      <c r="M91" t="s">
        <v>36</v>
      </c>
      <c r="N91">
        <v>3350</v>
      </c>
      <c r="O91">
        <v>4</v>
      </c>
      <c r="P91">
        <v>4</v>
      </c>
      <c r="Q91">
        <v>535</v>
      </c>
      <c r="R91">
        <v>381</v>
      </c>
      <c r="S91">
        <v>466</v>
      </c>
      <c r="U91">
        <v>7250</v>
      </c>
      <c r="V91" t="s">
        <v>30</v>
      </c>
      <c r="W91" t="s">
        <v>528</v>
      </c>
      <c r="X91" t="s">
        <v>524</v>
      </c>
    </row>
    <row r="92" spans="1:24" x14ac:dyDescent="0.25">
      <c r="A92">
        <v>2025</v>
      </c>
      <c r="B92" t="s">
        <v>63</v>
      </c>
      <c r="C92" t="s">
        <v>63</v>
      </c>
      <c r="D92" t="s">
        <v>1161</v>
      </c>
      <c r="E92">
        <v>2</v>
      </c>
      <c r="F92">
        <v>4</v>
      </c>
      <c r="G92" t="s">
        <v>543</v>
      </c>
      <c r="H92">
        <v>7</v>
      </c>
      <c r="I92" t="s">
        <v>28</v>
      </c>
      <c r="J92">
        <v>24</v>
      </c>
      <c r="K92">
        <v>33</v>
      </c>
      <c r="L92">
        <v>27</v>
      </c>
      <c r="M92" t="s">
        <v>75</v>
      </c>
      <c r="N92">
        <v>2350</v>
      </c>
      <c r="O92">
        <v>5</v>
      </c>
      <c r="P92">
        <v>5</v>
      </c>
      <c r="Q92">
        <v>368</v>
      </c>
      <c r="R92">
        <v>264</v>
      </c>
      <c r="S92">
        <v>321</v>
      </c>
      <c r="U92">
        <v>2250</v>
      </c>
      <c r="V92" t="s">
        <v>30</v>
      </c>
      <c r="W92" t="s">
        <v>528</v>
      </c>
      <c r="X92" t="s">
        <v>524</v>
      </c>
    </row>
    <row r="93" spans="1:24" x14ac:dyDescent="0.25">
      <c r="A93">
        <v>2025</v>
      </c>
      <c r="B93" t="s">
        <v>63</v>
      </c>
      <c r="C93" t="s">
        <v>63</v>
      </c>
      <c r="D93" t="s">
        <v>1160</v>
      </c>
      <c r="E93">
        <v>3</v>
      </c>
      <c r="F93">
        <v>6</v>
      </c>
      <c r="G93" t="s">
        <v>526</v>
      </c>
      <c r="H93">
        <v>8</v>
      </c>
      <c r="I93" t="s">
        <v>46</v>
      </c>
      <c r="J93">
        <v>23</v>
      </c>
      <c r="K93">
        <v>32</v>
      </c>
      <c r="L93">
        <v>26</v>
      </c>
      <c r="M93" t="s">
        <v>36</v>
      </c>
      <c r="N93">
        <v>2450</v>
      </c>
      <c r="O93">
        <v>5</v>
      </c>
      <c r="P93">
        <v>5</v>
      </c>
      <c r="Q93">
        <v>391</v>
      </c>
      <c r="R93">
        <v>276</v>
      </c>
      <c r="S93">
        <v>339</v>
      </c>
      <c r="U93">
        <v>2750</v>
      </c>
      <c r="V93" t="s">
        <v>30</v>
      </c>
      <c r="W93" t="s">
        <v>528</v>
      </c>
      <c r="X93" t="s">
        <v>524</v>
      </c>
    </row>
    <row r="94" spans="1:24" x14ac:dyDescent="0.25">
      <c r="A94">
        <v>2025</v>
      </c>
      <c r="B94" t="s">
        <v>63</v>
      </c>
      <c r="C94" t="s">
        <v>63</v>
      </c>
      <c r="D94" t="s">
        <v>1159</v>
      </c>
      <c r="E94">
        <v>3</v>
      </c>
      <c r="F94">
        <v>6</v>
      </c>
      <c r="G94" t="s">
        <v>526</v>
      </c>
      <c r="H94">
        <v>8</v>
      </c>
      <c r="I94" t="s">
        <v>28</v>
      </c>
      <c r="J94">
        <v>23</v>
      </c>
      <c r="K94">
        <v>32</v>
      </c>
      <c r="L94">
        <v>26</v>
      </c>
      <c r="M94" t="s">
        <v>36</v>
      </c>
      <c r="N94">
        <v>2450</v>
      </c>
      <c r="O94">
        <v>5</v>
      </c>
      <c r="P94">
        <v>5</v>
      </c>
      <c r="Q94">
        <v>387</v>
      </c>
      <c r="R94">
        <v>274</v>
      </c>
      <c r="S94">
        <v>336</v>
      </c>
      <c r="U94">
        <v>2750</v>
      </c>
      <c r="V94" t="s">
        <v>30</v>
      </c>
      <c r="W94" t="s">
        <v>528</v>
      </c>
      <c r="X94" t="s">
        <v>524</v>
      </c>
    </row>
    <row r="95" spans="1:24" x14ac:dyDescent="0.25">
      <c r="A95">
        <v>2025</v>
      </c>
      <c r="B95" t="s">
        <v>63</v>
      </c>
      <c r="C95" t="s">
        <v>63</v>
      </c>
      <c r="D95" t="s">
        <v>1158</v>
      </c>
      <c r="E95">
        <v>3</v>
      </c>
      <c r="F95">
        <v>6</v>
      </c>
      <c r="G95" t="s">
        <v>526</v>
      </c>
      <c r="H95">
        <v>8</v>
      </c>
      <c r="I95" t="s">
        <v>28</v>
      </c>
      <c r="J95">
        <v>16</v>
      </c>
      <c r="K95">
        <v>23</v>
      </c>
      <c r="L95">
        <v>18</v>
      </c>
      <c r="M95" t="s">
        <v>75</v>
      </c>
      <c r="N95">
        <v>3550</v>
      </c>
      <c r="O95">
        <v>4</v>
      </c>
      <c r="P95">
        <v>4</v>
      </c>
      <c r="Q95">
        <v>556</v>
      </c>
      <c r="R95">
        <v>381</v>
      </c>
      <c r="S95">
        <v>477</v>
      </c>
      <c r="U95">
        <v>8250</v>
      </c>
      <c r="V95" t="s">
        <v>30</v>
      </c>
      <c r="W95" t="s">
        <v>528</v>
      </c>
      <c r="X95" t="s">
        <v>524</v>
      </c>
    </row>
    <row r="96" spans="1:24" x14ac:dyDescent="0.25">
      <c r="A96">
        <v>2025</v>
      </c>
      <c r="B96" t="s">
        <v>63</v>
      </c>
      <c r="C96" t="s">
        <v>63</v>
      </c>
      <c r="D96" t="s">
        <v>1157</v>
      </c>
      <c r="E96">
        <v>3</v>
      </c>
      <c r="F96">
        <v>6</v>
      </c>
      <c r="G96" t="s">
        <v>526</v>
      </c>
      <c r="H96">
        <v>8</v>
      </c>
      <c r="I96" t="s">
        <v>46</v>
      </c>
      <c r="J96">
        <v>16</v>
      </c>
      <c r="K96">
        <v>23</v>
      </c>
      <c r="L96">
        <v>19</v>
      </c>
      <c r="M96" t="s">
        <v>75</v>
      </c>
      <c r="N96">
        <v>3350</v>
      </c>
      <c r="O96">
        <v>4</v>
      </c>
      <c r="P96">
        <v>4</v>
      </c>
      <c r="Q96">
        <v>541</v>
      </c>
      <c r="R96">
        <v>383</v>
      </c>
      <c r="S96">
        <v>470</v>
      </c>
      <c r="U96">
        <v>7250</v>
      </c>
      <c r="V96" t="s">
        <v>30</v>
      </c>
      <c r="W96" t="s">
        <v>528</v>
      </c>
      <c r="X96" t="s">
        <v>524</v>
      </c>
    </row>
    <row r="97" spans="1:24" x14ac:dyDescent="0.25">
      <c r="A97">
        <v>2025</v>
      </c>
      <c r="B97" t="s">
        <v>63</v>
      </c>
      <c r="C97" t="s">
        <v>63</v>
      </c>
      <c r="D97" t="s">
        <v>1156</v>
      </c>
      <c r="E97">
        <v>3</v>
      </c>
      <c r="F97">
        <v>6</v>
      </c>
      <c r="G97" t="s">
        <v>546</v>
      </c>
      <c r="H97">
        <v>6</v>
      </c>
      <c r="I97" t="s">
        <v>46</v>
      </c>
      <c r="J97">
        <v>16</v>
      </c>
      <c r="K97">
        <v>23</v>
      </c>
      <c r="L97">
        <v>19</v>
      </c>
      <c r="M97" t="s">
        <v>75</v>
      </c>
      <c r="N97">
        <v>3350</v>
      </c>
      <c r="O97">
        <v>4</v>
      </c>
      <c r="P97">
        <v>4</v>
      </c>
      <c r="Q97">
        <v>548</v>
      </c>
      <c r="R97">
        <v>379</v>
      </c>
      <c r="S97">
        <v>472</v>
      </c>
      <c r="U97">
        <v>7250</v>
      </c>
      <c r="V97" t="s">
        <v>30</v>
      </c>
      <c r="W97" t="s">
        <v>528</v>
      </c>
      <c r="X97" t="s">
        <v>524</v>
      </c>
    </row>
    <row r="98" spans="1:24" x14ac:dyDescent="0.25">
      <c r="A98">
        <v>2025</v>
      </c>
      <c r="B98" t="s">
        <v>63</v>
      </c>
      <c r="C98" t="s">
        <v>63</v>
      </c>
      <c r="D98" t="s">
        <v>1155</v>
      </c>
      <c r="E98">
        <v>3</v>
      </c>
      <c r="F98">
        <v>4</v>
      </c>
      <c r="G98" t="s">
        <v>526</v>
      </c>
      <c r="H98">
        <v>8</v>
      </c>
      <c r="I98" t="s">
        <v>46</v>
      </c>
      <c r="J98">
        <v>27</v>
      </c>
      <c r="K98">
        <v>33</v>
      </c>
      <c r="L98">
        <v>29</v>
      </c>
      <c r="M98" t="s">
        <v>75</v>
      </c>
      <c r="N98">
        <v>2200</v>
      </c>
      <c r="O98">
        <v>6</v>
      </c>
      <c r="P98">
        <v>6</v>
      </c>
      <c r="Q98">
        <v>326</v>
      </c>
      <c r="R98">
        <v>265</v>
      </c>
      <c r="S98">
        <v>299</v>
      </c>
      <c r="U98">
        <v>1500</v>
      </c>
      <c r="V98" t="s">
        <v>30</v>
      </c>
      <c r="W98" t="s">
        <v>528</v>
      </c>
      <c r="X98" t="s">
        <v>524</v>
      </c>
    </row>
    <row r="99" spans="1:24" x14ac:dyDescent="0.25">
      <c r="A99">
        <v>2025</v>
      </c>
      <c r="B99" t="s">
        <v>63</v>
      </c>
      <c r="C99" t="s">
        <v>63</v>
      </c>
      <c r="D99" t="s">
        <v>1154</v>
      </c>
      <c r="E99">
        <v>3</v>
      </c>
      <c r="F99">
        <v>4</v>
      </c>
      <c r="G99" t="s">
        <v>526</v>
      </c>
      <c r="H99">
        <v>8</v>
      </c>
      <c r="I99" t="s">
        <v>28</v>
      </c>
      <c r="J99">
        <v>26</v>
      </c>
      <c r="K99">
        <v>33</v>
      </c>
      <c r="L99">
        <v>29</v>
      </c>
      <c r="M99" t="s">
        <v>75</v>
      </c>
      <c r="N99">
        <v>2200</v>
      </c>
      <c r="O99">
        <v>6</v>
      </c>
      <c r="P99">
        <v>6</v>
      </c>
      <c r="Q99">
        <v>336</v>
      </c>
      <c r="R99">
        <v>264</v>
      </c>
      <c r="S99">
        <v>304</v>
      </c>
      <c r="U99">
        <v>1500</v>
      </c>
      <c r="V99" t="s">
        <v>30</v>
      </c>
      <c r="W99" t="s">
        <v>528</v>
      </c>
      <c r="X99" t="s">
        <v>524</v>
      </c>
    </row>
    <row r="100" spans="1:24" x14ac:dyDescent="0.25">
      <c r="A100">
        <v>2025</v>
      </c>
      <c r="B100" t="s">
        <v>63</v>
      </c>
      <c r="C100" t="s">
        <v>63</v>
      </c>
      <c r="D100" t="s">
        <v>1153</v>
      </c>
      <c r="E100">
        <v>3</v>
      </c>
      <c r="F100">
        <v>6</v>
      </c>
      <c r="G100" t="s">
        <v>526</v>
      </c>
      <c r="H100">
        <v>8</v>
      </c>
      <c r="I100" t="s">
        <v>46</v>
      </c>
      <c r="J100">
        <v>16</v>
      </c>
      <c r="K100">
        <v>23</v>
      </c>
      <c r="L100">
        <v>19</v>
      </c>
      <c r="M100" t="s">
        <v>36</v>
      </c>
      <c r="N100">
        <v>3350</v>
      </c>
      <c r="O100">
        <v>4</v>
      </c>
      <c r="P100">
        <v>4</v>
      </c>
      <c r="Q100">
        <v>541</v>
      </c>
      <c r="R100">
        <v>383</v>
      </c>
      <c r="S100">
        <v>470</v>
      </c>
      <c r="U100">
        <v>7250</v>
      </c>
      <c r="V100" t="s">
        <v>30</v>
      </c>
      <c r="W100" t="s">
        <v>528</v>
      </c>
      <c r="X100" t="s">
        <v>524</v>
      </c>
    </row>
    <row r="101" spans="1:24" x14ac:dyDescent="0.25">
      <c r="A101">
        <v>2025</v>
      </c>
      <c r="B101" t="s">
        <v>63</v>
      </c>
      <c r="C101" t="s">
        <v>63</v>
      </c>
      <c r="D101" t="s">
        <v>1152</v>
      </c>
      <c r="E101">
        <v>3</v>
      </c>
      <c r="F101">
        <v>6</v>
      </c>
      <c r="G101" t="s">
        <v>526</v>
      </c>
      <c r="H101">
        <v>8</v>
      </c>
      <c r="I101" t="s">
        <v>28</v>
      </c>
      <c r="J101">
        <v>16</v>
      </c>
      <c r="K101">
        <v>23</v>
      </c>
      <c r="L101">
        <v>18</v>
      </c>
      <c r="M101" t="s">
        <v>36</v>
      </c>
      <c r="N101">
        <v>3550</v>
      </c>
      <c r="O101">
        <v>4</v>
      </c>
      <c r="P101">
        <v>4</v>
      </c>
      <c r="Q101">
        <v>547</v>
      </c>
      <c r="R101">
        <v>381</v>
      </c>
      <c r="S101">
        <v>472</v>
      </c>
      <c r="U101">
        <v>8250</v>
      </c>
      <c r="V101" t="s">
        <v>30</v>
      </c>
      <c r="W101" t="s">
        <v>528</v>
      </c>
      <c r="X101" t="s">
        <v>524</v>
      </c>
    </row>
    <row r="102" spans="1:24" x14ac:dyDescent="0.25">
      <c r="A102">
        <v>2025</v>
      </c>
      <c r="B102" t="s">
        <v>63</v>
      </c>
      <c r="C102" t="s">
        <v>63</v>
      </c>
      <c r="D102" t="s">
        <v>1151</v>
      </c>
      <c r="E102">
        <v>3</v>
      </c>
      <c r="F102">
        <v>6</v>
      </c>
      <c r="G102" t="s">
        <v>546</v>
      </c>
      <c r="H102">
        <v>6</v>
      </c>
      <c r="I102" t="s">
        <v>46</v>
      </c>
      <c r="J102">
        <v>16</v>
      </c>
      <c r="K102">
        <v>23</v>
      </c>
      <c r="L102">
        <v>19</v>
      </c>
      <c r="M102" t="s">
        <v>36</v>
      </c>
      <c r="N102">
        <v>3350</v>
      </c>
      <c r="O102">
        <v>4</v>
      </c>
      <c r="P102">
        <v>4</v>
      </c>
      <c r="Q102">
        <v>548</v>
      </c>
      <c r="R102">
        <v>379</v>
      </c>
      <c r="S102">
        <v>472</v>
      </c>
      <c r="U102">
        <v>7250</v>
      </c>
      <c r="V102" t="s">
        <v>30</v>
      </c>
      <c r="W102" t="s">
        <v>528</v>
      </c>
      <c r="X102" t="s">
        <v>524</v>
      </c>
    </row>
    <row r="103" spans="1:24" x14ac:dyDescent="0.25">
      <c r="A103">
        <v>2025</v>
      </c>
      <c r="B103" t="s">
        <v>63</v>
      </c>
      <c r="C103" t="s">
        <v>63</v>
      </c>
      <c r="D103" t="s">
        <v>1150</v>
      </c>
      <c r="E103">
        <v>3</v>
      </c>
      <c r="F103">
        <v>6</v>
      </c>
      <c r="G103" t="s">
        <v>526</v>
      </c>
      <c r="H103">
        <v>8</v>
      </c>
      <c r="I103" t="s">
        <v>28</v>
      </c>
      <c r="J103">
        <v>16</v>
      </c>
      <c r="K103">
        <v>23</v>
      </c>
      <c r="L103">
        <v>18</v>
      </c>
      <c r="M103" t="s">
        <v>36</v>
      </c>
      <c r="N103">
        <v>3550</v>
      </c>
      <c r="O103">
        <v>4</v>
      </c>
      <c r="P103">
        <v>4</v>
      </c>
      <c r="Q103">
        <v>557</v>
      </c>
      <c r="R103">
        <v>382</v>
      </c>
      <c r="S103">
        <v>478</v>
      </c>
      <c r="U103">
        <v>8250</v>
      </c>
      <c r="V103" t="s">
        <v>30</v>
      </c>
      <c r="W103" t="s">
        <v>528</v>
      </c>
      <c r="X103" t="s">
        <v>524</v>
      </c>
    </row>
    <row r="104" spans="1:24" x14ac:dyDescent="0.25">
      <c r="A104">
        <v>2025</v>
      </c>
      <c r="B104" t="s">
        <v>63</v>
      </c>
      <c r="C104" t="s">
        <v>63</v>
      </c>
      <c r="D104" t="s">
        <v>1149</v>
      </c>
      <c r="E104">
        <v>3</v>
      </c>
      <c r="F104">
        <v>4</v>
      </c>
      <c r="G104" t="s">
        <v>526</v>
      </c>
      <c r="H104">
        <v>8</v>
      </c>
      <c r="I104" t="s">
        <v>46</v>
      </c>
      <c r="J104">
        <v>27</v>
      </c>
      <c r="K104">
        <v>33</v>
      </c>
      <c r="L104">
        <v>29</v>
      </c>
      <c r="M104" t="s">
        <v>36</v>
      </c>
      <c r="N104">
        <v>2200</v>
      </c>
      <c r="O104">
        <v>6</v>
      </c>
      <c r="P104">
        <v>6</v>
      </c>
      <c r="Q104">
        <v>328</v>
      </c>
      <c r="R104">
        <v>267</v>
      </c>
      <c r="S104">
        <v>301</v>
      </c>
      <c r="U104">
        <v>1500</v>
      </c>
      <c r="V104" t="s">
        <v>30</v>
      </c>
      <c r="W104" t="s">
        <v>528</v>
      </c>
      <c r="X104" t="s">
        <v>524</v>
      </c>
    </row>
    <row r="105" spans="1:24" x14ac:dyDescent="0.25">
      <c r="A105">
        <v>2025</v>
      </c>
      <c r="B105" t="s">
        <v>63</v>
      </c>
      <c r="C105" t="s">
        <v>63</v>
      </c>
      <c r="D105" t="s">
        <v>1148</v>
      </c>
      <c r="E105">
        <v>3</v>
      </c>
      <c r="F105">
        <v>4</v>
      </c>
      <c r="G105" t="s">
        <v>526</v>
      </c>
      <c r="H105">
        <v>8</v>
      </c>
      <c r="I105" t="s">
        <v>46</v>
      </c>
      <c r="J105">
        <v>27</v>
      </c>
      <c r="K105">
        <v>34</v>
      </c>
      <c r="L105">
        <v>30</v>
      </c>
      <c r="M105" t="s">
        <v>36</v>
      </c>
      <c r="N105">
        <v>2100</v>
      </c>
      <c r="O105">
        <v>6</v>
      </c>
      <c r="P105">
        <v>6</v>
      </c>
      <c r="Q105">
        <v>323</v>
      </c>
      <c r="R105">
        <v>262</v>
      </c>
      <c r="S105">
        <v>296</v>
      </c>
      <c r="U105">
        <v>1000</v>
      </c>
      <c r="V105" t="s">
        <v>30</v>
      </c>
      <c r="W105" t="s">
        <v>528</v>
      </c>
      <c r="X105" t="s">
        <v>524</v>
      </c>
    </row>
    <row r="106" spans="1:24" x14ac:dyDescent="0.25">
      <c r="A106">
        <v>2025</v>
      </c>
      <c r="B106" t="s">
        <v>63</v>
      </c>
      <c r="C106" t="s">
        <v>63</v>
      </c>
      <c r="D106" t="s">
        <v>1147</v>
      </c>
      <c r="E106">
        <v>3</v>
      </c>
      <c r="F106">
        <v>4</v>
      </c>
      <c r="G106" t="s">
        <v>526</v>
      </c>
      <c r="H106">
        <v>8</v>
      </c>
      <c r="I106" t="s">
        <v>46</v>
      </c>
      <c r="J106">
        <v>26</v>
      </c>
      <c r="K106">
        <v>32</v>
      </c>
      <c r="L106">
        <v>28</v>
      </c>
      <c r="M106" t="s">
        <v>75</v>
      </c>
      <c r="N106">
        <v>2300</v>
      </c>
      <c r="O106">
        <v>6</v>
      </c>
      <c r="P106">
        <v>6</v>
      </c>
      <c r="Q106">
        <v>342</v>
      </c>
      <c r="R106">
        <v>275</v>
      </c>
      <c r="S106">
        <v>312</v>
      </c>
      <c r="U106">
        <v>2000</v>
      </c>
      <c r="V106" t="s">
        <v>30</v>
      </c>
      <c r="W106" t="s">
        <v>528</v>
      </c>
      <c r="X106" t="s">
        <v>524</v>
      </c>
    </row>
    <row r="107" spans="1:24" x14ac:dyDescent="0.25">
      <c r="A107">
        <v>2025</v>
      </c>
      <c r="B107" t="s">
        <v>63</v>
      </c>
      <c r="C107" t="s">
        <v>63</v>
      </c>
      <c r="D107" t="s">
        <v>1146</v>
      </c>
      <c r="E107">
        <v>3</v>
      </c>
      <c r="F107">
        <v>4</v>
      </c>
      <c r="G107" t="s">
        <v>526</v>
      </c>
      <c r="H107">
        <v>8</v>
      </c>
      <c r="I107" t="s">
        <v>28</v>
      </c>
      <c r="J107">
        <v>25</v>
      </c>
      <c r="K107">
        <v>32</v>
      </c>
      <c r="L107">
        <v>28</v>
      </c>
      <c r="M107" t="s">
        <v>36</v>
      </c>
      <c r="N107">
        <v>2300</v>
      </c>
      <c r="O107">
        <v>6</v>
      </c>
      <c r="P107">
        <v>6</v>
      </c>
      <c r="Q107">
        <v>344</v>
      </c>
      <c r="R107">
        <v>273</v>
      </c>
      <c r="S107">
        <v>312</v>
      </c>
      <c r="U107">
        <v>2000</v>
      </c>
      <c r="V107" t="s">
        <v>30</v>
      </c>
      <c r="W107" t="s">
        <v>528</v>
      </c>
      <c r="X107" t="s">
        <v>524</v>
      </c>
    </row>
    <row r="108" spans="1:24" x14ac:dyDescent="0.25">
      <c r="A108">
        <v>2025</v>
      </c>
      <c r="B108" t="s">
        <v>63</v>
      </c>
      <c r="C108" t="s">
        <v>63</v>
      </c>
      <c r="D108" t="s">
        <v>1145</v>
      </c>
      <c r="E108">
        <v>3</v>
      </c>
      <c r="F108">
        <v>4</v>
      </c>
      <c r="G108" t="s">
        <v>526</v>
      </c>
      <c r="H108">
        <v>8</v>
      </c>
      <c r="I108" t="s">
        <v>28</v>
      </c>
      <c r="J108">
        <v>26</v>
      </c>
      <c r="K108">
        <v>33</v>
      </c>
      <c r="L108">
        <v>29</v>
      </c>
      <c r="M108" t="s">
        <v>36</v>
      </c>
      <c r="N108">
        <v>2200</v>
      </c>
      <c r="O108">
        <v>6</v>
      </c>
      <c r="P108">
        <v>6</v>
      </c>
      <c r="Q108">
        <v>332</v>
      </c>
      <c r="R108">
        <v>263</v>
      </c>
      <c r="S108">
        <v>301</v>
      </c>
      <c r="U108">
        <v>1500</v>
      </c>
      <c r="V108" t="s">
        <v>30</v>
      </c>
      <c r="W108" t="s">
        <v>528</v>
      </c>
      <c r="X108" t="s">
        <v>524</v>
      </c>
    </row>
    <row r="109" spans="1:24" x14ac:dyDescent="0.25">
      <c r="A109">
        <v>2025</v>
      </c>
      <c r="B109" t="s">
        <v>63</v>
      </c>
      <c r="C109" t="s">
        <v>63</v>
      </c>
      <c r="D109" t="s">
        <v>1144</v>
      </c>
      <c r="E109">
        <v>3</v>
      </c>
      <c r="F109">
        <v>4</v>
      </c>
      <c r="G109" t="s">
        <v>526</v>
      </c>
      <c r="H109">
        <v>8</v>
      </c>
      <c r="I109" t="s">
        <v>28</v>
      </c>
      <c r="J109">
        <v>25</v>
      </c>
      <c r="K109">
        <v>31</v>
      </c>
      <c r="L109">
        <v>27</v>
      </c>
      <c r="M109" t="s">
        <v>75</v>
      </c>
      <c r="N109">
        <v>2350</v>
      </c>
      <c r="O109">
        <v>5</v>
      </c>
      <c r="P109">
        <v>5</v>
      </c>
      <c r="Q109">
        <v>350</v>
      </c>
      <c r="R109">
        <v>284</v>
      </c>
      <c r="S109">
        <v>320</v>
      </c>
      <c r="U109">
        <v>2250</v>
      </c>
      <c r="V109" t="s">
        <v>30</v>
      </c>
      <c r="W109" t="s">
        <v>528</v>
      </c>
      <c r="X109" t="s">
        <v>524</v>
      </c>
    </row>
    <row r="110" spans="1:24" x14ac:dyDescent="0.25">
      <c r="A110">
        <v>2025</v>
      </c>
      <c r="B110" t="s">
        <v>63</v>
      </c>
      <c r="C110" t="s">
        <v>63</v>
      </c>
      <c r="D110" t="s">
        <v>1143</v>
      </c>
      <c r="E110">
        <v>3</v>
      </c>
      <c r="F110">
        <v>6</v>
      </c>
      <c r="G110" t="s">
        <v>526</v>
      </c>
      <c r="H110">
        <v>8</v>
      </c>
      <c r="I110" t="s">
        <v>28</v>
      </c>
      <c r="J110">
        <v>16</v>
      </c>
      <c r="K110">
        <v>22</v>
      </c>
      <c r="L110">
        <v>18</v>
      </c>
      <c r="M110" t="s">
        <v>36</v>
      </c>
      <c r="N110">
        <v>3550</v>
      </c>
      <c r="O110">
        <v>4</v>
      </c>
      <c r="P110">
        <v>4</v>
      </c>
      <c r="Q110">
        <v>553</v>
      </c>
      <c r="R110">
        <v>388</v>
      </c>
      <c r="S110">
        <v>479</v>
      </c>
      <c r="U110">
        <v>8250</v>
      </c>
      <c r="V110" t="s">
        <v>30</v>
      </c>
      <c r="W110" t="s">
        <v>528</v>
      </c>
      <c r="X110" t="s">
        <v>524</v>
      </c>
    </row>
    <row r="111" spans="1:24" x14ac:dyDescent="0.25">
      <c r="A111">
        <v>2025</v>
      </c>
      <c r="B111" t="s">
        <v>63</v>
      </c>
      <c r="C111" t="s">
        <v>63</v>
      </c>
      <c r="D111" t="s">
        <v>1142</v>
      </c>
      <c r="E111">
        <v>4.4000000000000004</v>
      </c>
      <c r="F111">
        <v>8</v>
      </c>
      <c r="G111" t="s">
        <v>526</v>
      </c>
      <c r="H111">
        <v>8</v>
      </c>
      <c r="I111" t="s">
        <v>28</v>
      </c>
      <c r="J111">
        <v>15</v>
      </c>
      <c r="K111">
        <v>22</v>
      </c>
      <c r="L111">
        <v>17</v>
      </c>
      <c r="M111" t="s">
        <v>36</v>
      </c>
      <c r="N111">
        <v>3750</v>
      </c>
      <c r="O111">
        <v>3</v>
      </c>
      <c r="P111">
        <v>3</v>
      </c>
      <c r="Q111">
        <v>604</v>
      </c>
      <c r="R111">
        <v>411</v>
      </c>
      <c r="S111">
        <v>517</v>
      </c>
      <c r="U111">
        <v>9250</v>
      </c>
      <c r="V111" t="s">
        <v>633</v>
      </c>
      <c r="W111" t="s">
        <v>528</v>
      </c>
      <c r="X111" t="s">
        <v>524</v>
      </c>
    </row>
    <row r="112" spans="1:24" x14ac:dyDescent="0.25">
      <c r="A112">
        <v>2025</v>
      </c>
      <c r="B112" t="s">
        <v>63</v>
      </c>
      <c r="C112" t="s">
        <v>63</v>
      </c>
      <c r="D112" t="s">
        <v>1141</v>
      </c>
      <c r="E112">
        <v>4.4000000000000004</v>
      </c>
      <c r="F112">
        <v>8</v>
      </c>
      <c r="G112" t="s">
        <v>526</v>
      </c>
      <c r="H112">
        <v>8</v>
      </c>
      <c r="I112" t="s">
        <v>28</v>
      </c>
      <c r="J112">
        <v>15</v>
      </c>
      <c r="K112">
        <v>22</v>
      </c>
      <c r="L112">
        <v>17</v>
      </c>
      <c r="M112" t="s">
        <v>36</v>
      </c>
      <c r="N112">
        <v>3750</v>
      </c>
      <c r="O112">
        <v>3</v>
      </c>
      <c r="P112">
        <v>3</v>
      </c>
      <c r="Q112">
        <v>604</v>
      </c>
      <c r="R112">
        <v>411</v>
      </c>
      <c r="S112">
        <v>517</v>
      </c>
      <c r="U112">
        <v>9250</v>
      </c>
      <c r="V112" t="s">
        <v>633</v>
      </c>
      <c r="W112" t="s">
        <v>528</v>
      </c>
      <c r="X112" t="s">
        <v>524</v>
      </c>
    </row>
    <row r="113" spans="1:24" x14ac:dyDescent="0.25">
      <c r="A113">
        <v>2025</v>
      </c>
      <c r="B113" t="s">
        <v>63</v>
      </c>
      <c r="C113" t="s">
        <v>63</v>
      </c>
      <c r="D113" t="s">
        <v>1140</v>
      </c>
      <c r="E113">
        <v>4.4000000000000004</v>
      </c>
      <c r="F113">
        <v>8</v>
      </c>
      <c r="G113" t="s">
        <v>526</v>
      </c>
      <c r="H113">
        <v>8</v>
      </c>
      <c r="I113" t="s">
        <v>28</v>
      </c>
      <c r="J113">
        <v>15</v>
      </c>
      <c r="K113">
        <v>22</v>
      </c>
      <c r="L113">
        <v>17</v>
      </c>
      <c r="M113" t="s">
        <v>186</v>
      </c>
      <c r="N113">
        <v>3750</v>
      </c>
      <c r="O113">
        <v>3</v>
      </c>
      <c r="P113">
        <v>3</v>
      </c>
      <c r="Q113">
        <v>604</v>
      </c>
      <c r="R113">
        <v>411</v>
      </c>
      <c r="S113">
        <v>517</v>
      </c>
      <c r="U113">
        <v>9250</v>
      </c>
      <c r="V113" t="s">
        <v>633</v>
      </c>
      <c r="W113" t="s">
        <v>528</v>
      </c>
      <c r="X113" t="s">
        <v>524</v>
      </c>
    </row>
    <row r="114" spans="1:24" x14ac:dyDescent="0.25">
      <c r="A114">
        <v>2025</v>
      </c>
      <c r="B114" t="s">
        <v>63</v>
      </c>
      <c r="C114" t="s">
        <v>63</v>
      </c>
      <c r="D114" t="s">
        <v>1139</v>
      </c>
      <c r="E114">
        <v>4.4000000000000004</v>
      </c>
      <c r="F114">
        <v>8</v>
      </c>
      <c r="G114" t="s">
        <v>526</v>
      </c>
      <c r="H114">
        <v>8</v>
      </c>
      <c r="I114" t="s">
        <v>28</v>
      </c>
      <c r="J114">
        <v>17</v>
      </c>
      <c r="K114">
        <v>24</v>
      </c>
      <c r="L114">
        <v>19</v>
      </c>
      <c r="M114" t="s">
        <v>36</v>
      </c>
      <c r="N114">
        <v>3350</v>
      </c>
      <c r="O114">
        <v>4</v>
      </c>
      <c r="P114">
        <v>4</v>
      </c>
      <c r="Q114">
        <v>530</v>
      </c>
      <c r="R114">
        <v>371</v>
      </c>
      <c r="S114">
        <v>458</v>
      </c>
      <c r="U114">
        <v>7250</v>
      </c>
      <c r="V114" t="s">
        <v>30</v>
      </c>
      <c r="W114" t="s">
        <v>528</v>
      </c>
      <c r="X114" t="s">
        <v>524</v>
      </c>
    </row>
    <row r="115" spans="1:24" x14ac:dyDescent="0.25">
      <c r="A115">
        <v>2025</v>
      </c>
      <c r="B115" t="s">
        <v>63</v>
      </c>
      <c r="C115" t="s">
        <v>63</v>
      </c>
      <c r="D115" t="s">
        <v>1138</v>
      </c>
      <c r="E115">
        <v>4.4000000000000004</v>
      </c>
      <c r="F115">
        <v>8</v>
      </c>
      <c r="G115" t="s">
        <v>526</v>
      </c>
      <c r="H115">
        <v>8</v>
      </c>
      <c r="I115" t="s">
        <v>28</v>
      </c>
      <c r="J115">
        <v>17</v>
      </c>
      <c r="K115">
        <v>24</v>
      </c>
      <c r="L115">
        <v>19</v>
      </c>
      <c r="M115" t="s">
        <v>36</v>
      </c>
      <c r="N115">
        <v>3350</v>
      </c>
      <c r="O115">
        <v>4</v>
      </c>
      <c r="P115">
        <v>4</v>
      </c>
      <c r="Q115">
        <v>526</v>
      </c>
      <c r="R115">
        <v>371</v>
      </c>
      <c r="S115">
        <v>456</v>
      </c>
      <c r="U115">
        <v>7250</v>
      </c>
      <c r="V115" t="s">
        <v>30</v>
      </c>
      <c r="W115" t="s">
        <v>528</v>
      </c>
      <c r="X115" t="s">
        <v>524</v>
      </c>
    </row>
    <row r="116" spans="1:24" x14ac:dyDescent="0.25">
      <c r="A116">
        <v>2025</v>
      </c>
      <c r="B116" t="s">
        <v>63</v>
      </c>
      <c r="C116" t="s">
        <v>63</v>
      </c>
      <c r="D116" t="s">
        <v>1137</v>
      </c>
      <c r="E116">
        <v>4.4000000000000004</v>
      </c>
      <c r="F116">
        <v>8</v>
      </c>
      <c r="G116" t="s">
        <v>526</v>
      </c>
      <c r="H116">
        <v>8</v>
      </c>
      <c r="I116" t="s">
        <v>28</v>
      </c>
      <c r="J116">
        <v>17</v>
      </c>
      <c r="K116">
        <v>24</v>
      </c>
      <c r="L116">
        <v>19</v>
      </c>
      <c r="M116" t="s">
        <v>186</v>
      </c>
      <c r="N116">
        <v>3350</v>
      </c>
      <c r="O116">
        <v>4</v>
      </c>
      <c r="P116">
        <v>4</v>
      </c>
      <c r="Q116">
        <v>530</v>
      </c>
      <c r="R116">
        <v>371</v>
      </c>
      <c r="S116">
        <v>458</v>
      </c>
      <c r="U116">
        <v>7250</v>
      </c>
      <c r="V116" t="s">
        <v>30</v>
      </c>
      <c r="W116" t="s">
        <v>528</v>
      </c>
      <c r="X116" t="s">
        <v>524</v>
      </c>
    </row>
    <row r="117" spans="1:24" x14ac:dyDescent="0.25">
      <c r="A117">
        <v>2025</v>
      </c>
      <c r="B117" t="s">
        <v>63</v>
      </c>
      <c r="C117" t="s">
        <v>63</v>
      </c>
      <c r="D117" t="s">
        <v>1136</v>
      </c>
      <c r="E117">
        <v>2</v>
      </c>
      <c r="F117">
        <v>4</v>
      </c>
      <c r="G117" t="s">
        <v>543</v>
      </c>
      <c r="H117">
        <v>7</v>
      </c>
      <c r="I117" t="s">
        <v>28</v>
      </c>
      <c r="J117">
        <v>23</v>
      </c>
      <c r="K117">
        <v>31</v>
      </c>
      <c r="L117">
        <v>26</v>
      </c>
      <c r="M117" t="s">
        <v>118</v>
      </c>
      <c r="N117">
        <v>2450</v>
      </c>
      <c r="O117">
        <v>5</v>
      </c>
      <c r="P117">
        <v>5</v>
      </c>
      <c r="Q117">
        <v>377</v>
      </c>
      <c r="R117">
        <v>282</v>
      </c>
      <c r="S117">
        <v>334</v>
      </c>
      <c r="U117">
        <v>2750</v>
      </c>
      <c r="V117" t="s">
        <v>30</v>
      </c>
      <c r="W117" t="s">
        <v>528</v>
      </c>
      <c r="X117" t="s">
        <v>524</v>
      </c>
    </row>
    <row r="118" spans="1:24" x14ac:dyDescent="0.25">
      <c r="A118">
        <v>2025</v>
      </c>
      <c r="B118" t="s">
        <v>63</v>
      </c>
      <c r="C118" t="s">
        <v>63</v>
      </c>
      <c r="D118" t="s">
        <v>1135</v>
      </c>
      <c r="E118">
        <v>2</v>
      </c>
      <c r="F118">
        <v>4</v>
      </c>
      <c r="G118" t="s">
        <v>543</v>
      </c>
      <c r="H118">
        <v>7</v>
      </c>
      <c r="I118" t="s">
        <v>28</v>
      </c>
      <c r="J118">
        <v>24</v>
      </c>
      <c r="K118">
        <v>33</v>
      </c>
      <c r="L118">
        <v>28</v>
      </c>
      <c r="M118" t="s">
        <v>118</v>
      </c>
      <c r="N118">
        <v>2300</v>
      </c>
      <c r="O118">
        <v>6</v>
      </c>
      <c r="P118">
        <v>6</v>
      </c>
      <c r="Q118">
        <v>361</v>
      </c>
      <c r="R118">
        <v>265</v>
      </c>
      <c r="S118">
        <v>318</v>
      </c>
      <c r="U118">
        <v>2000</v>
      </c>
      <c r="V118" t="s">
        <v>30</v>
      </c>
      <c r="W118" t="s">
        <v>528</v>
      </c>
      <c r="X118" t="s">
        <v>524</v>
      </c>
    </row>
    <row r="119" spans="1:24" x14ac:dyDescent="0.25">
      <c r="A119">
        <v>2025</v>
      </c>
      <c r="B119" t="s">
        <v>63</v>
      </c>
      <c r="C119" t="s">
        <v>63</v>
      </c>
      <c r="D119" t="s">
        <v>1134</v>
      </c>
      <c r="E119">
        <v>2</v>
      </c>
      <c r="F119">
        <v>4</v>
      </c>
      <c r="G119" t="s">
        <v>543</v>
      </c>
      <c r="H119">
        <v>7</v>
      </c>
      <c r="I119" t="s">
        <v>28</v>
      </c>
      <c r="J119">
        <v>23</v>
      </c>
      <c r="K119">
        <v>32</v>
      </c>
      <c r="L119">
        <v>26</v>
      </c>
      <c r="M119" t="s">
        <v>118</v>
      </c>
      <c r="N119">
        <v>2450</v>
      </c>
      <c r="O119">
        <v>5</v>
      </c>
      <c r="P119">
        <v>5</v>
      </c>
      <c r="Q119">
        <v>382</v>
      </c>
      <c r="R119">
        <v>272</v>
      </c>
      <c r="S119">
        <v>332</v>
      </c>
      <c r="U119">
        <v>2750</v>
      </c>
      <c r="V119" t="s">
        <v>30</v>
      </c>
      <c r="W119" t="s">
        <v>528</v>
      </c>
      <c r="X119" t="s">
        <v>524</v>
      </c>
    </row>
    <row r="120" spans="1:24" x14ac:dyDescent="0.25">
      <c r="A120">
        <v>2025</v>
      </c>
      <c r="B120" t="s">
        <v>63</v>
      </c>
      <c r="C120" t="s">
        <v>63</v>
      </c>
      <c r="D120" t="s">
        <v>1133</v>
      </c>
      <c r="E120">
        <v>2</v>
      </c>
      <c r="F120">
        <v>4</v>
      </c>
      <c r="G120" t="s">
        <v>543</v>
      </c>
      <c r="H120">
        <v>7</v>
      </c>
      <c r="I120" t="s">
        <v>28</v>
      </c>
      <c r="J120">
        <v>24</v>
      </c>
      <c r="K120">
        <v>33</v>
      </c>
      <c r="L120">
        <v>28</v>
      </c>
      <c r="M120" t="s">
        <v>118</v>
      </c>
      <c r="N120">
        <v>2300</v>
      </c>
      <c r="O120">
        <v>6</v>
      </c>
      <c r="P120">
        <v>6</v>
      </c>
      <c r="Q120">
        <v>361</v>
      </c>
      <c r="R120">
        <v>265</v>
      </c>
      <c r="S120">
        <v>318</v>
      </c>
      <c r="U120">
        <v>2000</v>
      </c>
      <c r="V120" t="s">
        <v>30</v>
      </c>
      <c r="W120" t="s">
        <v>528</v>
      </c>
      <c r="X120" t="s">
        <v>524</v>
      </c>
    </row>
    <row r="121" spans="1:24" x14ac:dyDescent="0.25">
      <c r="A121">
        <v>2025</v>
      </c>
      <c r="B121" t="s">
        <v>63</v>
      </c>
      <c r="C121" t="s">
        <v>63</v>
      </c>
      <c r="D121" t="s">
        <v>1132</v>
      </c>
      <c r="E121">
        <v>3</v>
      </c>
      <c r="F121">
        <v>4</v>
      </c>
      <c r="G121" t="s">
        <v>526</v>
      </c>
      <c r="H121">
        <v>8</v>
      </c>
      <c r="I121" t="s">
        <v>28</v>
      </c>
      <c r="J121">
        <v>25</v>
      </c>
      <c r="K121">
        <v>30</v>
      </c>
      <c r="L121">
        <v>27</v>
      </c>
      <c r="M121" t="s">
        <v>118</v>
      </c>
      <c r="N121">
        <v>2350</v>
      </c>
      <c r="O121">
        <v>5</v>
      </c>
      <c r="P121">
        <v>5</v>
      </c>
      <c r="Q121">
        <v>346</v>
      </c>
      <c r="R121">
        <v>288</v>
      </c>
      <c r="S121">
        <v>320</v>
      </c>
      <c r="U121">
        <v>2250</v>
      </c>
      <c r="V121" t="s">
        <v>30</v>
      </c>
      <c r="W121" t="s">
        <v>528</v>
      </c>
      <c r="X121" t="s">
        <v>524</v>
      </c>
    </row>
    <row r="122" spans="1:24" x14ac:dyDescent="0.25">
      <c r="A122">
        <v>2025</v>
      </c>
      <c r="B122" t="s">
        <v>63</v>
      </c>
      <c r="C122" t="s">
        <v>63</v>
      </c>
      <c r="D122" t="s">
        <v>1131</v>
      </c>
      <c r="E122">
        <v>2</v>
      </c>
      <c r="F122">
        <v>4</v>
      </c>
      <c r="G122" t="s">
        <v>526</v>
      </c>
      <c r="H122">
        <v>8</v>
      </c>
      <c r="I122" t="s">
        <v>28</v>
      </c>
      <c r="J122">
        <v>27</v>
      </c>
      <c r="K122">
        <v>33</v>
      </c>
      <c r="L122">
        <v>29</v>
      </c>
      <c r="M122" t="s">
        <v>118</v>
      </c>
      <c r="N122">
        <v>2200</v>
      </c>
      <c r="O122">
        <v>6</v>
      </c>
      <c r="P122">
        <v>6</v>
      </c>
      <c r="Q122">
        <v>327</v>
      </c>
      <c r="R122">
        <v>265</v>
      </c>
      <c r="S122">
        <v>299</v>
      </c>
      <c r="U122">
        <v>1500</v>
      </c>
      <c r="V122" t="s">
        <v>30</v>
      </c>
      <c r="W122" t="s">
        <v>528</v>
      </c>
      <c r="X122" t="s">
        <v>524</v>
      </c>
    </row>
    <row r="123" spans="1:24" x14ac:dyDescent="0.25">
      <c r="A123">
        <v>2025</v>
      </c>
      <c r="B123" t="s">
        <v>63</v>
      </c>
      <c r="C123" t="s">
        <v>63</v>
      </c>
      <c r="D123" t="s">
        <v>1130</v>
      </c>
      <c r="E123">
        <v>3</v>
      </c>
      <c r="F123">
        <v>6</v>
      </c>
      <c r="G123" t="s">
        <v>526</v>
      </c>
      <c r="H123">
        <v>8</v>
      </c>
      <c r="I123" t="s">
        <v>28</v>
      </c>
      <c r="J123">
        <v>15</v>
      </c>
      <c r="K123">
        <v>20</v>
      </c>
      <c r="L123">
        <v>17</v>
      </c>
      <c r="M123" t="s">
        <v>118</v>
      </c>
      <c r="N123">
        <v>3750</v>
      </c>
      <c r="O123">
        <v>3</v>
      </c>
      <c r="P123">
        <v>3</v>
      </c>
      <c r="Q123">
        <v>587</v>
      </c>
      <c r="R123">
        <v>437</v>
      </c>
      <c r="S123">
        <v>519</v>
      </c>
      <c r="U123">
        <v>9250</v>
      </c>
      <c r="V123" t="s">
        <v>30</v>
      </c>
      <c r="W123" t="s">
        <v>528</v>
      </c>
      <c r="X123" t="s">
        <v>524</v>
      </c>
    </row>
    <row r="124" spans="1:24" x14ac:dyDescent="0.25">
      <c r="A124">
        <v>2025</v>
      </c>
      <c r="B124" t="s">
        <v>63</v>
      </c>
      <c r="C124" t="s">
        <v>63</v>
      </c>
      <c r="D124" t="s">
        <v>1129</v>
      </c>
      <c r="E124">
        <v>3</v>
      </c>
      <c r="F124">
        <v>6</v>
      </c>
      <c r="G124" t="s">
        <v>526</v>
      </c>
      <c r="H124">
        <v>8</v>
      </c>
      <c r="I124" t="s">
        <v>28</v>
      </c>
      <c r="J124">
        <v>15</v>
      </c>
      <c r="K124">
        <v>20</v>
      </c>
      <c r="L124">
        <v>17</v>
      </c>
      <c r="M124" t="s">
        <v>118</v>
      </c>
      <c r="N124">
        <v>3750</v>
      </c>
      <c r="O124">
        <v>3</v>
      </c>
      <c r="P124">
        <v>3</v>
      </c>
      <c r="Q124">
        <v>587</v>
      </c>
      <c r="R124">
        <v>437</v>
      </c>
      <c r="S124">
        <v>519</v>
      </c>
      <c r="U124">
        <v>9250</v>
      </c>
      <c r="V124" t="s">
        <v>30</v>
      </c>
      <c r="W124" t="s">
        <v>528</v>
      </c>
      <c r="X124" t="s">
        <v>524</v>
      </c>
    </row>
    <row r="125" spans="1:24" x14ac:dyDescent="0.25">
      <c r="A125">
        <v>2025</v>
      </c>
      <c r="B125" t="s">
        <v>63</v>
      </c>
      <c r="C125" t="s">
        <v>63</v>
      </c>
      <c r="D125" t="s">
        <v>1128</v>
      </c>
      <c r="E125">
        <v>3</v>
      </c>
      <c r="F125">
        <v>6</v>
      </c>
      <c r="G125" t="s">
        <v>526</v>
      </c>
      <c r="H125">
        <v>8</v>
      </c>
      <c r="I125" t="s">
        <v>28</v>
      </c>
      <c r="J125">
        <v>22</v>
      </c>
      <c r="K125">
        <v>26</v>
      </c>
      <c r="L125">
        <v>23</v>
      </c>
      <c r="M125" t="s">
        <v>118</v>
      </c>
      <c r="N125">
        <v>2750</v>
      </c>
      <c r="O125">
        <v>5</v>
      </c>
      <c r="P125">
        <v>5</v>
      </c>
      <c r="Q125">
        <v>409</v>
      </c>
      <c r="R125">
        <v>337</v>
      </c>
      <c r="S125">
        <v>377</v>
      </c>
      <c r="U125">
        <v>4250</v>
      </c>
      <c r="V125" t="s">
        <v>30</v>
      </c>
      <c r="W125" t="s">
        <v>528</v>
      </c>
      <c r="X125" t="s">
        <v>524</v>
      </c>
    </row>
    <row r="126" spans="1:24" x14ac:dyDescent="0.25">
      <c r="A126">
        <v>2025</v>
      </c>
      <c r="B126" t="s">
        <v>63</v>
      </c>
      <c r="C126" t="s">
        <v>63</v>
      </c>
      <c r="D126" t="s">
        <v>1127</v>
      </c>
      <c r="E126">
        <v>2</v>
      </c>
      <c r="F126">
        <v>4</v>
      </c>
      <c r="G126" t="s">
        <v>526</v>
      </c>
      <c r="H126">
        <v>8</v>
      </c>
      <c r="I126" t="s">
        <v>28</v>
      </c>
      <c r="J126">
        <v>21</v>
      </c>
      <c r="K126">
        <v>27</v>
      </c>
      <c r="L126">
        <v>24</v>
      </c>
      <c r="M126" t="s">
        <v>118</v>
      </c>
      <c r="N126">
        <v>2650</v>
      </c>
      <c r="O126">
        <v>5</v>
      </c>
      <c r="P126">
        <v>5</v>
      </c>
      <c r="Q126">
        <v>413</v>
      </c>
      <c r="R126">
        <v>321</v>
      </c>
      <c r="S126">
        <v>372</v>
      </c>
      <c r="U126">
        <v>3750</v>
      </c>
      <c r="V126" t="s">
        <v>30</v>
      </c>
      <c r="W126" t="s">
        <v>528</v>
      </c>
      <c r="X126" t="s">
        <v>524</v>
      </c>
    </row>
    <row r="127" spans="1:24" x14ac:dyDescent="0.25">
      <c r="A127">
        <v>2025</v>
      </c>
      <c r="B127" t="s">
        <v>63</v>
      </c>
      <c r="C127" t="s">
        <v>63</v>
      </c>
      <c r="D127" t="s">
        <v>1126</v>
      </c>
      <c r="E127">
        <v>4.4000000000000004</v>
      </c>
      <c r="F127">
        <v>8</v>
      </c>
      <c r="G127" t="s">
        <v>526</v>
      </c>
      <c r="H127">
        <v>8</v>
      </c>
      <c r="I127" t="s">
        <v>28</v>
      </c>
      <c r="J127">
        <v>13</v>
      </c>
      <c r="K127">
        <v>18</v>
      </c>
      <c r="L127">
        <v>15</v>
      </c>
      <c r="M127" t="s">
        <v>29</v>
      </c>
      <c r="N127">
        <v>4250</v>
      </c>
      <c r="O127">
        <v>2</v>
      </c>
      <c r="P127">
        <v>2</v>
      </c>
      <c r="Q127">
        <v>678</v>
      </c>
      <c r="R127">
        <v>481</v>
      </c>
      <c r="S127">
        <v>589</v>
      </c>
      <c r="U127">
        <v>11750</v>
      </c>
      <c r="V127" t="s">
        <v>30</v>
      </c>
      <c r="W127" t="s">
        <v>528</v>
      </c>
      <c r="X127" t="s">
        <v>524</v>
      </c>
    </row>
    <row r="128" spans="1:24" x14ac:dyDescent="0.25">
      <c r="A128">
        <v>2025</v>
      </c>
      <c r="B128" t="s">
        <v>63</v>
      </c>
      <c r="C128" t="s">
        <v>63</v>
      </c>
      <c r="D128" t="s">
        <v>1125</v>
      </c>
      <c r="E128">
        <v>4.4000000000000004</v>
      </c>
      <c r="F128">
        <v>8</v>
      </c>
      <c r="G128" t="s">
        <v>526</v>
      </c>
      <c r="H128">
        <v>8</v>
      </c>
      <c r="I128" t="s">
        <v>28</v>
      </c>
      <c r="J128">
        <v>17</v>
      </c>
      <c r="K128">
        <v>22</v>
      </c>
      <c r="L128">
        <v>19</v>
      </c>
      <c r="M128" t="s">
        <v>29</v>
      </c>
      <c r="N128">
        <v>3350</v>
      </c>
      <c r="O128">
        <v>4</v>
      </c>
      <c r="P128">
        <v>4</v>
      </c>
      <c r="Q128">
        <v>512</v>
      </c>
      <c r="R128">
        <v>391</v>
      </c>
      <c r="S128">
        <v>458</v>
      </c>
      <c r="U128">
        <v>7250</v>
      </c>
      <c r="V128" t="s">
        <v>30</v>
      </c>
      <c r="W128" t="s">
        <v>528</v>
      </c>
      <c r="X128" t="s">
        <v>524</v>
      </c>
    </row>
    <row r="129" spans="1:24" x14ac:dyDescent="0.25">
      <c r="A129">
        <v>2025</v>
      </c>
      <c r="B129" t="s">
        <v>63</v>
      </c>
      <c r="C129" t="s">
        <v>63</v>
      </c>
      <c r="D129" t="s">
        <v>1124</v>
      </c>
      <c r="E129">
        <v>3</v>
      </c>
      <c r="F129">
        <v>6</v>
      </c>
      <c r="G129" t="s">
        <v>526</v>
      </c>
      <c r="H129">
        <v>8</v>
      </c>
      <c r="I129" t="s">
        <v>46</v>
      </c>
      <c r="J129">
        <v>23</v>
      </c>
      <c r="K129">
        <v>27</v>
      </c>
      <c r="L129">
        <v>25</v>
      </c>
      <c r="M129" t="s">
        <v>47</v>
      </c>
      <c r="N129">
        <v>2550</v>
      </c>
      <c r="O129">
        <v>5</v>
      </c>
      <c r="P129">
        <v>5</v>
      </c>
      <c r="Q129">
        <v>383</v>
      </c>
      <c r="R129">
        <v>331</v>
      </c>
      <c r="S129">
        <v>360</v>
      </c>
      <c r="U129">
        <v>3250</v>
      </c>
      <c r="V129" t="s">
        <v>30</v>
      </c>
      <c r="W129" t="s">
        <v>528</v>
      </c>
      <c r="X129" t="s">
        <v>524</v>
      </c>
    </row>
    <row r="130" spans="1:24" x14ac:dyDescent="0.25">
      <c r="A130">
        <v>2025</v>
      </c>
      <c r="B130" t="s">
        <v>63</v>
      </c>
      <c r="C130" t="s">
        <v>63</v>
      </c>
      <c r="D130" t="s">
        <v>1123</v>
      </c>
      <c r="E130">
        <v>3</v>
      </c>
      <c r="F130">
        <v>6</v>
      </c>
      <c r="G130" t="s">
        <v>526</v>
      </c>
      <c r="H130">
        <v>8</v>
      </c>
      <c r="I130" t="s">
        <v>28</v>
      </c>
      <c r="J130">
        <v>23</v>
      </c>
      <c r="K130">
        <v>27</v>
      </c>
      <c r="L130">
        <v>25</v>
      </c>
      <c r="M130" t="s">
        <v>29</v>
      </c>
      <c r="N130">
        <v>2550</v>
      </c>
      <c r="O130">
        <v>5</v>
      </c>
      <c r="P130">
        <v>5</v>
      </c>
      <c r="Q130">
        <v>375</v>
      </c>
      <c r="R130">
        <v>323</v>
      </c>
      <c r="S130">
        <v>352</v>
      </c>
      <c r="U130">
        <v>3250</v>
      </c>
      <c r="V130" t="s">
        <v>30</v>
      </c>
      <c r="W130" t="s">
        <v>528</v>
      </c>
      <c r="X130" t="s">
        <v>524</v>
      </c>
    </row>
    <row r="131" spans="1:24" x14ac:dyDescent="0.25">
      <c r="A131">
        <v>2025</v>
      </c>
      <c r="B131" t="s">
        <v>63</v>
      </c>
      <c r="C131" t="s">
        <v>63</v>
      </c>
      <c r="D131" t="s">
        <v>1122</v>
      </c>
      <c r="E131">
        <v>4.4000000000000004</v>
      </c>
      <c r="F131">
        <v>8</v>
      </c>
      <c r="G131" t="s">
        <v>526</v>
      </c>
      <c r="H131">
        <v>8</v>
      </c>
      <c r="I131" t="s">
        <v>28</v>
      </c>
      <c r="J131">
        <v>13</v>
      </c>
      <c r="K131">
        <v>18</v>
      </c>
      <c r="L131">
        <v>15</v>
      </c>
      <c r="M131" t="s">
        <v>29</v>
      </c>
      <c r="N131">
        <v>4250</v>
      </c>
      <c r="O131">
        <v>2</v>
      </c>
      <c r="P131">
        <v>2</v>
      </c>
      <c r="Q131">
        <v>678</v>
      </c>
      <c r="R131">
        <v>481</v>
      </c>
      <c r="S131">
        <v>589</v>
      </c>
      <c r="U131">
        <v>11750</v>
      </c>
      <c r="V131" t="s">
        <v>30</v>
      </c>
      <c r="W131" t="s">
        <v>528</v>
      </c>
      <c r="X131" t="s">
        <v>524</v>
      </c>
    </row>
    <row r="132" spans="1:24" x14ac:dyDescent="0.25">
      <c r="A132">
        <v>2025</v>
      </c>
      <c r="B132" t="s">
        <v>63</v>
      </c>
      <c r="C132" t="s">
        <v>63</v>
      </c>
      <c r="D132" t="s">
        <v>1121</v>
      </c>
      <c r="E132">
        <v>4.4000000000000004</v>
      </c>
      <c r="F132">
        <v>8</v>
      </c>
      <c r="G132" t="s">
        <v>526</v>
      </c>
      <c r="H132">
        <v>8</v>
      </c>
      <c r="I132" t="s">
        <v>28</v>
      </c>
      <c r="J132">
        <v>17</v>
      </c>
      <c r="K132">
        <v>22</v>
      </c>
      <c r="L132">
        <v>19</v>
      </c>
      <c r="M132" t="s">
        <v>29</v>
      </c>
      <c r="N132">
        <v>3350</v>
      </c>
      <c r="O132">
        <v>4</v>
      </c>
      <c r="P132">
        <v>4</v>
      </c>
      <c r="Q132">
        <v>512</v>
      </c>
      <c r="R132">
        <v>391</v>
      </c>
      <c r="S132">
        <v>458</v>
      </c>
      <c r="U132">
        <v>7250</v>
      </c>
      <c r="V132" t="s">
        <v>30</v>
      </c>
      <c r="W132" t="s">
        <v>528</v>
      </c>
      <c r="X132" t="s">
        <v>524</v>
      </c>
    </row>
    <row r="133" spans="1:24" x14ac:dyDescent="0.25">
      <c r="A133">
        <v>2025</v>
      </c>
      <c r="B133" t="s">
        <v>63</v>
      </c>
      <c r="C133" t="s">
        <v>63</v>
      </c>
      <c r="D133" t="s">
        <v>1120</v>
      </c>
      <c r="E133">
        <v>3</v>
      </c>
      <c r="F133">
        <v>6</v>
      </c>
      <c r="G133" t="s">
        <v>526</v>
      </c>
      <c r="H133">
        <v>8</v>
      </c>
      <c r="I133" t="s">
        <v>28</v>
      </c>
      <c r="J133">
        <v>23</v>
      </c>
      <c r="K133">
        <v>26</v>
      </c>
      <c r="L133">
        <v>24</v>
      </c>
      <c r="M133" t="s">
        <v>29</v>
      </c>
      <c r="N133">
        <v>2650</v>
      </c>
      <c r="O133">
        <v>5</v>
      </c>
      <c r="P133">
        <v>5</v>
      </c>
      <c r="Q133">
        <v>382</v>
      </c>
      <c r="R133">
        <v>331</v>
      </c>
      <c r="S133">
        <v>359</v>
      </c>
      <c r="U133">
        <v>3750</v>
      </c>
      <c r="V133" t="s">
        <v>30</v>
      </c>
      <c r="W133" t="s">
        <v>528</v>
      </c>
      <c r="X133" t="s">
        <v>524</v>
      </c>
    </row>
    <row r="134" spans="1:24" x14ac:dyDescent="0.25">
      <c r="A134">
        <v>2025</v>
      </c>
      <c r="B134" t="s">
        <v>63</v>
      </c>
      <c r="C134" t="s">
        <v>63</v>
      </c>
      <c r="D134" t="s">
        <v>1119</v>
      </c>
      <c r="E134">
        <v>4.4000000000000004</v>
      </c>
      <c r="F134">
        <v>8</v>
      </c>
      <c r="G134" t="s">
        <v>526</v>
      </c>
      <c r="H134">
        <v>8</v>
      </c>
      <c r="I134" t="s">
        <v>28</v>
      </c>
      <c r="J134">
        <v>16</v>
      </c>
      <c r="K134">
        <v>20</v>
      </c>
      <c r="L134">
        <v>18</v>
      </c>
      <c r="M134" t="s">
        <v>29</v>
      </c>
      <c r="N134">
        <v>3550</v>
      </c>
      <c r="O134">
        <v>4</v>
      </c>
      <c r="P134">
        <v>4</v>
      </c>
      <c r="Q134">
        <v>550</v>
      </c>
      <c r="R134">
        <v>435</v>
      </c>
      <c r="S134">
        <v>498</v>
      </c>
      <c r="U134">
        <v>8250</v>
      </c>
      <c r="V134" t="s">
        <v>30</v>
      </c>
      <c r="W134" t="s">
        <v>528</v>
      </c>
      <c r="X134" t="s">
        <v>524</v>
      </c>
    </row>
    <row r="135" spans="1:24" x14ac:dyDescent="0.25">
      <c r="A135">
        <v>2025</v>
      </c>
      <c r="B135" t="s">
        <v>63</v>
      </c>
      <c r="C135" t="s">
        <v>63</v>
      </c>
      <c r="D135" t="s">
        <v>1118</v>
      </c>
      <c r="E135">
        <v>3</v>
      </c>
      <c r="F135">
        <v>6</v>
      </c>
      <c r="G135" t="s">
        <v>526</v>
      </c>
      <c r="H135">
        <v>8</v>
      </c>
      <c r="I135" t="s">
        <v>28</v>
      </c>
      <c r="J135">
        <v>20</v>
      </c>
      <c r="K135">
        <v>24</v>
      </c>
      <c r="L135">
        <v>22</v>
      </c>
      <c r="M135" t="s">
        <v>29</v>
      </c>
      <c r="N135">
        <v>2900</v>
      </c>
      <c r="O135">
        <v>5</v>
      </c>
      <c r="P135">
        <v>5</v>
      </c>
      <c r="Q135">
        <v>430</v>
      </c>
      <c r="R135">
        <v>358</v>
      </c>
      <c r="S135">
        <v>397</v>
      </c>
      <c r="U135">
        <v>5000</v>
      </c>
      <c r="V135" t="s">
        <v>30</v>
      </c>
      <c r="W135" t="s">
        <v>528</v>
      </c>
      <c r="X135" t="s">
        <v>524</v>
      </c>
    </row>
    <row r="136" spans="1:24" x14ac:dyDescent="0.25">
      <c r="A136">
        <v>2025</v>
      </c>
      <c r="B136" t="s">
        <v>63</v>
      </c>
      <c r="C136" t="s">
        <v>63</v>
      </c>
      <c r="D136" t="s">
        <v>1117</v>
      </c>
      <c r="E136">
        <v>3</v>
      </c>
      <c r="F136">
        <v>6</v>
      </c>
      <c r="G136" t="s">
        <v>526</v>
      </c>
      <c r="H136">
        <v>8</v>
      </c>
      <c r="I136" t="s">
        <v>46</v>
      </c>
      <c r="J136">
        <v>23</v>
      </c>
      <c r="K136">
        <v>29</v>
      </c>
      <c r="L136">
        <v>25</v>
      </c>
      <c r="M136" t="s">
        <v>108</v>
      </c>
      <c r="N136">
        <v>2550</v>
      </c>
      <c r="O136">
        <v>5</v>
      </c>
      <c r="P136">
        <v>5</v>
      </c>
      <c r="Q136">
        <v>386</v>
      </c>
      <c r="R136">
        <v>297</v>
      </c>
      <c r="S136">
        <v>346</v>
      </c>
      <c r="U136">
        <v>3250</v>
      </c>
      <c r="V136" t="s">
        <v>30</v>
      </c>
      <c r="W136" t="s">
        <v>528</v>
      </c>
      <c r="X136" t="s">
        <v>524</v>
      </c>
    </row>
    <row r="137" spans="1:24" x14ac:dyDescent="0.25">
      <c r="A137">
        <v>2025</v>
      </c>
      <c r="B137" t="s">
        <v>63</v>
      </c>
      <c r="C137" t="s">
        <v>63</v>
      </c>
      <c r="D137" t="s">
        <v>1117</v>
      </c>
      <c r="E137">
        <v>3</v>
      </c>
      <c r="F137">
        <v>6</v>
      </c>
      <c r="G137" t="s">
        <v>546</v>
      </c>
      <c r="H137">
        <v>6</v>
      </c>
      <c r="I137" t="s">
        <v>46</v>
      </c>
      <c r="J137">
        <v>19</v>
      </c>
      <c r="K137">
        <v>26</v>
      </c>
      <c r="L137">
        <v>22</v>
      </c>
      <c r="M137" t="s">
        <v>108</v>
      </c>
      <c r="N137">
        <v>2900</v>
      </c>
      <c r="O137">
        <v>5</v>
      </c>
      <c r="P137">
        <v>5</v>
      </c>
      <c r="Q137">
        <v>469</v>
      </c>
      <c r="R137">
        <v>332</v>
      </c>
      <c r="S137">
        <v>407</v>
      </c>
      <c r="U137">
        <v>5000</v>
      </c>
      <c r="V137" t="s">
        <v>30</v>
      </c>
      <c r="W137" t="s">
        <v>528</v>
      </c>
      <c r="X137" t="s">
        <v>524</v>
      </c>
    </row>
    <row r="138" spans="1:24" x14ac:dyDescent="0.25">
      <c r="A138">
        <v>2025</v>
      </c>
      <c r="B138" t="s">
        <v>63</v>
      </c>
      <c r="C138" t="s">
        <v>63</v>
      </c>
      <c r="D138" t="s">
        <v>1116</v>
      </c>
      <c r="E138">
        <v>2</v>
      </c>
      <c r="F138">
        <v>4</v>
      </c>
      <c r="G138" t="s">
        <v>526</v>
      </c>
      <c r="H138">
        <v>8</v>
      </c>
      <c r="I138" t="s">
        <v>46</v>
      </c>
      <c r="J138">
        <v>25</v>
      </c>
      <c r="K138">
        <v>33</v>
      </c>
      <c r="L138">
        <v>28</v>
      </c>
      <c r="M138" t="s">
        <v>108</v>
      </c>
      <c r="N138">
        <v>2300</v>
      </c>
      <c r="O138">
        <v>6</v>
      </c>
      <c r="P138">
        <v>6</v>
      </c>
      <c r="Q138">
        <v>351</v>
      </c>
      <c r="R138">
        <v>266</v>
      </c>
      <c r="S138">
        <v>312</v>
      </c>
      <c r="U138">
        <v>2000</v>
      </c>
      <c r="V138" t="s">
        <v>30</v>
      </c>
      <c r="W138" t="s">
        <v>528</v>
      </c>
      <c r="X138" t="s">
        <v>524</v>
      </c>
    </row>
    <row r="139" spans="1:24" x14ac:dyDescent="0.25">
      <c r="A139">
        <v>2025</v>
      </c>
      <c r="B139" t="s">
        <v>25</v>
      </c>
      <c r="C139" t="s">
        <v>1115</v>
      </c>
      <c r="D139" t="s">
        <v>1114</v>
      </c>
      <c r="E139">
        <v>8</v>
      </c>
      <c r="F139">
        <v>16</v>
      </c>
      <c r="G139" t="s">
        <v>543</v>
      </c>
      <c r="H139">
        <v>7</v>
      </c>
      <c r="I139" t="s">
        <v>28</v>
      </c>
      <c r="J139">
        <v>8</v>
      </c>
      <c r="K139">
        <v>12</v>
      </c>
      <c r="L139">
        <v>9</v>
      </c>
      <c r="M139" t="s">
        <v>108</v>
      </c>
      <c r="N139">
        <v>7100</v>
      </c>
      <c r="O139">
        <v>1</v>
      </c>
      <c r="P139">
        <v>1</v>
      </c>
      <c r="Q139">
        <v>1121</v>
      </c>
      <c r="R139">
        <v>726</v>
      </c>
      <c r="S139">
        <v>943</v>
      </c>
      <c r="U139">
        <v>26000</v>
      </c>
      <c r="V139" t="s">
        <v>633</v>
      </c>
      <c r="W139" t="s">
        <v>528</v>
      </c>
      <c r="X139" t="s">
        <v>565</v>
      </c>
    </row>
    <row r="140" spans="1:24" x14ac:dyDescent="0.25">
      <c r="A140">
        <v>2025</v>
      </c>
      <c r="B140" t="s">
        <v>112</v>
      </c>
      <c r="C140" t="s">
        <v>1108</v>
      </c>
      <c r="D140" t="s">
        <v>1113</v>
      </c>
      <c r="E140">
        <v>2.5</v>
      </c>
      <c r="F140">
        <v>4</v>
      </c>
      <c r="G140" t="s">
        <v>641</v>
      </c>
      <c r="H140">
        <v>8</v>
      </c>
      <c r="I140" t="s">
        <v>28</v>
      </c>
      <c r="J140">
        <v>19</v>
      </c>
      <c r="K140">
        <v>24</v>
      </c>
      <c r="L140">
        <v>21</v>
      </c>
      <c r="M140" t="s">
        <v>29</v>
      </c>
      <c r="N140">
        <v>2500</v>
      </c>
      <c r="O140">
        <v>4</v>
      </c>
      <c r="P140">
        <v>4</v>
      </c>
      <c r="Q140">
        <v>462</v>
      </c>
      <c r="R140">
        <v>374</v>
      </c>
      <c r="S140">
        <v>422</v>
      </c>
      <c r="U140">
        <v>3000</v>
      </c>
      <c r="V140" t="s">
        <v>30</v>
      </c>
      <c r="W140" t="s">
        <v>528</v>
      </c>
      <c r="X140" t="s">
        <v>524</v>
      </c>
    </row>
    <row r="141" spans="1:24" x14ac:dyDescent="0.25">
      <c r="A141">
        <v>2025</v>
      </c>
      <c r="B141" t="s">
        <v>112</v>
      </c>
      <c r="C141" t="s">
        <v>1108</v>
      </c>
      <c r="D141" t="s">
        <v>1112</v>
      </c>
      <c r="E141">
        <v>2.5</v>
      </c>
      <c r="F141">
        <v>4</v>
      </c>
      <c r="G141" t="s">
        <v>641</v>
      </c>
      <c r="H141">
        <v>8</v>
      </c>
      <c r="I141" t="s">
        <v>128</v>
      </c>
      <c r="J141">
        <v>20</v>
      </c>
      <c r="K141">
        <v>27</v>
      </c>
      <c r="L141">
        <v>23</v>
      </c>
      <c r="M141" t="s">
        <v>47</v>
      </c>
      <c r="N141">
        <v>2300</v>
      </c>
      <c r="O141">
        <v>5</v>
      </c>
      <c r="P141">
        <v>5</v>
      </c>
      <c r="Q141">
        <v>431</v>
      </c>
      <c r="R141">
        <v>334</v>
      </c>
      <c r="S141">
        <v>387</v>
      </c>
      <c r="U141">
        <v>2000</v>
      </c>
      <c r="V141" t="s">
        <v>30</v>
      </c>
      <c r="W141" t="s">
        <v>528</v>
      </c>
      <c r="X141" t="s">
        <v>524</v>
      </c>
    </row>
    <row r="142" spans="1:24" x14ac:dyDescent="0.25">
      <c r="A142">
        <v>2025</v>
      </c>
      <c r="B142" t="s">
        <v>112</v>
      </c>
      <c r="C142" t="s">
        <v>1108</v>
      </c>
      <c r="D142" t="s">
        <v>1111</v>
      </c>
      <c r="E142">
        <v>1.3</v>
      </c>
      <c r="F142">
        <v>3</v>
      </c>
      <c r="G142" t="s">
        <v>735</v>
      </c>
      <c r="H142">
        <v>9</v>
      </c>
      <c r="I142" t="s">
        <v>28</v>
      </c>
      <c r="J142">
        <v>26</v>
      </c>
      <c r="K142">
        <v>28</v>
      </c>
      <c r="L142">
        <v>27</v>
      </c>
      <c r="M142" t="s">
        <v>118</v>
      </c>
      <c r="N142">
        <v>1950</v>
      </c>
      <c r="O142">
        <v>5</v>
      </c>
      <c r="P142">
        <v>5</v>
      </c>
      <c r="Q142">
        <v>347</v>
      </c>
      <c r="R142">
        <v>328</v>
      </c>
      <c r="S142">
        <v>339</v>
      </c>
      <c r="U142">
        <v>250</v>
      </c>
      <c r="V142" t="s">
        <v>30</v>
      </c>
      <c r="W142" t="s">
        <v>528</v>
      </c>
      <c r="X142" t="s">
        <v>524</v>
      </c>
    </row>
    <row r="143" spans="1:24" x14ac:dyDescent="0.25">
      <c r="A143">
        <v>2025</v>
      </c>
      <c r="B143" t="s">
        <v>112</v>
      </c>
      <c r="C143" t="s">
        <v>1108</v>
      </c>
      <c r="D143" t="s">
        <v>1110</v>
      </c>
      <c r="E143">
        <v>1.3</v>
      </c>
      <c r="F143">
        <v>3</v>
      </c>
      <c r="G143" t="s">
        <v>562</v>
      </c>
      <c r="H143">
        <v>1</v>
      </c>
      <c r="I143" t="s">
        <v>128</v>
      </c>
      <c r="J143">
        <v>29</v>
      </c>
      <c r="K143">
        <v>31</v>
      </c>
      <c r="L143">
        <v>30</v>
      </c>
      <c r="M143" t="s">
        <v>115</v>
      </c>
      <c r="N143">
        <v>1750</v>
      </c>
      <c r="O143">
        <v>6</v>
      </c>
      <c r="P143">
        <v>6</v>
      </c>
      <c r="Q143">
        <v>302</v>
      </c>
      <c r="R143">
        <v>287</v>
      </c>
      <c r="S143">
        <v>297</v>
      </c>
      <c r="T143">
        <v>750</v>
      </c>
      <c r="V143" t="s">
        <v>30</v>
      </c>
      <c r="W143" t="s">
        <v>528</v>
      </c>
      <c r="X143" t="s">
        <v>524</v>
      </c>
    </row>
    <row r="144" spans="1:24" x14ac:dyDescent="0.25">
      <c r="A144">
        <v>2025</v>
      </c>
      <c r="B144" t="s">
        <v>112</v>
      </c>
      <c r="C144" t="s">
        <v>1108</v>
      </c>
      <c r="D144" t="s">
        <v>1110</v>
      </c>
      <c r="E144">
        <v>1.2</v>
      </c>
      <c r="F144">
        <v>3</v>
      </c>
      <c r="G144" t="s">
        <v>562</v>
      </c>
      <c r="H144">
        <v>1</v>
      </c>
      <c r="I144" t="s">
        <v>128</v>
      </c>
      <c r="J144">
        <v>30</v>
      </c>
      <c r="K144">
        <v>31</v>
      </c>
      <c r="L144">
        <v>30</v>
      </c>
      <c r="M144" t="s">
        <v>115</v>
      </c>
      <c r="N144">
        <v>1750</v>
      </c>
      <c r="O144">
        <v>6</v>
      </c>
      <c r="P144">
        <v>6</v>
      </c>
      <c r="Q144">
        <v>293</v>
      </c>
      <c r="R144">
        <v>284</v>
      </c>
      <c r="S144">
        <v>297</v>
      </c>
      <c r="T144">
        <v>750</v>
      </c>
      <c r="V144" t="s">
        <v>30</v>
      </c>
      <c r="W144" t="s">
        <v>528</v>
      </c>
      <c r="X144" t="s">
        <v>524</v>
      </c>
    </row>
    <row r="145" spans="1:24" x14ac:dyDescent="0.25">
      <c r="A145">
        <v>2025</v>
      </c>
      <c r="B145" t="s">
        <v>112</v>
      </c>
      <c r="C145" t="s">
        <v>1108</v>
      </c>
      <c r="D145" t="s">
        <v>1109</v>
      </c>
      <c r="E145">
        <v>2</v>
      </c>
      <c r="F145">
        <v>4</v>
      </c>
      <c r="G145" t="s">
        <v>686</v>
      </c>
      <c r="H145">
        <v>9</v>
      </c>
      <c r="I145" t="s">
        <v>28</v>
      </c>
      <c r="J145">
        <v>22</v>
      </c>
      <c r="K145">
        <v>28</v>
      </c>
      <c r="L145">
        <v>24</v>
      </c>
      <c r="M145" t="s">
        <v>118</v>
      </c>
      <c r="N145">
        <v>2200</v>
      </c>
      <c r="O145">
        <v>5</v>
      </c>
      <c r="P145">
        <v>5</v>
      </c>
      <c r="Q145">
        <v>404</v>
      </c>
      <c r="R145">
        <v>315</v>
      </c>
      <c r="S145">
        <v>371</v>
      </c>
      <c r="U145">
        <v>1500</v>
      </c>
      <c r="V145" t="s">
        <v>30</v>
      </c>
      <c r="W145" t="s">
        <v>528</v>
      </c>
      <c r="X145" t="s">
        <v>524</v>
      </c>
    </row>
    <row r="146" spans="1:24" x14ac:dyDescent="0.25">
      <c r="A146">
        <v>2025</v>
      </c>
      <c r="B146" t="s">
        <v>112</v>
      </c>
      <c r="C146" t="s">
        <v>1108</v>
      </c>
      <c r="D146" t="s">
        <v>1107</v>
      </c>
      <c r="E146">
        <v>1.2</v>
      </c>
      <c r="F146">
        <v>3</v>
      </c>
      <c r="G146" t="s">
        <v>1059</v>
      </c>
      <c r="H146">
        <v>6</v>
      </c>
      <c r="I146" t="s">
        <v>128</v>
      </c>
      <c r="J146">
        <v>28</v>
      </c>
      <c r="K146">
        <v>32</v>
      </c>
      <c r="L146">
        <v>30</v>
      </c>
      <c r="M146" t="s">
        <v>122</v>
      </c>
      <c r="N146">
        <v>1750</v>
      </c>
      <c r="O146">
        <v>6</v>
      </c>
      <c r="P146">
        <v>6</v>
      </c>
      <c r="Q146">
        <v>316</v>
      </c>
      <c r="R146">
        <v>277</v>
      </c>
      <c r="S146">
        <v>296</v>
      </c>
      <c r="T146">
        <v>750</v>
      </c>
      <c r="V146" t="s">
        <v>30</v>
      </c>
      <c r="W146" t="s">
        <v>528</v>
      </c>
      <c r="X146" t="s">
        <v>524</v>
      </c>
    </row>
    <row r="147" spans="1:24" x14ac:dyDescent="0.25">
      <c r="A147">
        <v>2025</v>
      </c>
      <c r="B147" t="s">
        <v>112</v>
      </c>
      <c r="C147" t="s">
        <v>1108</v>
      </c>
      <c r="D147" t="s">
        <v>1107</v>
      </c>
      <c r="E147">
        <v>1.2</v>
      </c>
      <c r="F147">
        <v>3</v>
      </c>
      <c r="G147" t="s">
        <v>1059</v>
      </c>
      <c r="H147">
        <v>6</v>
      </c>
      <c r="I147" t="s">
        <v>128</v>
      </c>
      <c r="J147">
        <v>28</v>
      </c>
      <c r="K147">
        <v>32</v>
      </c>
      <c r="L147">
        <v>30</v>
      </c>
      <c r="M147" t="s">
        <v>122</v>
      </c>
      <c r="N147">
        <v>1750</v>
      </c>
      <c r="O147">
        <v>6</v>
      </c>
      <c r="P147">
        <v>6</v>
      </c>
      <c r="Q147">
        <v>314</v>
      </c>
      <c r="R147">
        <v>277</v>
      </c>
      <c r="S147">
        <v>297</v>
      </c>
      <c r="T147">
        <v>750</v>
      </c>
      <c r="V147" t="s">
        <v>30</v>
      </c>
      <c r="W147" t="s">
        <v>528</v>
      </c>
      <c r="X147" t="s">
        <v>524</v>
      </c>
    </row>
    <row r="148" spans="1:24" x14ac:dyDescent="0.25">
      <c r="A148">
        <v>2025</v>
      </c>
      <c r="B148" t="s">
        <v>112</v>
      </c>
      <c r="C148" t="s">
        <v>113</v>
      </c>
      <c r="D148" t="s">
        <v>1106</v>
      </c>
      <c r="E148">
        <v>2.7</v>
      </c>
      <c r="F148">
        <v>4</v>
      </c>
      <c r="G148" t="s">
        <v>554</v>
      </c>
      <c r="H148">
        <v>10</v>
      </c>
      <c r="I148" t="s">
        <v>46</v>
      </c>
      <c r="J148">
        <v>21</v>
      </c>
      <c r="K148">
        <v>31</v>
      </c>
      <c r="L148">
        <v>25</v>
      </c>
      <c r="M148" t="s">
        <v>75</v>
      </c>
      <c r="N148">
        <v>2550</v>
      </c>
      <c r="O148">
        <v>5</v>
      </c>
      <c r="P148">
        <v>5</v>
      </c>
      <c r="Q148">
        <v>412</v>
      </c>
      <c r="R148">
        <v>287</v>
      </c>
      <c r="S148">
        <v>356</v>
      </c>
      <c r="U148">
        <v>3250</v>
      </c>
      <c r="V148" t="s">
        <v>30</v>
      </c>
      <c r="W148" t="s">
        <v>528</v>
      </c>
      <c r="X148" t="s">
        <v>524</v>
      </c>
    </row>
    <row r="149" spans="1:24" x14ac:dyDescent="0.25">
      <c r="A149">
        <v>2025</v>
      </c>
      <c r="B149" t="s">
        <v>112</v>
      </c>
      <c r="C149" t="s">
        <v>113</v>
      </c>
      <c r="D149" t="s">
        <v>1105</v>
      </c>
      <c r="E149">
        <v>2</v>
      </c>
      <c r="F149">
        <v>4</v>
      </c>
      <c r="G149" t="s">
        <v>526</v>
      </c>
      <c r="H149">
        <v>8</v>
      </c>
      <c r="I149" t="s">
        <v>28</v>
      </c>
      <c r="J149">
        <v>21</v>
      </c>
      <c r="K149">
        <v>31</v>
      </c>
      <c r="L149">
        <v>25</v>
      </c>
      <c r="M149" t="s">
        <v>75</v>
      </c>
      <c r="N149">
        <v>2550</v>
      </c>
      <c r="O149">
        <v>5</v>
      </c>
      <c r="P149">
        <v>5</v>
      </c>
      <c r="Q149">
        <v>415</v>
      </c>
      <c r="R149">
        <v>287</v>
      </c>
      <c r="S149">
        <v>357</v>
      </c>
      <c r="U149">
        <v>3250</v>
      </c>
      <c r="V149" t="s">
        <v>30</v>
      </c>
      <c r="W149" t="s">
        <v>528</v>
      </c>
      <c r="X149" t="s">
        <v>524</v>
      </c>
    </row>
    <row r="150" spans="1:24" x14ac:dyDescent="0.25">
      <c r="A150">
        <v>2025</v>
      </c>
      <c r="B150" t="s">
        <v>112</v>
      </c>
      <c r="C150" t="s">
        <v>113</v>
      </c>
      <c r="D150" t="s">
        <v>1105</v>
      </c>
      <c r="E150">
        <v>2.7</v>
      </c>
      <c r="F150">
        <v>4</v>
      </c>
      <c r="G150" t="s">
        <v>554</v>
      </c>
      <c r="H150">
        <v>10</v>
      </c>
      <c r="I150" t="s">
        <v>28</v>
      </c>
      <c r="J150">
        <v>21</v>
      </c>
      <c r="K150">
        <v>29</v>
      </c>
      <c r="L150">
        <v>24</v>
      </c>
      <c r="M150" t="s">
        <v>75</v>
      </c>
      <c r="N150">
        <v>2650</v>
      </c>
      <c r="O150">
        <v>5</v>
      </c>
      <c r="P150">
        <v>5</v>
      </c>
      <c r="Q150">
        <v>425</v>
      </c>
      <c r="R150">
        <v>305</v>
      </c>
      <c r="S150">
        <v>371</v>
      </c>
      <c r="U150">
        <v>3750</v>
      </c>
      <c r="V150" t="s">
        <v>30</v>
      </c>
      <c r="W150" t="s">
        <v>528</v>
      </c>
      <c r="X150" t="s">
        <v>524</v>
      </c>
    </row>
    <row r="151" spans="1:24" x14ac:dyDescent="0.25">
      <c r="A151">
        <v>2025</v>
      </c>
      <c r="B151" t="s">
        <v>112</v>
      </c>
      <c r="C151" t="s">
        <v>113</v>
      </c>
      <c r="D151" t="s">
        <v>1104</v>
      </c>
      <c r="E151">
        <v>2.7</v>
      </c>
      <c r="F151">
        <v>4</v>
      </c>
      <c r="G151" t="s">
        <v>554</v>
      </c>
      <c r="H151">
        <v>10</v>
      </c>
      <c r="I151" t="s">
        <v>46</v>
      </c>
      <c r="J151">
        <v>20</v>
      </c>
      <c r="K151">
        <v>29</v>
      </c>
      <c r="L151">
        <v>23</v>
      </c>
      <c r="M151" t="s">
        <v>75</v>
      </c>
      <c r="N151">
        <v>2750</v>
      </c>
      <c r="O151">
        <v>5</v>
      </c>
      <c r="P151">
        <v>5</v>
      </c>
      <c r="Q151">
        <v>444</v>
      </c>
      <c r="R151">
        <v>309</v>
      </c>
      <c r="S151">
        <v>383</v>
      </c>
      <c r="U151">
        <v>4250</v>
      </c>
      <c r="V151" t="s">
        <v>30</v>
      </c>
      <c r="W151" t="s">
        <v>528</v>
      </c>
      <c r="X151" t="s">
        <v>524</v>
      </c>
    </row>
    <row r="152" spans="1:24" x14ac:dyDescent="0.25">
      <c r="A152">
        <v>2025</v>
      </c>
      <c r="B152" t="s">
        <v>112</v>
      </c>
      <c r="C152" t="s">
        <v>113</v>
      </c>
      <c r="D152" t="s">
        <v>1104</v>
      </c>
      <c r="E152">
        <v>3.6</v>
      </c>
      <c r="F152">
        <v>6</v>
      </c>
      <c r="G152" t="s">
        <v>554</v>
      </c>
      <c r="H152">
        <v>10</v>
      </c>
      <c r="I152" t="s">
        <v>46</v>
      </c>
      <c r="J152">
        <v>16</v>
      </c>
      <c r="K152">
        <v>24</v>
      </c>
      <c r="L152">
        <v>19</v>
      </c>
      <c r="M152" t="s">
        <v>75</v>
      </c>
      <c r="N152">
        <v>3350</v>
      </c>
      <c r="O152">
        <v>4</v>
      </c>
      <c r="P152">
        <v>4</v>
      </c>
      <c r="Q152">
        <v>568</v>
      </c>
      <c r="R152">
        <v>368</v>
      </c>
      <c r="S152">
        <v>478</v>
      </c>
      <c r="U152">
        <v>7250</v>
      </c>
      <c r="V152" t="s">
        <v>30</v>
      </c>
      <c r="W152" t="s">
        <v>528</v>
      </c>
      <c r="X152" t="s">
        <v>565</v>
      </c>
    </row>
    <row r="153" spans="1:24" x14ac:dyDescent="0.25">
      <c r="A153">
        <v>2025</v>
      </c>
      <c r="B153" t="s">
        <v>112</v>
      </c>
      <c r="C153" t="s">
        <v>113</v>
      </c>
      <c r="D153" t="s">
        <v>1104</v>
      </c>
      <c r="E153">
        <v>3.6</v>
      </c>
      <c r="F153">
        <v>6</v>
      </c>
      <c r="G153" t="s">
        <v>546</v>
      </c>
      <c r="H153">
        <v>6</v>
      </c>
      <c r="I153" t="s">
        <v>46</v>
      </c>
      <c r="J153">
        <v>15</v>
      </c>
      <c r="K153">
        <v>23</v>
      </c>
      <c r="L153">
        <v>18</v>
      </c>
      <c r="M153" t="s">
        <v>75</v>
      </c>
      <c r="N153">
        <v>3550</v>
      </c>
      <c r="O153">
        <v>4</v>
      </c>
      <c r="P153">
        <v>4</v>
      </c>
      <c r="Q153">
        <v>591</v>
      </c>
      <c r="R153">
        <v>387</v>
      </c>
      <c r="S153">
        <v>493</v>
      </c>
      <c r="U153">
        <v>8250</v>
      </c>
      <c r="V153" t="s">
        <v>30</v>
      </c>
      <c r="W153" t="s">
        <v>528</v>
      </c>
      <c r="X153" t="s">
        <v>565</v>
      </c>
    </row>
    <row r="154" spans="1:24" x14ac:dyDescent="0.25">
      <c r="A154">
        <v>2025</v>
      </c>
      <c r="B154" t="s">
        <v>112</v>
      </c>
      <c r="C154" t="s">
        <v>113</v>
      </c>
      <c r="D154" t="s">
        <v>1103</v>
      </c>
      <c r="E154">
        <v>2.7</v>
      </c>
      <c r="F154">
        <v>4</v>
      </c>
      <c r="G154" t="s">
        <v>554</v>
      </c>
      <c r="H154">
        <v>10</v>
      </c>
      <c r="I154" t="s">
        <v>28</v>
      </c>
      <c r="J154">
        <v>20</v>
      </c>
      <c r="K154">
        <v>28</v>
      </c>
      <c r="L154">
        <v>23</v>
      </c>
      <c r="M154" t="s">
        <v>75</v>
      </c>
      <c r="N154">
        <v>2750</v>
      </c>
      <c r="O154">
        <v>5</v>
      </c>
      <c r="P154">
        <v>5</v>
      </c>
      <c r="Q154">
        <v>445</v>
      </c>
      <c r="R154">
        <v>318</v>
      </c>
      <c r="S154">
        <v>387</v>
      </c>
      <c r="U154">
        <v>4250</v>
      </c>
      <c r="V154" t="s">
        <v>30</v>
      </c>
      <c r="W154" t="s">
        <v>528</v>
      </c>
      <c r="X154" t="s">
        <v>524</v>
      </c>
    </row>
    <row r="155" spans="1:24" x14ac:dyDescent="0.25">
      <c r="A155">
        <v>2025</v>
      </c>
      <c r="B155" t="s">
        <v>112</v>
      </c>
      <c r="C155" t="s">
        <v>113</v>
      </c>
      <c r="D155" t="s">
        <v>1102</v>
      </c>
      <c r="E155">
        <v>3</v>
      </c>
      <c r="F155">
        <v>6</v>
      </c>
      <c r="G155" t="s">
        <v>554</v>
      </c>
      <c r="H155">
        <v>10</v>
      </c>
      <c r="I155" t="s">
        <v>46</v>
      </c>
      <c r="J155">
        <v>19</v>
      </c>
      <c r="K155">
        <v>28</v>
      </c>
      <c r="L155">
        <v>22</v>
      </c>
      <c r="M155" t="s">
        <v>186</v>
      </c>
      <c r="N155">
        <v>2900</v>
      </c>
      <c r="O155">
        <v>5</v>
      </c>
      <c r="P155">
        <v>5</v>
      </c>
      <c r="Q155">
        <v>466</v>
      </c>
      <c r="R155">
        <v>318</v>
      </c>
      <c r="S155">
        <v>399</v>
      </c>
      <c r="U155">
        <v>5000</v>
      </c>
      <c r="V155" t="s">
        <v>30</v>
      </c>
      <c r="W155" t="s">
        <v>528</v>
      </c>
      <c r="X155" t="s">
        <v>524</v>
      </c>
    </row>
    <row r="156" spans="1:24" x14ac:dyDescent="0.25">
      <c r="A156">
        <v>2025</v>
      </c>
      <c r="B156" t="s">
        <v>112</v>
      </c>
      <c r="C156" t="s">
        <v>113</v>
      </c>
      <c r="D156" t="s">
        <v>1102</v>
      </c>
      <c r="E156">
        <v>2</v>
      </c>
      <c r="F156">
        <v>4</v>
      </c>
      <c r="G156" t="s">
        <v>554</v>
      </c>
      <c r="H156">
        <v>10</v>
      </c>
      <c r="I156" t="s">
        <v>46</v>
      </c>
      <c r="J156">
        <v>23</v>
      </c>
      <c r="K156">
        <v>32</v>
      </c>
      <c r="L156">
        <v>26</v>
      </c>
      <c r="M156" t="s">
        <v>186</v>
      </c>
      <c r="N156">
        <v>2450</v>
      </c>
      <c r="O156">
        <v>5</v>
      </c>
      <c r="P156">
        <v>5</v>
      </c>
      <c r="Q156">
        <v>394</v>
      </c>
      <c r="R156">
        <v>276</v>
      </c>
      <c r="S156">
        <v>341</v>
      </c>
      <c r="U156">
        <v>2750</v>
      </c>
      <c r="V156" t="s">
        <v>30</v>
      </c>
      <c r="W156" t="s">
        <v>528</v>
      </c>
      <c r="X156" t="s">
        <v>524</v>
      </c>
    </row>
    <row r="157" spans="1:24" x14ac:dyDescent="0.25">
      <c r="A157">
        <v>2025</v>
      </c>
      <c r="B157" t="s">
        <v>112</v>
      </c>
      <c r="C157" t="s">
        <v>113</v>
      </c>
      <c r="D157" t="s">
        <v>1101</v>
      </c>
      <c r="E157">
        <v>3</v>
      </c>
      <c r="F157">
        <v>6</v>
      </c>
      <c r="G157" t="s">
        <v>554</v>
      </c>
      <c r="H157">
        <v>10</v>
      </c>
      <c r="I157" t="s">
        <v>28</v>
      </c>
      <c r="J157">
        <v>18</v>
      </c>
      <c r="K157">
        <v>26</v>
      </c>
      <c r="L157">
        <v>21</v>
      </c>
      <c r="M157" t="s">
        <v>186</v>
      </c>
      <c r="N157">
        <v>3050</v>
      </c>
      <c r="O157">
        <v>4</v>
      </c>
      <c r="P157">
        <v>4</v>
      </c>
      <c r="Q157">
        <v>491</v>
      </c>
      <c r="R157">
        <v>338</v>
      </c>
      <c r="S157">
        <v>422</v>
      </c>
      <c r="U157">
        <v>5750</v>
      </c>
      <c r="V157" t="s">
        <v>30</v>
      </c>
      <c r="W157" t="s">
        <v>528</v>
      </c>
      <c r="X157" t="s">
        <v>524</v>
      </c>
    </row>
    <row r="158" spans="1:24" x14ac:dyDescent="0.25">
      <c r="A158">
        <v>2025</v>
      </c>
      <c r="B158" t="s">
        <v>112</v>
      </c>
      <c r="C158" t="s">
        <v>113</v>
      </c>
      <c r="D158" t="s">
        <v>1101</v>
      </c>
      <c r="E158">
        <v>2</v>
      </c>
      <c r="F158">
        <v>4</v>
      </c>
      <c r="G158" t="s">
        <v>554</v>
      </c>
      <c r="H158">
        <v>10</v>
      </c>
      <c r="I158" t="s">
        <v>28</v>
      </c>
      <c r="J158">
        <v>21</v>
      </c>
      <c r="K158">
        <v>30</v>
      </c>
      <c r="L158">
        <v>25</v>
      </c>
      <c r="M158" t="s">
        <v>186</v>
      </c>
      <c r="N158">
        <v>2550</v>
      </c>
      <c r="O158">
        <v>5</v>
      </c>
      <c r="P158">
        <v>5</v>
      </c>
      <c r="Q158">
        <v>415</v>
      </c>
      <c r="R158">
        <v>295</v>
      </c>
      <c r="S158">
        <v>361</v>
      </c>
      <c r="U158">
        <v>3250</v>
      </c>
      <c r="V158" t="s">
        <v>30</v>
      </c>
      <c r="W158" t="s">
        <v>528</v>
      </c>
      <c r="X158" t="s">
        <v>524</v>
      </c>
    </row>
    <row r="159" spans="1:24" x14ac:dyDescent="0.25">
      <c r="A159">
        <v>2025</v>
      </c>
      <c r="B159" t="s">
        <v>112</v>
      </c>
      <c r="C159" t="s">
        <v>113</v>
      </c>
      <c r="D159" t="s">
        <v>1100</v>
      </c>
      <c r="E159">
        <v>3</v>
      </c>
      <c r="F159">
        <v>6</v>
      </c>
      <c r="G159" t="s">
        <v>554</v>
      </c>
      <c r="H159">
        <v>10</v>
      </c>
      <c r="I159" t="s">
        <v>46</v>
      </c>
      <c r="J159">
        <v>18</v>
      </c>
      <c r="K159">
        <v>27</v>
      </c>
      <c r="L159">
        <v>21</v>
      </c>
      <c r="M159" t="s">
        <v>186</v>
      </c>
      <c r="N159">
        <v>3050</v>
      </c>
      <c r="O159">
        <v>4</v>
      </c>
      <c r="P159">
        <v>4</v>
      </c>
      <c r="Q159">
        <v>495</v>
      </c>
      <c r="R159">
        <v>330</v>
      </c>
      <c r="S159">
        <v>424</v>
      </c>
      <c r="U159">
        <v>5750</v>
      </c>
      <c r="V159" t="s">
        <v>30</v>
      </c>
      <c r="W159" t="s">
        <v>528</v>
      </c>
      <c r="X159" t="s">
        <v>524</v>
      </c>
    </row>
    <row r="160" spans="1:24" x14ac:dyDescent="0.25">
      <c r="A160">
        <v>2025</v>
      </c>
      <c r="B160" t="s">
        <v>112</v>
      </c>
      <c r="C160" t="s">
        <v>113</v>
      </c>
      <c r="D160" t="s">
        <v>1100</v>
      </c>
      <c r="E160">
        <v>6.2</v>
      </c>
      <c r="F160">
        <v>8</v>
      </c>
      <c r="G160" t="s">
        <v>554</v>
      </c>
      <c r="H160">
        <v>10</v>
      </c>
      <c r="I160" t="s">
        <v>46</v>
      </c>
      <c r="J160">
        <v>13</v>
      </c>
      <c r="K160">
        <v>20</v>
      </c>
      <c r="L160">
        <v>15</v>
      </c>
      <c r="M160" t="s">
        <v>186</v>
      </c>
      <c r="N160">
        <v>4250</v>
      </c>
      <c r="O160">
        <v>2</v>
      </c>
      <c r="P160">
        <v>2</v>
      </c>
      <c r="Q160">
        <v>697</v>
      </c>
      <c r="R160">
        <v>436</v>
      </c>
      <c r="S160">
        <v>579</v>
      </c>
      <c r="U160">
        <v>11750</v>
      </c>
      <c r="V160" t="s">
        <v>633</v>
      </c>
      <c r="W160" t="s">
        <v>815</v>
      </c>
      <c r="X160" t="s">
        <v>565</v>
      </c>
    </row>
    <row r="161" spans="1:24" x14ac:dyDescent="0.25">
      <c r="A161">
        <v>2025</v>
      </c>
      <c r="B161" t="s">
        <v>112</v>
      </c>
      <c r="C161" t="s">
        <v>113</v>
      </c>
      <c r="D161" t="s">
        <v>1100</v>
      </c>
      <c r="E161">
        <v>6.2</v>
      </c>
      <c r="F161">
        <v>8</v>
      </c>
      <c r="G161" t="s">
        <v>546</v>
      </c>
      <c r="H161">
        <v>6</v>
      </c>
      <c r="I161" t="s">
        <v>46</v>
      </c>
      <c r="J161">
        <v>13</v>
      </c>
      <c r="K161">
        <v>20</v>
      </c>
      <c r="L161">
        <v>15</v>
      </c>
      <c r="M161" t="s">
        <v>186</v>
      </c>
      <c r="N161">
        <v>4250</v>
      </c>
      <c r="O161">
        <v>2</v>
      </c>
      <c r="P161">
        <v>2</v>
      </c>
      <c r="Q161">
        <v>708</v>
      </c>
      <c r="R161">
        <v>438</v>
      </c>
      <c r="S161">
        <v>587</v>
      </c>
      <c r="U161">
        <v>11750</v>
      </c>
      <c r="V161" t="s">
        <v>633</v>
      </c>
      <c r="W161" t="s">
        <v>815</v>
      </c>
      <c r="X161" t="s">
        <v>565</v>
      </c>
    </row>
    <row r="162" spans="1:24" x14ac:dyDescent="0.25">
      <c r="A162">
        <v>2025</v>
      </c>
      <c r="B162" t="s">
        <v>112</v>
      </c>
      <c r="C162" t="s">
        <v>113</v>
      </c>
      <c r="D162" t="s">
        <v>1099</v>
      </c>
      <c r="E162">
        <v>3</v>
      </c>
      <c r="F162">
        <v>6</v>
      </c>
      <c r="G162" t="s">
        <v>554</v>
      </c>
      <c r="H162">
        <v>10</v>
      </c>
      <c r="I162" t="s">
        <v>28</v>
      </c>
      <c r="J162">
        <v>17</v>
      </c>
      <c r="K162">
        <v>26</v>
      </c>
      <c r="L162">
        <v>20</v>
      </c>
      <c r="M162" t="s">
        <v>186</v>
      </c>
      <c r="N162">
        <v>3200</v>
      </c>
      <c r="O162">
        <v>4</v>
      </c>
      <c r="P162">
        <v>4</v>
      </c>
      <c r="Q162">
        <v>523</v>
      </c>
      <c r="R162">
        <v>338</v>
      </c>
      <c r="S162">
        <v>445</v>
      </c>
      <c r="U162">
        <v>6500</v>
      </c>
      <c r="V162" t="s">
        <v>30</v>
      </c>
      <c r="W162" t="s">
        <v>528</v>
      </c>
      <c r="X162" t="s">
        <v>524</v>
      </c>
    </row>
    <row r="163" spans="1:24" x14ac:dyDescent="0.25">
      <c r="A163">
        <v>2025</v>
      </c>
      <c r="B163" t="s">
        <v>112</v>
      </c>
      <c r="C163" t="s">
        <v>113</v>
      </c>
      <c r="D163" t="s">
        <v>1098</v>
      </c>
      <c r="E163">
        <v>6.2</v>
      </c>
      <c r="F163">
        <v>8</v>
      </c>
      <c r="G163" t="s">
        <v>984</v>
      </c>
      <c r="H163">
        <v>10</v>
      </c>
      <c r="I163" t="s">
        <v>46</v>
      </c>
      <c r="J163">
        <v>15</v>
      </c>
      <c r="K163">
        <v>19</v>
      </c>
      <c r="L163">
        <v>17</v>
      </c>
      <c r="M163" t="s">
        <v>47</v>
      </c>
      <c r="N163">
        <v>3750</v>
      </c>
      <c r="O163">
        <v>3</v>
      </c>
      <c r="P163">
        <v>3</v>
      </c>
      <c r="Q163">
        <v>594</v>
      </c>
      <c r="R163">
        <v>467</v>
      </c>
      <c r="S163">
        <v>537</v>
      </c>
      <c r="U163">
        <v>9250</v>
      </c>
      <c r="V163" t="s">
        <v>30</v>
      </c>
      <c r="W163" t="s">
        <v>558</v>
      </c>
      <c r="X163" t="s">
        <v>524</v>
      </c>
    </row>
    <row r="164" spans="1:24" x14ac:dyDescent="0.25">
      <c r="A164">
        <v>2025</v>
      </c>
      <c r="B164" t="s">
        <v>112</v>
      </c>
      <c r="C164" t="s">
        <v>113</v>
      </c>
      <c r="D164" t="s">
        <v>1097</v>
      </c>
      <c r="E164">
        <v>6.2</v>
      </c>
      <c r="F164">
        <v>8</v>
      </c>
      <c r="G164" t="s">
        <v>984</v>
      </c>
      <c r="H164">
        <v>10</v>
      </c>
      <c r="I164" t="s">
        <v>107</v>
      </c>
      <c r="J164">
        <v>14</v>
      </c>
      <c r="K164">
        <v>18</v>
      </c>
      <c r="L164">
        <v>16</v>
      </c>
      <c r="M164" t="s">
        <v>29</v>
      </c>
      <c r="N164">
        <v>4000</v>
      </c>
      <c r="O164">
        <v>3</v>
      </c>
      <c r="P164">
        <v>3</v>
      </c>
      <c r="Q164">
        <v>634</v>
      </c>
      <c r="R164">
        <v>495</v>
      </c>
      <c r="S164">
        <v>572</v>
      </c>
      <c r="U164">
        <v>10500</v>
      </c>
      <c r="V164" t="s">
        <v>30</v>
      </c>
      <c r="W164" t="s">
        <v>558</v>
      </c>
      <c r="X164" t="s">
        <v>524</v>
      </c>
    </row>
    <row r="165" spans="1:24" x14ac:dyDescent="0.25">
      <c r="A165">
        <v>2025</v>
      </c>
      <c r="B165" t="s">
        <v>112</v>
      </c>
      <c r="C165" t="s">
        <v>113</v>
      </c>
      <c r="D165" t="s">
        <v>1096</v>
      </c>
      <c r="E165">
        <v>6.2</v>
      </c>
      <c r="F165">
        <v>8</v>
      </c>
      <c r="G165" t="s">
        <v>554</v>
      </c>
      <c r="H165">
        <v>10</v>
      </c>
      <c r="I165" t="s">
        <v>107</v>
      </c>
      <c r="J165">
        <v>11</v>
      </c>
      <c r="K165">
        <v>17</v>
      </c>
      <c r="L165">
        <v>13</v>
      </c>
      <c r="M165" t="s">
        <v>29</v>
      </c>
      <c r="N165">
        <v>4900</v>
      </c>
      <c r="O165">
        <v>1</v>
      </c>
      <c r="P165">
        <v>1</v>
      </c>
      <c r="Q165">
        <v>782</v>
      </c>
      <c r="R165">
        <v>523</v>
      </c>
      <c r="S165">
        <v>683</v>
      </c>
      <c r="U165">
        <v>15000</v>
      </c>
      <c r="V165" t="s">
        <v>30</v>
      </c>
      <c r="W165" t="s">
        <v>815</v>
      </c>
      <c r="X165" t="s">
        <v>565</v>
      </c>
    </row>
    <row r="166" spans="1:24" x14ac:dyDescent="0.25">
      <c r="A166">
        <v>2025</v>
      </c>
      <c r="B166" t="s">
        <v>112</v>
      </c>
      <c r="C166" t="s">
        <v>113</v>
      </c>
      <c r="D166" t="s">
        <v>1095</v>
      </c>
      <c r="E166">
        <v>2</v>
      </c>
      <c r="F166">
        <v>4</v>
      </c>
      <c r="G166" t="s">
        <v>686</v>
      </c>
      <c r="H166">
        <v>9</v>
      </c>
      <c r="I166" t="s">
        <v>28</v>
      </c>
      <c r="J166">
        <v>23</v>
      </c>
      <c r="K166">
        <v>28</v>
      </c>
      <c r="L166">
        <v>25</v>
      </c>
      <c r="M166" t="s">
        <v>118</v>
      </c>
      <c r="N166">
        <v>2550</v>
      </c>
      <c r="O166">
        <v>5</v>
      </c>
      <c r="P166">
        <v>5</v>
      </c>
      <c r="Q166">
        <v>392</v>
      </c>
      <c r="R166">
        <v>315</v>
      </c>
      <c r="S166">
        <v>357</v>
      </c>
      <c r="U166">
        <v>3250</v>
      </c>
      <c r="V166" t="s">
        <v>30</v>
      </c>
      <c r="W166" t="s">
        <v>528</v>
      </c>
      <c r="X166" t="s">
        <v>524</v>
      </c>
    </row>
    <row r="167" spans="1:24" x14ac:dyDescent="0.25">
      <c r="A167">
        <v>2025</v>
      </c>
      <c r="B167" t="s">
        <v>112</v>
      </c>
      <c r="C167" t="s">
        <v>113</v>
      </c>
      <c r="D167" t="s">
        <v>1094</v>
      </c>
      <c r="E167">
        <v>2</v>
      </c>
      <c r="F167">
        <v>4</v>
      </c>
      <c r="G167" t="s">
        <v>686</v>
      </c>
      <c r="H167">
        <v>9</v>
      </c>
      <c r="I167" t="s">
        <v>128</v>
      </c>
      <c r="J167">
        <v>24</v>
      </c>
      <c r="K167">
        <v>29</v>
      </c>
      <c r="L167">
        <v>26</v>
      </c>
      <c r="M167" t="s">
        <v>115</v>
      </c>
      <c r="N167">
        <v>2450</v>
      </c>
      <c r="O167">
        <v>5</v>
      </c>
      <c r="P167">
        <v>5</v>
      </c>
      <c r="Q167">
        <v>376</v>
      </c>
      <c r="R167">
        <v>303</v>
      </c>
      <c r="S167">
        <v>343</v>
      </c>
      <c r="U167">
        <v>2750</v>
      </c>
      <c r="V167" t="s">
        <v>30</v>
      </c>
      <c r="W167" t="s">
        <v>528</v>
      </c>
      <c r="X167" t="s">
        <v>524</v>
      </c>
    </row>
    <row r="168" spans="1:24" x14ac:dyDescent="0.25">
      <c r="A168">
        <v>2025</v>
      </c>
      <c r="B168" t="s">
        <v>112</v>
      </c>
      <c r="C168" t="s">
        <v>113</v>
      </c>
      <c r="D168" t="s">
        <v>1093</v>
      </c>
      <c r="E168">
        <v>2</v>
      </c>
      <c r="F168">
        <v>4</v>
      </c>
      <c r="G168" t="s">
        <v>686</v>
      </c>
      <c r="H168">
        <v>9</v>
      </c>
      <c r="I168" t="s">
        <v>28</v>
      </c>
      <c r="J168">
        <v>21</v>
      </c>
      <c r="K168">
        <v>27</v>
      </c>
      <c r="L168">
        <v>23</v>
      </c>
      <c r="M168" t="s">
        <v>118</v>
      </c>
      <c r="N168">
        <v>2750</v>
      </c>
      <c r="O168">
        <v>5</v>
      </c>
      <c r="P168">
        <v>5</v>
      </c>
      <c r="Q168">
        <v>422</v>
      </c>
      <c r="R168">
        <v>329</v>
      </c>
      <c r="S168">
        <v>386</v>
      </c>
      <c r="U168">
        <v>4250</v>
      </c>
      <c r="V168" t="s">
        <v>30</v>
      </c>
      <c r="W168" t="s">
        <v>528</v>
      </c>
      <c r="X168" t="s">
        <v>524</v>
      </c>
    </row>
    <row r="169" spans="1:24" x14ac:dyDescent="0.25">
      <c r="A169">
        <v>2025</v>
      </c>
      <c r="B169" t="s">
        <v>112</v>
      </c>
      <c r="C169" t="s">
        <v>113</v>
      </c>
      <c r="D169" t="s">
        <v>1093</v>
      </c>
      <c r="E169">
        <v>3.6</v>
      </c>
      <c r="F169">
        <v>6</v>
      </c>
      <c r="G169" t="s">
        <v>686</v>
      </c>
      <c r="H169">
        <v>9</v>
      </c>
      <c r="I169" t="s">
        <v>28</v>
      </c>
      <c r="J169">
        <v>18</v>
      </c>
      <c r="K169">
        <v>26</v>
      </c>
      <c r="L169">
        <v>21</v>
      </c>
      <c r="M169" t="s">
        <v>118</v>
      </c>
      <c r="N169">
        <v>2500</v>
      </c>
      <c r="O169">
        <v>4</v>
      </c>
      <c r="P169">
        <v>4</v>
      </c>
      <c r="Q169">
        <v>486</v>
      </c>
      <c r="R169">
        <v>348</v>
      </c>
      <c r="S169">
        <v>424</v>
      </c>
      <c r="U169">
        <v>3000</v>
      </c>
      <c r="V169" t="s">
        <v>30</v>
      </c>
      <c r="W169" t="s">
        <v>558</v>
      </c>
      <c r="X169" t="s">
        <v>524</v>
      </c>
    </row>
    <row r="170" spans="1:24" x14ac:dyDescent="0.25">
      <c r="A170">
        <v>2025</v>
      </c>
      <c r="B170" t="s">
        <v>112</v>
      </c>
      <c r="C170" t="s">
        <v>113</v>
      </c>
      <c r="D170" t="s">
        <v>1092</v>
      </c>
      <c r="E170">
        <v>2</v>
      </c>
      <c r="F170">
        <v>4</v>
      </c>
      <c r="G170" t="s">
        <v>686</v>
      </c>
      <c r="H170">
        <v>9</v>
      </c>
      <c r="I170" t="s">
        <v>128</v>
      </c>
      <c r="J170">
        <v>22</v>
      </c>
      <c r="K170">
        <v>29</v>
      </c>
      <c r="L170">
        <v>24</v>
      </c>
      <c r="M170" t="s">
        <v>115</v>
      </c>
      <c r="N170">
        <v>2650</v>
      </c>
      <c r="O170">
        <v>5</v>
      </c>
      <c r="P170">
        <v>5</v>
      </c>
      <c r="Q170">
        <v>403</v>
      </c>
      <c r="R170">
        <v>303</v>
      </c>
      <c r="S170">
        <v>370</v>
      </c>
      <c r="U170">
        <v>3750</v>
      </c>
      <c r="V170" t="s">
        <v>30</v>
      </c>
      <c r="W170" t="s">
        <v>528</v>
      </c>
      <c r="X170" t="s">
        <v>524</v>
      </c>
    </row>
    <row r="171" spans="1:24" x14ac:dyDescent="0.25">
      <c r="A171">
        <v>2025</v>
      </c>
      <c r="B171" t="s">
        <v>112</v>
      </c>
      <c r="C171" t="s">
        <v>113</v>
      </c>
      <c r="D171" t="s">
        <v>1092</v>
      </c>
      <c r="E171">
        <v>3.6</v>
      </c>
      <c r="F171">
        <v>6</v>
      </c>
      <c r="G171" t="s">
        <v>686</v>
      </c>
      <c r="H171">
        <v>9</v>
      </c>
      <c r="I171" t="s">
        <v>128</v>
      </c>
      <c r="J171">
        <v>19</v>
      </c>
      <c r="K171">
        <v>26</v>
      </c>
      <c r="L171">
        <v>21</v>
      </c>
      <c r="M171" t="s">
        <v>115</v>
      </c>
      <c r="N171">
        <v>2500</v>
      </c>
      <c r="O171">
        <v>4</v>
      </c>
      <c r="P171">
        <v>4</v>
      </c>
      <c r="Q171">
        <v>479</v>
      </c>
      <c r="R171">
        <v>344</v>
      </c>
      <c r="S171">
        <v>418</v>
      </c>
      <c r="U171">
        <v>3000</v>
      </c>
      <c r="V171" t="s">
        <v>30</v>
      </c>
      <c r="W171" t="s">
        <v>558</v>
      </c>
      <c r="X171" t="s">
        <v>524</v>
      </c>
    </row>
    <row r="172" spans="1:24" x14ac:dyDescent="0.25">
      <c r="A172">
        <v>2025</v>
      </c>
      <c r="B172" t="s">
        <v>112</v>
      </c>
      <c r="C172" t="s">
        <v>113</v>
      </c>
      <c r="D172" t="s">
        <v>1091</v>
      </c>
      <c r="E172">
        <v>2</v>
      </c>
      <c r="F172">
        <v>4</v>
      </c>
      <c r="G172" t="s">
        <v>686</v>
      </c>
      <c r="H172">
        <v>9</v>
      </c>
      <c r="I172" t="s">
        <v>28</v>
      </c>
      <c r="J172">
        <v>21</v>
      </c>
      <c r="K172">
        <v>26</v>
      </c>
      <c r="L172">
        <v>23</v>
      </c>
      <c r="M172" t="s">
        <v>118</v>
      </c>
      <c r="N172">
        <v>2750</v>
      </c>
      <c r="O172">
        <v>5</v>
      </c>
      <c r="P172">
        <v>5</v>
      </c>
      <c r="Q172">
        <v>422</v>
      </c>
      <c r="R172">
        <v>341</v>
      </c>
      <c r="S172">
        <v>386</v>
      </c>
      <c r="U172">
        <v>4250</v>
      </c>
      <c r="V172" t="s">
        <v>30</v>
      </c>
      <c r="W172" t="s">
        <v>528</v>
      </c>
      <c r="X172" t="s">
        <v>524</v>
      </c>
    </row>
    <row r="173" spans="1:24" x14ac:dyDescent="0.25">
      <c r="A173">
        <v>2025</v>
      </c>
      <c r="B173" t="s">
        <v>112</v>
      </c>
      <c r="C173" t="s">
        <v>113</v>
      </c>
      <c r="D173" t="s">
        <v>1091</v>
      </c>
      <c r="E173">
        <v>3.6</v>
      </c>
      <c r="F173">
        <v>6</v>
      </c>
      <c r="G173" t="s">
        <v>686</v>
      </c>
      <c r="H173">
        <v>9</v>
      </c>
      <c r="I173" t="s">
        <v>28</v>
      </c>
      <c r="J173">
        <v>18</v>
      </c>
      <c r="K173">
        <v>25</v>
      </c>
      <c r="L173">
        <v>20</v>
      </c>
      <c r="M173" t="s">
        <v>118</v>
      </c>
      <c r="N173">
        <v>2600</v>
      </c>
      <c r="O173">
        <v>4</v>
      </c>
      <c r="P173">
        <v>4</v>
      </c>
      <c r="Q173">
        <v>497</v>
      </c>
      <c r="R173">
        <v>360</v>
      </c>
      <c r="S173">
        <v>435</v>
      </c>
      <c r="U173">
        <v>3500</v>
      </c>
      <c r="V173" t="s">
        <v>30</v>
      </c>
      <c r="W173" t="s">
        <v>558</v>
      </c>
      <c r="X173" t="s">
        <v>524</v>
      </c>
    </row>
    <row r="174" spans="1:24" x14ac:dyDescent="0.25">
      <c r="A174">
        <v>2025</v>
      </c>
      <c r="B174" t="s">
        <v>112</v>
      </c>
      <c r="C174" t="s">
        <v>113</v>
      </c>
      <c r="D174" t="s">
        <v>1090</v>
      </c>
      <c r="E174">
        <v>2</v>
      </c>
      <c r="F174">
        <v>4</v>
      </c>
      <c r="G174" t="s">
        <v>686</v>
      </c>
      <c r="H174">
        <v>9</v>
      </c>
      <c r="I174" t="s">
        <v>128</v>
      </c>
      <c r="J174">
        <v>21</v>
      </c>
      <c r="K174">
        <v>27</v>
      </c>
      <c r="L174">
        <v>23</v>
      </c>
      <c r="M174" t="s">
        <v>115</v>
      </c>
      <c r="N174">
        <v>2750</v>
      </c>
      <c r="O174">
        <v>5</v>
      </c>
      <c r="P174">
        <v>5</v>
      </c>
      <c r="Q174">
        <v>418</v>
      </c>
      <c r="R174">
        <v>324</v>
      </c>
      <c r="S174">
        <v>386</v>
      </c>
      <c r="U174">
        <v>4250</v>
      </c>
      <c r="V174" t="s">
        <v>30</v>
      </c>
      <c r="W174" t="s">
        <v>528</v>
      </c>
      <c r="X174" t="s">
        <v>524</v>
      </c>
    </row>
    <row r="175" spans="1:24" x14ac:dyDescent="0.25">
      <c r="A175">
        <v>2025</v>
      </c>
      <c r="B175" t="s">
        <v>112</v>
      </c>
      <c r="C175" t="s">
        <v>113</v>
      </c>
      <c r="D175" t="s">
        <v>1090</v>
      </c>
      <c r="E175">
        <v>3.6</v>
      </c>
      <c r="F175">
        <v>6</v>
      </c>
      <c r="G175" t="s">
        <v>686</v>
      </c>
      <c r="H175">
        <v>9</v>
      </c>
      <c r="I175" t="s">
        <v>128</v>
      </c>
      <c r="J175">
        <v>19</v>
      </c>
      <c r="K175">
        <v>26</v>
      </c>
      <c r="L175">
        <v>21</v>
      </c>
      <c r="M175" t="s">
        <v>115</v>
      </c>
      <c r="N175">
        <v>2500</v>
      </c>
      <c r="O175">
        <v>4</v>
      </c>
      <c r="P175">
        <v>4</v>
      </c>
      <c r="Q175">
        <v>479</v>
      </c>
      <c r="R175">
        <v>344</v>
      </c>
      <c r="S175">
        <v>418</v>
      </c>
      <c r="U175">
        <v>3000</v>
      </c>
      <c r="V175" t="s">
        <v>30</v>
      </c>
      <c r="W175" t="s">
        <v>558</v>
      </c>
      <c r="X175" t="s">
        <v>524</v>
      </c>
    </row>
    <row r="176" spans="1:24" x14ac:dyDescent="0.25">
      <c r="A176">
        <v>2025</v>
      </c>
      <c r="B176" t="s">
        <v>112</v>
      </c>
      <c r="C176" t="s">
        <v>123</v>
      </c>
      <c r="D176" t="s">
        <v>1089</v>
      </c>
      <c r="E176">
        <v>2</v>
      </c>
      <c r="F176">
        <v>4</v>
      </c>
      <c r="G176" t="s">
        <v>735</v>
      </c>
      <c r="H176">
        <v>9</v>
      </c>
      <c r="I176" t="s">
        <v>28</v>
      </c>
      <c r="J176">
        <v>22</v>
      </c>
      <c r="K176">
        <v>27</v>
      </c>
      <c r="L176">
        <v>24</v>
      </c>
      <c r="M176" t="s">
        <v>118</v>
      </c>
      <c r="N176">
        <v>2200</v>
      </c>
      <c r="O176">
        <v>5</v>
      </c>
      <c r="P176">
        <v>5</v>
      </c>
      <c r="Q176">
        <v>402</v>
      </c>
      <c r="R176">
        <v>328</v>
      </c>
      <c r="S176">
        <v>368</v>
      </c>
      <c r="U176">
        <v>1500</v>
      </c>
      <c r="V176" t="s">
        <v>30</v>
      </c>
      <c r="W176" t="s">
        <v>528</v>
      </c>
      <c r="X176" t="s">
        <v>524</v>
      </c>
    </row>
    <row r="177" spans="1:24" x14ac:dyDescent="0.25">
      <c r="A177">
        <v>2025</v>
      </c>
      <c r="B177" t="s">
        <v>112</v>
      </c>
      <c r="C177" t="s">
        <v>123</v>
      </c>
      <c r="D177" t="s">
        <v>1089</v>
      </c>
      <c r="E177">
        <v>3.6</v>
      </c>
      <c r="F177">
        <v>6</v>
      </c>
      <c r="G177" t="s">
        <v>735</v>
      </c>
      <c r="H177">
        <v>9</v>
      </c>
      <c r="I177" t="s">
        <v>28</v>
      </c>
      <c r="J177">
        <v>18</v>
      </c>
      <c r="K177">
        <v>26</v>
      </c>
      <c r="L177">
        <v>21</v>
      </c>
      <c r="M177" t="s">
        <v>118</v>
      </c>
      <c r="N177">
        <v>2500</v>
      </c>
      <c r="O177">
        <v>4</v>
      </c>
      <c r="P177">
        <v>4</v>
      </c>
      <c r="Q177">
        <v>485</v>
      </c>
      <c r="R177">
        <v>345</v>
      </c>
      <c r="S177">
        <v>422</v>
      </c>
      <c r="U177">
        <v>3000</v>
      </c>
      <c r="V177" t="s">
        <v>30</v>
      </c>
      <c r="W177" t="s">
        <v>558</v>
      </c>
      <c r="X177" t="s">
        <v>524</v>
      </c>
    </row>
    <row r="178" spans="1:24" x14ac:dyDescent="0.25">
      <c r="A178">
        <v>2025</v>
      </c>
      <c r="B178" t="s">
        <v>112</v>
      </c>
      <c r="C178" t="s">
        <v>123</v>
      </c>
      <c r="D178" t="s">
        <v>1088</v>
      </c>
      <c r="E178">
        <v>2</v>
      </c>
      <c r="F178">
        <v>4</v>
      </c>
      <c r="G178" t="s">
        <v>735</v>
      </c>
      <c r="H178">
        <v>9</v>
      </c>
      <c r="I178" t="s">
        <v>128</v>
      </c>
      <c r="J178">
        <v>22</v>
      </c>
      <c r="K178">
        <v>29</v>
      </c>
      <c r="L178">
        <v>25</v>
      </c>
      <c r="M178" t="s">
        <v>115</v>
      </c>
      <c r="N178">
        <v>2100</v>
      </c>
      <c r="O178">
        <v>5</v>
      </c>
      <c r="P178">
        <v>5</v>
      </c>
      <c r="Q178">
        <v>390</v>
      </c>
      <c r="R178">
        <v>302</v>
      </c>
      <c r="S178">
        <v>350</v>
      </c>
      <c r="U178">
        <v>1000</v>
      </c>
      <c r="V178" t="s">
        <v>30</v>
      </c>
      <c r="W178" t="s">
        <v>528</v>
      </c>
      <c r="X178" t="s">
        <v>524</v>
      </c>
    </row>
    <row r="179" spans="1:24" x14ac:dyDescent="0.25">
      <c r="A179">
        <v>2025</v>
      </c>
      <c r="B179" t="s">
        <v>112</v>
      </c>
      <c r="C179" t="s">
        <v>123</v>
      </c>
      <c r="D179" t="s">
        <v>1088</v>
      </c>
      <c r="E179">
        <v>3.6</v>
      </c>
      <c r="F179">
        <v>6</v>
      </c>
      <c r="G179" t="s">
        <v>735</v>
      </c>
      <c r="H179">
        <v>9</v>
      </c>
      <c r="I179" t="s">
        <v>128</v>
      </c>
      <c r="J179">
        <v>19</v>
      </c>
      <c r="K179">
        <v>26</v>
      </c>
      <c r="L179">
        <v>22</v>
      </c>
      <c r="M179" t="s">
        <v>115</v>
      </c>
      <c r="N179">
        <v>2400</v>
      </c>
      <c r="O179">
        <v>5</v>
      </c>
      <c r="P179">
        <v>5</v>
      </c>
      <c r="Q179">
        <v>467</v>
      </c>
      <c r="R179">
        <v>342</v>
      </c>
      <c r="S179">
        <v>411</v>
      </c>
      <c r="U179">
        <v>2500</v>
      </c>
      <c r="V179" t="s">
        <v>30</v>
      </c>
      <c r="W179" t="s">
        <v>558</v>
      </c>
      <c r="X179" t="s">
        <v>524</v>
      </c>
    </row>
    <row r="180" spans="1:24" x14ac:dyDescent="0.25">
      <c r="A180">
        <v>2025</v>
      </c>
      <c r="B180" t="s">
        <v>112</v>
      </c>
      <c r="C180" t="s">
        <v>123</v>
      </c>
      <c r="D180" t="s">
        <v>1087</v>
      </c>
      <c r="E180">
        <v>2.7</v>
      </c>
      <c r="F180">
        <v>4</v>
      </c>
      <c r="G180" t="s">
        <v>641</v>
      </c>
      <c r="H180">
        <v>8</v>
      </c>
      <c r="I180" t="s">
        <v>46</v>
      </c>
      <c r="J180">
        <v>19</v>
      </c>
      <c r="K180">
        <v>23</v>
      </c>
      <c r="L180">
        <v>20</v>
      </c>
      <c r="M180" t="s">
        <v>463</v>
      </c>
      <c r="N180">
        <v>2600</v>
      </c>
      <c r="O180">
        <v>4</v>
      </c>
      <c r="P180">
        <v>4</v>
      </c>
      <c r="Q180">
        <v>472</v>
      </c>
      <c r="R180">
        <v>388</v>
      </c>
      <c r="S180">
        <v>434</v>
      </c>
      <c r="U180">
        <v>3500</v>
      </c>
      <c r="V180" t="s">
        <v>30</v>
      </c>
      <c r="W180" t="s">
        <v>528</v>
      </c>
      <c r="X180" t="s">
        <v>524</v>
      </c>
    </row>
    <row r="181" spans="1:24" x14ac:dyDescent="0.25">
      <c r="A181">
        <v>2025</v>
      </c>
      <c r="B181" t="s">
        <v>112</v>
      </c>
      <c r="C181" t="s">
        <v>123</v>
      </c>
      <c r="D181" t="s">
        <v>1086</v>
      </c>
      <c r="E181">
        <v>2.7</v>
      </c>
      <c r="F181">
        <v>4</v>
      </c>
      <c r="G181" t="s">
        <v>641</v>
      </c>
      <c r="H181">
        <v>8</v>
      </c>
      <c r="I181" t="s">
        <v>107</v>
      </c>
      <c r="J181">
        <v>17</v>
      </c>
      <c r="K181">
        <v>21</v>
      </c>
      <c r="L181">
        <v>19</v>
      </c>
      <c r="M181" t="s">
        <v>135</v>
      </c>
      <c r="N181">
        <v>2750</v>
      </c>
      <c r="O181">
        <v>4</v>
      </c>
      <c r="P181">
        <v>4</v>
      </c>
      <c r="Q181">
        <v>520</v>
      </c>
      <c r="R181">
        <v>446</v>
      </c>
      <c r="S181">
        <v>487</v>
      </c>
      <c r="U181">
        <v>4250</v>
      </c>
      <c r="V181" t="s">
        <v>30</v>
      </c>
      <c r="W181" t="s">
        <v>528</v>
      </c>
      <c r="X181" t="s">
        <v>524</v>
      </c>
    </row>
    <row r="182" spans="1:24" x14ac:dyDescent="0.25">
      <c r="A182">
        <v>2025</v>
      </c>
      <c r="B182" t="s">
        <v>112</v>
      </c>
      <c r="C182" t="s">
        <v>123</v>
      </c>
      <c r="D182" t="s">
        <v>1085</v>
      </c>
      <c r="E182">
        <v>2.7</v>
      </c>
      <c r="F182">
        <v>4</v>
      </c>
      <c r="G182" t="s">
        <v>641</v>
      </c>
      <c r="H182">
        <v>8</v>
      </c>
      <c r="I182" t="s">
        <v>107</v>
      </c>
      <c r="J182">
        <v>17</v>
      </c>
      <c r="K182">
        <v>20</v>
      </c>
      <c r="L182">
        <v>18</v>
      </c>
      <c r="M182" t="s">
        <v>135</v>
      </c>
      <c r="N182">
        <v>2900</v>
      </c>
      <c r="O182">
        <v>4</v>
      </c>
      <c r="P182">
        <v>4</v>
      </c>
      <c r="Q182">
        <v>529</v>
      </c>
      <c r="R182">
        <v>451</v>
      </c>
      <c r="S182">
        <v>494</v>
      </c>
      <c r="U182">
        <v>5000</v>
      </c>
      <c r="V182" t="s">
        <v>30</v>
      </c>
      <c r="W182" t="s">
        <v>528</v>
      </c>
      <c r="X182" t="s">
        <v>524</v>
      </c>
    </row>
    <row r="183" spans="1:24" x14ac:dyDescent="0.25">
      <c r="A183">
        <v>2025</v>
      </c>
      <c r="B183" t="s">
        <v>112</v>
      </c>
      <c r="C183" t="s">
        <v>123</v>
      </c>
      <c r="D183" t="s">
        <v>1084</v>
      </c>
      <c r="E183">
        <v>2.7</v>
      </c>
      <c r="F183">
        <v>4</v>
      </c>
      <c r="G183" t="s">
        <v>641</v>
      </c>
      <c r="H183">
        <v>8</v>
      </c>
      <c r="I183" t="s">
        <v>107</v>
      </c>
      <c r="J183">
        <v>17</v>
      </c>
      <c r="K183">
        <v>17</v>
      </c>
      <c r="L183">
        <v>17</v>
      </c>
      <c r="M183" t="s">
        <v>135</v>
      </c>
      <c r="N183">
        <v>3100</v>
      </c>
      <c r="O183">
        <v>3</v>
      </c>
      <c r="P183">
        <v>3</v>
      </c>
      <c r="Q183">
        <v>531</v>
      </c>
      <c r="R183">
        <v>522</v>
      </c>
      <c r="S183">
        <v>527</v>
      </c>
      <c r="U183">
        <v>6000</v>
      </c>
      <c r="V183" t="s">
        <v>30</v>
      </c>
      <c r="W183" t="s">
        <v>528</v>
      </c>
      <c r="X183" t="s">
        <v>524</v>
      </c>
    </row>
    <row r="184" spans="1:24" x14ac:dyDescent="0.25">
      <c r="A184">
        <v>2025</v>
      </c>
      <c r="B184" t="s">
        <v>112</v>
      </c>
      <c r="C184" t="s">
        <v>123</v>
      </c>
      <c r="D184" t="s">
        <v>1083</v>
      </c>
      <c r="E184">
        <v>2.7</v>
      </c>
      <c r="F184">
        <v>4</v>
      </c>
      <c r="G184" t="s">
        <v>641</v>
      </c>
      <c r="H184">
        <v>8</v>
      </c>
      <c r="I184" t="s">
        <v>107</v>
      </c>
      <c r="J184">
        <v>16</v>
      </c>
      <c r="K184">
        <v>16</v>
      </c>
      <c r="L184">
        <v>16</v>
      </c>
      <c r="M184" t="s">
        <v>135</v>
      </c>
      <c r="N184">
        <v>3300</v>
      </c>
      <c r="O184">
        <v>3</v>
      </c>
      <c r="P184">
        <v>3</v>
      </c>
      <c r="Q184">
        <v>559</v>
      </c>
      <c r="R184">
        <v>570</v>
      </c>
      <c r="S184">
        <v>564</v>
      </c>
      <c r="U184">
        <v>7000</v>
      </c>
      <c r="V184" t="s">
        <v>30</v>
      </c>
      <c r="W184" t="s">
        <v>528</v>
      </c>
      <c r="X184" t="s">
        <v>524</v>
      </c>
    </row>
    <row r="185" spans="1:24" x14ac:dyDescent="0.25">
      <c r="A185">
        <v>2025</v>
      </c>
      <c r="B185" t="s">
        <v>112</v>
      </c>
      <c r="C185" t="s">
        <v>123</v>
      </c>
      <c r="D185" t="s">
        <v>1082</v>
      </c>
      <c r="E185">
        <v>6.2</v>
      </c>
      <c r="F185">
        <v>8</v>
      </c>
      <c r="G185" t="s">
        <v>526</v>
      </c>
      <c r="H185">
        <v>8</v>
      </c>
      <c r="I185" t="s">
        <v>46</v>
      </c>
      <c r="J185">
        <v>16</v>
      </c>
      <c r="K185">
        <v>25</v>
      </c>
      <c r="L185">
        <v>19</v>
      </c>
      <c r="M185" t="s">
        <v>108</v>
      </c>
      <c r="N185">
        <v>3350</v>
      </c>
      <c r="O185">
        <v>4</v>
      </c>
      <c r="P185">
        <v>4</v>
      </c>
      <c r="Q185">
        <v>565</v>
      </c>
      <c r="R185">
        <v>356</v>
      </c>
      <c r="S185">
        <v>471</v>
      </c>
      <c r="U185">
        <v>7250</v>
      </c>
      <c r="V185" t="s">
        <v>30</v>
      </c>
      <c r="W185" t="s">
        <v>558</v>
      </c>
      <c r="X185" t="s">
        <v>565</v>
      </c>
    </row>
    <row r="186" spans="1:24" x14ac:dyDescent="0.25">
      <c r="A186">
        <v>2025</v>
      </c>
      <c r="B186" t="s">
        <v>112</v>
      </c>
      <c r="C186" t="s">
        <v>123</v>
      </c>
      <c r="D186" t="s">
        <v>1081</v>
      </c>
      <c r="E186">
        <v>6.2</v>
      </c>
      <c r="F186">
        <v>8</v>
      </c>
      <c r="G186" t="s">
        <v>526</v>
      </c>
      <c r="H186">
        <v>8</v>
      </c>
      <c r="I186" t="s">
        <v>28</v>
      </c>
      <c r="J186">
        <v>16</v>
      </c>
      <c r="K186">
        <v>24</v>
      </c>
      <c r="L186">
        <v>19</v>
      </c>
      <c r="M186" t="s">
        <v>108</v>
      </c>
      <c r="N186">
        <v>3350</v>
      </c>
      <c r="O186">
        <v>4</v>
      </c>
      <c r="P186">
        <v>4</v>
      </c>
      <c r="Q186">
        <v>566</v>
      </c>
      <c r="R186">
        <v>368</v>
      </c>
      <c r="S186">
        <v>477</v>
      </c>
      <c r="U186">
        <v>7250</v>
      </c>
      <c r="V186" t="s">
        <v>30</v>
      </c>
      <c r="W186" t="s">
        <v>558</v>
      </c>
      <c r="X186" t="s">
        <v>524</v>
      </c>
    </row>
    <row r="187" spans="1:24" x14ac:dyDescent="0.25">
      <c r="A187">
        <v>2025</v>
      </c>
      <c r="B187" t="s">
        <v>112</v>
      </c>
      <c r="C187" t="s">
        <v>123</v>
      </c>
      <c r="D187" t="s">
        <v>1080</v>
      </c>
      <c r="E187">
        <v>5.5</v>
      </c>
      <c r="F187">
        <v>8</v>
      </c>
      <c r="G187" t="s">
        <v>526</v>
      </c>
      <c r="H187">
        <v>8</v>
      </c>
      <c r="I187" t="s">
        <v>46</v>
      </c>
      <c r="J187">
        <v>12</v>
      </c>
      <c r="K187">
        <v>20</v>
      </c>
      <c r="L187">
        <v>14</v>
      </c>
      <c r="M187" t="s">
        <v>108</v>
      </c>
      <c r="N187">
        <v>4550</v>
      </c>
      <c r="O187">
        <v>2</v>
      </c>
      <c r="P187">
        <v>2</v>
      </c>
      <c r="Q187">
        <v>755</v>
      </c>
      <c r="R187">
        <v>442</v>
      </c>
      <c r="S187">
        <v>614</v>
      </c>
      <c r="U187">
        <v>13250</v>
      </c>
      <c r="V187" t="s">
        <v>633</v>
      </c>
      <c r="W187" t="s">
        <v>558</v>
      </c>
      <c r="X187" t="s">
        <v>565</v>
      </c>
    </row>
    <row r="188" spans="1:24" x14ac:dyDescent="0.25">
      <c r="A188">
        <v>2025</v>
      </c>
      <c r="B188" t="s">
        <v>112</v>
      </c>
      <c r="C188" t="s">
        <v>123</v>
      </c>
      <c r="D188" t="s">
        <v>1079</v>
      </c>
      <c r="E188">
        <v>5.5</v>
      </c>
      <c r="F188">
        <v>8</v>
      </c>
      <c r="G188" t="s">
        <v>526</v>
      </c>
      <c r="H188">
        <v>8</v>
      </c>
      <c r="I188" t="s">
        <v>46</v>
      </c>
      <c r="J188">
        <v>12</v>
      </c>
      <c r="K188">
        <v>19</v>
      </c>
      <c r="L188">
        <v>14</v>
      </c>
      <c r="M188" t="s">
        <v>108</v>
      </c>
      <c r="N188">
        <v>4550</v>
      </c>
      <c r="O188">
        <v>2</v>
      </c>
      <c r="P188">
        <v>2</v>
      </c>
      <c r="Q188">
        <v>756</v>
      </c>
      <c r="R188">
        <v>478</v>
      </c>
      <c r="S188">
        <v>631</v>
      </c>
      <c r="U188">
        <v>13250</v>
      </c>
      <c r="V188" t="s">
        <v>633</v>
      </c>
      <c r="W188" t="s">
        <v>558</v>
      </c>
      <c r="X188" t="s">
        <v>565</v>
      </c>
    </row>
    <row r="189" spans="1:24" x14ac:dyDescent="0.25">
      <c r="A189">
        <v>2025</v>
      </c>
      <c r="B189" t="s">
        <v>112</v>
      </c>
      <c r="C189" t="s">
        <v>123</v>
      </c>
      <c r="D189" t="s">
        <v>1078</v>
      </c>
      <c r="E189">
        <v>5.5</v>
      </c>
      <c r="F189">
        <v>8</v>
      </c>
      <c r="G189" t="s">
        <v>526</v>
      </c>
      <c r="H189">
        <v>8</v>
      </c>
      <c r="I189" t="s">
        <v>46</v>
      </c>
      <c r="J189">
        <v>12</v>
      </c>
      <c r="K189">
        <v>18</v>
      </c>
      <c r="L189">
        <v>14</v>
      </c>
      <c r="M189" t="s">
        <v>108</v>
      </c>
      <c r="N189">
        <v>4550</v>
      </c>
      <c r="O189">
        <v>2</v>
      </c>
      <c r="P189">
        <v>2</v>
      </c>
      <c r="Q189">
        <v>756</v>
      </c>
      <c r="R189">
        <v>490</v>
      </c>
      <c r="S189">
        <v>637</v>
      </c>
      <c r="U189">
        <v>13250</v>
      </c>
      <c r="V189" t="s">
        <v>633</v>
      </c>
      <c r="W189" t="s">
        <v>528</v>
      </c>
      <c r="X189" t="s">
        <v>565</v>
      </c>
    </row>
    <row r="190" spans="1:24" x14ac:dyDescent="0.25">
      <c r="A190">
        <v>2025</v>
      </c>
      <c r="B190" t="s">
        <v>112</v>
      </c>
      <c r="C190" t="s">
        <v>123</v>
      </c>
      <c r="D190" t="s">
        <v>1077</v>
      </c>
      <c r="E190">
        <v>1.5</v>
      </c>
      <c r="F190">
        <v>4</v>
      </c>
      <c r="G190" t="s">
        <v>641</v>
      </c>
      <c r="H190">
        <v>8</v>
      </c>
      <c r="I190" t="s">
        <v>28</v>
      </c>
      <c r="J190">
        <v>24</v>
      </c>
      <c r="K190">
        <v>29</v>
      </c>
      <c r="L190">
        <v>26</v>
      </c>
      <c r="M190" t="s">
        <v>118</v>
      </c>
      <c r="N190">
        <v>2000</v>
      </c>
      <c r="O190">
        <v>5</v>
      </c>
      <c r="P190">
        <v>5</v>
      </c>
      <c r="Q190">
        <v>377</v>
      </c>
      <c r="R190">
        <v>305</v>
      </c>
      <c r="S190">
        <v>344</v>
      </c>
      <c r="U190">
        <v>500</v>
      </c>
      <c r="V190" t="s">
        <v>30</v>
      </c>
      <c r="W190" t="s">
        <v>528</v>
      </c>
      <c r="X190" t="s">
        <v>524</v>
      </c>
    </row>
    <row r="191" spans="1:24" x14ac:dyDescent="0.25">
      <c r="A191">
        <v>2025</v>
      </c>
      <c r="B191" t="s">
        <v>112</v>
      </c>
      <c r="C191" t="s">
        <v>123</v>
      </c>
      <c r="D191" t="s">
        <v>1076</v>
      </c>
      <c r="E191">
        <v>1.5</v>
      </c>
      <c r="F191">
        <v>4</v>
      </c>
      <c r="G191" t="s">
        <v>562</v>
      </c>
      <c r="H191">
        <v>1</v>
      </c>
      <c r="I191" t="s">
        <v>128</v>
      </c>
      <c r="J191">
        <v>26</v>
      </c>
      <c r="K191">
        <v>28</v>
      </c>
      <c r="L191">
        <v>27</v>
      </c>
      <c r="M191" t="s">
        <v>115</v>
      </c>
      <c r="N191">
        <v>1950</v>
      </c>
      <c r="O191">
        <v>5</v>
      </c>
      <c r="P191">
        <v>5</v>
      </c>
      <c r="Q191">
        <v>346</v>
      </c>
      <c r="R191">
        <v>314</v>
      </c>
      <c r="S191">
        <v>332</v>
      </c>
      <c r="U191">
        <v>250</v>
      </c>
      <c r="V191" t="s">
        <v>30</v>
      </c>
      <c r="W191" t="s">
        <v>528</v>
      </c>
      <c r="X191" t="s">
        <v>524</v>
      </c>
    </row>
    <row r="192" spans="1:24" x14ac:dyDescent="0.25">
      <c r="A192">
        <v>2025</v>
      </c>
      <c r="B192" t="s">
        <v>112</v>
      </c>
      <c r="C192" t="s">
        <v>123</v>
      </c>
      <c r="D192" t="s">
        <v>1075</v>
      </c>
      <c r="E192">
        <v>1.5</v>
      </c>
      <c r="F192">
        <v>4</v>
      </c>
      <c r="G192" t="s">
        <v>562</v>
      </c>
      <c r="H192">
        <v>1</v>
      </c>
      <c r="I192" t="s">
        <v>128</v>
      </c>
      <c r="J192">
        <v>28</v>
      </c>
      <c r="K192">
        <v>36</v>
      </c>
      <c r="L192">
        <v>31</v>
      </c>
      <c r="M192" t="s">
        <v>186</v>
      </c>
      <c r="N192">
        <v>1700</v>
      </c>
      <c r="O192">
        <v>6</v>
      </c>
      <c r="P192">
        <v>6</v>
      </c>
      <c r="Q192">
        <v>313</v>
      </c>
      <c r="R192">
        <v>246</v>
      </c>
      <c r="S192">
        <v>283</v>
      </c>
      <c r="T192">
        <v>1000</v>
      </c>
      <c r="V192" t="s">
        <v>30</v>
      </c>
      <c r="W192" t="s">
        <v>528</v>
      </c>
      <c r="X192" t="s">
        <v>524</v>
      </c>
    </row>
    <row r="193" spans="1:24" x14ac:dyDescent="0.25">
      <c r="A193">
        <v>2025</v>
      </c>
      <c r="B193" t="s">
        <v>112</v>
      </c>
      <c r="C193" t="s">
        <v>123</v>
      </c>
      <c r="D193" t="s">
        <v>1074</v>
      </c>
      <c r="E193">
        <v>3</v>
      </c>
      <c r="F193">
        <v>6</v>
      </c>
      <c r="G193" t="s">
        <v>984</v>
      </c>
      <c r="H193">
        <v>10</v>
      </c>
      <c r="I193" t="s">
        <v>46</v>
      </c>
      <c r="J193">
        <v>23</v>
      </c>
      <c r="K193">
        <v>29</v>
      </c>
      <c r="L193">
        <v>26</v>
      </c>
      <c r="M193" t="s">
        <v>463</v>
      </c>
      <c r="N193">
        <v>2350</v>
      </c>
      <c r="O193">
        <v>5</v>
      </c>
      <c r="P193">
        <v>5</v>
      </c>
      <c r="Q193">
        <v>434</v>
      </c>
      <c r="R193">
        <v>356</v>
      </c>
      <c r="S193">
        <v>399</v>
      </c>
      <c r="U193">
        <v>2250</v>
      </c>
      <c r="V193" t="s">
        <v>30</v>
      </c>
      <c r="W193" t="s">
        <v>528</v>
      </c>
      <c r="X193" t="s">
        <v>524</v>
      </c>
    </row>
    <row r="194" spans="1:24" x14ac:dyDescent="0.25">
      <c r="A194">
        <v>2025</v>
      </c>
      <c r="B194" t="s">
        <v>112</v>
      </c>
      <c r="C194" t="s">
        <v>123</v>
      </c>
      <c r="D194" t="s">
        <v>1074</v>
      </c>
      <c r="E194">
        <v>2.7</v>
      </c>
      <c r="F194">
        <v>4</v>
      </c>
      <c r="G194" t="s">
        <v>641</v>
      </c>
      <c r="H194">
        <v>8</v>
      </c>
      <c r="I194" t="s">
        <v>46</v>
      </c>
      <c r="J194">
        <v>17</v>
      </c>
      <c r="K194">
        <v>21</v>
      </c>
      <c r="L194">
        <v>19</v>
      </c>
      <c r="M194" t="s">
        <v>463</v>
      </c>
      <c r="N194">
        <v>2750</v>
      </c>
      <c r="O194">
        <v>4</v>
      </c>
      <c r="P194">
        <v>4</v>
      </c>
      <c r="Q194">
        <v>506</v>
      </c>
      <c r="R194">
        <v>426</v>
      </c>
      <c r="S194">
        <v>470</v>
      </c>
      <c r="U194">
        <v>4250</v>
      </c>
      <c r="V194" t="s">
        <v>30</v>
      </c>
      <c r="W194" t="s">
        <v>528</v>
      </c>
      <c r="X194" t="s">
        <v>524</v>
      </c>
    </row>
    <row r="195" spans="1:24" x14ac:dyDescent="0.25">
      <c r="A195">
        <v>2025</v>
      </c>
      <c r="B195" t="s">
        <v>112</v>
      </c>
      <c r="C195" t="s">
        <v>123</v>
      </c>
      <c r="D195" t="s">
        <v>1074</v>
      </c>
      <c r="E195">
        <v>2.7</v>
      </c>
      <c r="F195">
        <v>4</v>
      </c>
      <c r="G195" t="s">
        <v>641</v>
      </c>
      <c r="H195">
        <v>8</v>
      </c>
      <c r="I195" t="s">
        <v>46</v>
      </c>
      <c r="J195">
        <v>18</v>
      </c>
      <c r="K195">
        <v>21</v>
      </c>
      <c r="L195">
        <v>19</v>
      </c>
      <c r="M195" t="s">
        <v>463</v>
      </c>
      <c r="N195">
        <v>2750</v>
      </c>
      <c r="O195">
        <v>4</v>
      </c>
      <c r="P195">
        <v>4</v>
      </c>
      <c r="Q195">
        <v>503</v>
      </c>
      <c r="R195">
        <v>426</v>
      </c>
      <c r="S195">
        <v>468</v>
      </c>
      <c r="U195">
        <v>4250</v>
      </c>
      <c r="V195" t="s">
        <v>30</v>
      </c>
      <c r="W195" t="s">
        <v>528</v>
      </c>
      <c r="X195" t="s">
        <v>524</v>
      </c>
    </row>
    <row r="196" spans="1:24" x14ac:dyDescent="0.25">
      <c r="A196">
        <v>2025</v>
      </c>
      <c r="B196" t="s">
        <v>112</v>
      </c>
      <c r="C196" t="s">
        <v>123</v>
      </c>
      <c r="D196" t="s">
        <v>1074</v>
      </c>
      <c r="E196">
        <v>5.3</v>
      </c>
      <c r="F196">
        <v>8</v>
      </c>
      <c r="G196" t="s">
        <v>984</v>
      </c>
      <c r="H196">
        <v>10</v>
      </c>
      <c r="I196" t="s">
        <v>46</v>
      </c>
      <c r="J196">
        <v>16</v>
      </c>
      <c r="K196">
        <v>21</v>
      </c>
      <c r="L196">
        <v>18</v>
      </c>
      <c r="M196" t="s">
        <v>463</v>
      </c>
      <c r="N196">
        <v>2900</v>
      </c>
      <c r="O196">
        <v>4</v>
      </c>
      <c r="P196">
        <v>4</v>
      </c>
      <c r="Q196">
        <v>540</v>
      </c>
      <c r="R196">
        <v>429</v>
      </c>
      <c r="S196">
        <v>490</v>
      </c>
      <c r="U196">
        <v>5000</v>
      </c>
      <c r="V196" t="s">
        <v>30</v>
      </c>
      <c r="W196" t="s">
        <v>558</v>
      </c>
      <c r="X196" t="s">
        <v>524</v>
      </c>
    </row>
    <row r="197" spans="1:24" x14ac:dyDescent="0.25">
      <c r="A197">
        <v>2025</v>
      </c>
      <c r="B197" t="s">
        <v>112</v>
      </c>
      <c r="C197" t="s">
        <v>123</v>
      </c>
      <c r="D197" t="s">
        <v>1074</v>
      </c>
      <c r="E197">
        <v>5.3</v>
      </c>
      <c r="F197">
        <v>8</v>
      </c>
      <c r="G197" t="s">
        <v>984</v>
      </c>
      <c r="H197">
        <v>10</v>
      </c>
      <c r="I197" t="s">
        <v>46</v>
      </c>
      <c r="J197">
        <v>16</v>
      </c>
      <c r="K197">
        <v>21</v>
      </c>
      <c r="L197">
        <v>18</v>
      </c>
      <c r="M197" t="s">
        <v>463</v>
      </c>
      <c r="N197">
        <v>2900</v>
      </c>
      <c r="O197">
        <v>4</v>
      </c>
      <c r="P197">
        <v>4</v>
      </c>
      <c r="Q197">
        <v>555</v>
      </c>
      <c r="R197">
        <v>414</v>
      </c>
      <c r="S197">
        <v>491</v>
      </c>
      <c r="U197">
        <v>5000</v>
      </c>
      <c r="V197" t="s">
        <v>30</v>
      </c>
      <c r="W197" t="s">
        <v>558</v>
      </c>
      <c r="X197" t="s">
        <v>524</v>
      </c>
    </row>
    <row r="198" spans="1:24" x14ac:dyDescent="0.25">
      <c r="A198">
        <v>2025</v>
      </c>
      <c r="B198" t="s">
        <v>112</v>
      </c>
      <c r="C198" t="s">
        <v>123</v>
      </c>
      <c r="D198" t="s">
        <v>1073</v>
      </c>
      <c r="E198">
        <v>5.3</v>
      </c>
      <c r="F198">
        <v>8</v>
      </c>
      <c r="G198" t="s">
        <v>984</v>
      </c>
      <c r="H198">
        <v>10</v>
      </c>
      <c r="I198" t="s">
        <v>46</v>
      </c>
      <c r="J198">
        <v>15</v>
      </c>
      <c r="K198">
        <v>18</v>
      </c>
      <c r="L198">
        <v>16</v>
      </c>
      <c r="M198" t="s">
        <v>992</v>
      </c>
      <c r="N198">
        <v>3300</v>
      </c>
      <c r="O198">
        <v>3</v>
      </c>
      <c r="P198">
        <v>3</v>
      </c>
      <c r="Q198">
        <v>589</v>
      </c>
      <c r="R198">
        <v>504</v>
      </c>
      <c r="S198">
        <v>551</v>
      </c>
      <c r="U198">
        <v>7000</v>
      </c>
      <c r="V198" t="s">
        <v>30</v>
      </c>
      <c r="W198" t="s">
        <v>558</v>
      </c>
      <c r="X198" t="s">
        <v>524</v>
      </c>
    </row>
    <row r="199" spans="1:24" x14ac:dyDescent="0.25">
      <c r="A199">
        <v>2025</v>
      </c>
      <c r="B199" t="s">
        <v>112</v>
      </c>
      <c r="C199" t="s">
        <v>123</v>
      </c>
      <c r="D199" t="s">
        <v>1072</v>
      </c>
      <c r="E199">
        <v>3</v>
      </c>
      <c r="F199">
        <v>6</v>
      </c>
      <c r="G199" t="s">
        <v>984</v>
      </c>
      <c r="H199">
        <v>10</v>
      </c>
      <c r="I199" t="s">
        <v>107</v>
      </c>
      <c r="J199">
        <v>22</v>
      </c>
      <c r="K199">
        <v>26</v>
      </c>
      <c r="L199">
        <v>24</v>
      </c>
      <c r="M199" t="s">
        <v>135</v>
      </c>
      <c r="N199">
        <v>2550</v>
      </c>
      <c r="O199">
        <v>5</v>
      </c>
      <c r="P199">
        <v>4</v>
      </c>
      <c r="Q199">
        <v>459</v>
      </c>
      <c r="R199">
        <v>391</v>
      </c>
      <c r="S199">
        <v>428</v>
      </c>
      <c r="U199">
        <v>3250</v>
      </c>
      <c r="V199" t="s">
        <v>30</v>
      </c>
      <c r="W199" t="s">
        <v>528</v>
      </c>
      <c r="X199" t="s">
        <v>524</v>
      </c>
    </row>
    <row r="200" spans="1:24" x14ac:dyDescent="0.25">
      <c r="A200">
        <v>2025</v>
      </c>
      <c r="B200" t="s">
        <v>112</v>
      </c>
      <c r="C200" t="s">
        <v>123</v>
      </c>
      <c r="D200" t="s">
        <v>1072</v>
      </c>
      <c r="E200">
        <v>3</v>
      </c>
      <c r="F200">
        <v>6</v>
      </c>
      <c r="G200" t="s">
        <v>984</v>
      </c>
      <c r="H200">
        <v>10</v>
      </c>
      <c r="I200" t="s">
        <v>107</v>
      </c>
      <c r="J200">
        <v>22</v>
      </c>
      <c r="K200">
        <v>25</v>
      </c>
      <c r="L200">
        <v>23</v>
      </c>
      <c r="M200" t="s">
        <v>135</v>
      </c>
      <c r="N200">
        <v>2650</v>
      </c>
      <c r="O200">
        <v>5</v>
      </c>
      <c r="P200">
        <v>4</v>
      </c>
      <c r="Q200">
        <v>463</v>
      </c>
      <c r="R200">
        <v>399</v>
      </c>
      <c r="S200">
        <v>434</v>
      </c>
      <c r="U200">
        <v>3750</v>
      </c>
      <c r="V200" t="s">
        <v>30</v>
      </c>
      <c r="W200" t="s">
        <v>528</v>
      </c>
      <c r="X200" t="s">
        <v>524</v>
      </c>
    </row>
    <row r="201" spans="1:24" x14ac:dyDescent="0.25">
      <c r="A201">
        <v>2025</v>
      </c>
      <c r="B201" t="s">
        <v>112</v>
      </c>
      <c r="C201" t="s">
        <v>123</v>
      </c>
      <c r="D201" t="s">
        <v>1072</v>
      </c>
      <c r="E201">
        <v>2.7</v>
      </c>
      <c r="F201">
        <v>4</v>
      </c>
      <c r="G201" t="s">
        <v>641</v>
      </c>
      <c r="H201">
        <v>8</v>
      </c>
      <c r="I201" t="s">
        <v>107</v>
      </c>
      <c r="J201">
        <v>17</v>
      </c>
      <c r="K201">
        <v>20</v>
      </c>
      <c r="L201">
        <v>18</v>
      </c>
      <c r="M201" t="s">
        <v>135</v>
      </c>
      <c r="N201">
        <v>2900</v>
      </c>
      <c r="O201">
        <v>4</v>
      </c>
      <c r="P201">
        <v>4</v>
      </c>
      <c r="Q201">
        <v>512</v>
      </c>
      <c r="R201">
        <v>446</v>
      </c>
      <c r="S201">
        <v>482</v>
      </c>
      <c r="U201">
        <v>5000</v>
      </c>
      <c r="V201" t="s">
        <v>30</v>
      </c>
      <c r="W201" t="s">
        <v>528</v>
      </c>
      <c r="X201" t="s">
        <v>524</v>
      </c>
    </row>
    <row r="202" spans="1:24" x14ac:dyDescent="0.25">
      <c r="A202">
        <v>2025</v>
      </c>
      <c r="B202" t="s">
        <v>112</v>
      </c>
      <c r="C202" t="s">
        <v>123</v>
      </c>
      <c r="D202" t="s">
        <v>1072</v>
      </c>
      <c r="E202">
        <v>2.7</v>
      </c>
      <c r="F202">
        <v>4</v>
      </c>
      <c r="G202" t="s">
        <v>641</v>
      </c>
      <c r="H202">
        <v>8</v>
      </c>
      <c r="I202" t="s">
        <v>107</v>
      </c>
      <c r="J202">
        <v>17</v>
      </c>
      <c r="K202">
        <v>20</v>
      </c>
      <c r="L202">
        <v>18</v>
      </c>
      <c r="M202" t="s">
        <v>135</v>
      </c>
      <c r="N202">
        <v>2900</v>
      </c>
      <c r="O202">
        <v>4</v>
      </c>
      <c r="P202">
        <v>4</v>
      </c>
      <c r="Q202">
        <v>511</v>
      </c>
      <c r="R202">
        <v>443</v>
      </c>
      <c r="S202">
        <v>481</v>
      </c>
      <c r="U202">
        <v>5000</v>
      </c>
      <c r="V202" t="s">
        <v>30</v>
      </c>
      <c r="W202" t="s">
        <v>528</v>
      </c>
      <c r="X202" t="s">
        <v>524</v>
      </c>
    </row>
    <row r="203" spans="1:24" x14ac:dyDescent="0.25">
      <c r="A203">
        <v>2025</v>
      </c>
      <c r="B203" t="s">
        <v>112</v>
      </c>
      <c r="C203" t="s">
        <v>123</v>
      </c>
      <c r="D203" t="s">
        <v>1072</v>
      </c>
      <c r="E203">
        <v>5.3</v>
      </c>
      <c r="F203">
        <v>8</v>
      </c>
      <c r="G203" t="s">
        <v>984</v>
      </c>
      <c r="H203">
        <v>10</v>
      </c>
      <c r="I203" t="s">
        <v>107</v>
      </c>
      <c r="J203">
        <v>15</v>
      </c>
      <c r="K203">
        <v>19</v>
      </c>
      <c r="L203">
        <v>17</v>
      </c>
      <c r="M203" t="s">
        <v>135</v>
      </c>
      <c r="N203">
        <v>3100</v>
      </c>
      <c r="O203">
        <v>3</v>
      </c>
      <c r="P203">
        <v>3</v>
      </c>
      <c r="Q203">
        <v>576</v>
      </c>
      <c r="R203">
        <v>462</v>
      </c>
      <c r="S203">
        <v>524</v>
      </c>
      <c r="U203">
        <v>6000</v>
      </c>
      <c r="V203" t="s">
        <v>30</v>
      </c>
      <c r="W203" t="s">
        <v>558</v>
      </c>
      <c r="X203" t="s">
        <v>565</v>
      </c>
    </row>
    <row r="204" spans="1:24" x14ac:dyDescent="0.25">
      <c r="A204">
        <v>2025</v>
      </c>
      <c r="B204" t="s">
        <v>112</v>
      </c>
      <c r="C204" t="s">
        <v>123</v>
      </c>
      <c r="D204" t="s">
        <v>1072</v>
      </c>
      <c r="E204">
        <v>6.2</v>
      </c>
      <c r="F204">
        <v>8</v>
      </c>
      <c r="G204" t="s">
        <v>984</v>
      </c>
      <c r="H204">
        <v>10</v>
      </c>
      <c r="I204" t="s">
        <v>107</v>
      </c>
      <c r="J204">
        <v>15</v>
      </c>
      <c r="K204">
        <v>20</v>
      </c>
      <c r="L204">
        <v>17</v>
      </c>
      <c r="M204" t="s">
        <v>135</v>
      </c>
      <c r="N204">
        <v>3750</v>
      </c>
      <c r="O204">
        <v>3</v>
      </c>
      <c r="P204">
        <v>3</v>
      </c>
      <c r="Q204">
        <v>592</v>
      </c>
      <c r="R204">
        <v>450</v>
      </c>
      <c r="S204">
        <v>528</v>
      </c>
      <c r="U204">
        <v>9250</v>
      </c>
      <c r="V204" t="s">
        <v>30</v>
      </c>
      <c r="W204" t="s">
        <v>558</v>
      </c>
      <c r="X204" t="s">
        <v>524</v>
      </c>
    </row>
    <row r="205" spans="1:24" x14ac:dyDescent="0.25">
      <c r="A205">
        <v>2025</v>
      </c>
      <c r="B205" t="s">
        <v>112</v>
      </c>
      <c r="C205" t="s">
        <v>123</v>
      </c>
      <c r="D205" t="s">
        <v>1072</v>
      </c>
      <c r="E205">
        <v>5.3</v>
      </c>
      <c r="F205">
        <v>8</v>
      </c>
      <c r="G205" t="s">
        <v>984</v>
      </c>
      <c r="H205">
        <v>10</v>
      </c>
      <c r="I205" t="s">
        <v>107</v>
      </c>
      <c r="J205">
        <v>15</v>
      </c>
      <c r="K205">
        <v>19</v>
      </c>
      <c r="L205">
        <v>16</v>
      </c>
      <c r="M205" t="s">
        <v>135</v>
      </c>
      <c r="N205">
        <v>3300</v>
      </c>
      <c r="O205">
        <v>3</v>
      </c>
      <c r="P205">
        <v>3</v>
      </c>
      <c r="Q205">
        <v>604</v>
      </c>
      <c r="R205">
        <v>475</v>
      </c>
      <c r="S205">
        <v>546</v>
      </c>
      <c r="U205">
        <v>7000</v>
      </c>
      <c r="V205" t="s">
        <v>30</v>
      </c>
      <c r="W205" t="s">
        <v>558</v>
      </c>
      <c r="X205" t="s">
        <v>565</v>
      </c>
    </row>
    <row r="206" spans="1:24" x14ac:dyDescent="0.25">
      <c r="A206">
        <v>2025</v>
      </c>
      <c r="B206" t="s">
        <v>112</v>
      </c>
      <c r="C206" t="s">
        <v>123</v>
      </c>
      <c r="D206" t="s">
        <v>1072</v>
      </c>
      <c r="E206">
        <v>5.3</v>
      </c>
      <c r="F206">
        <v>8</v>
      </c>
      <c r="G206" t="s">
        <v>984</v>
      </c>
      <c r="H206">
        <v>10</v>
      </c>
      <c r="I206" t="s">
        <v>107</v>
      </c>
      <c r="J206">
        <v>16</v>
      </c>
      <c r="K206">
        <v>19</v>
      </c>
      <c r="L206">
        <v>17</v>
      </c>
      <c r="M206" t="s">
        <v>135</v>
      </c>
      <c r="N206">
        <v>3100</v>
      </c>
      <c r="O206">
        <v>3</v>
      </c>
      <c r="P206">
        <v>3</v>
      </c>
      <c r="Q206">
        <v>565</v>
      </c>
      <c r="R206">
        <v>465</v>
      </c>
      <c r="S206">
        <v>520</v>
      </c>
      <c r="U206">
        <v>6000</v>
      </c>
      <c r="V206" t="s">
        <v>30</v>
      </c>
      <c r="W206" t="s">
        <v>558</v>
      </c>
      <c r="X206" t="s">
        <v>524</v>
      </c>
    </row>
    <row r="207" spans="1:24" x14ac:dyDescent="0.25">
      <c r="A207">
        <v>2025</v>
      </c>
      <c r="B207" t="s">
        <v>112</v>
      </c>
      <c r="C207" t="s">
        <v>123</v>
      </c>
      <c r="D207" t="s">
        <v>1072</v>
      </c>
      <c r="E207">
        <v>5.3</v>
      </c>
      <c r="F207">
        <v>8</v>
      </c>
      <c r="G207" t="s">
        <v>984</v>
      </c>
      <c r="H207">
        <v>10</v>
      </c>
      <c r="I207" t="s">
        <v>107</v>
      </c>
      <c r="J207">
        <v>16</v>
      </c>
      <c r="K207">
        <v>19</v>
      </c>
      <c r="L207">
        <v>17</v>
      </c>
      <c r="M207" t="s">
        <v>135</v>
      </c>
      <c r="N207">
        <v>3100</v>
      </c>
      <c r="O207">
        <v>3</v>
      </c>
      <c r="P207">
        <v>3</v>
      </c>
      <c r="Q207">
        <v>570</v>
      </c>
      <c r="R207">
        <v>470</v>
      </c>
      <c r="S207">
        <v>525</v>
      </c>
      <c r="U207">
        <v>6000</v>
      </c>
      <c r="V207" t="s">
        <v>30</v>
      </c>
      <c r="W207" t="s">
        <v>558</v>
      </c>
      <c r="X207" t="s">
        <v>524</v>
      </c>
    </row>
    <row r="208" spans="1:24" x14ac:dyDescent="0.25">
      <c r="A208">
        <v>2025</v>
      </c>
      <c r="B208" t="s">
        <v>112</v>
      </c>
      <c r="C208" t="s">
        <v>123</v>
      </c>
      <c r="D208" t="s">
        <v>1071</v>
      </c>
      <c r="E208">
        <v>5.3</v>
      </c>
      <c r="F208">
        <v>8</v>
      </c>
      <c r="G208" t="s">
        <v>984</v>
      </c>
      <c r="H208">
        <v>10</v>
      </c>
      <c r="I208" t="s">
        <v>107</v>
      </c>
      <c r="J208">
        <v>14</v>
      </c>
      <c r="K208">
        <v>16</v>
      </c>
      <c r="L208">
        <v>15</v>
      </c>
      <c r="M208" t="s">
        <v>992</v>
      </c>
      <c r="N208">
        <v>3500</v>
      </c>
      <c r="O208">
        <v>2</v>
      </c>
      <c r="P208">
        <v>2</v>
      </c>
      <c r="Q208">
        <v>633</v>
      </c>
      <c r="R208">
        <v>542</v>
      </c>
      <c r="S208">
        <v>592</v>
      </c>
      <c r="U208">
        <v>8000</v>
      </c>
      <c r="V208" t="s">
        <v>30</v>
      </c>
      <c r="W208" t="s">
        <v>558</v>
      </c>
      <c r="X208" t="s">
        <v>524</v>
      </c>
    </row>
    <row r="209" spans="1:24" x14ac:dyDescent="0.25">
      <c r="A209">
        <v>2025</v>
      </c>
      <c r="B209" t="s">
        <v>112</v>
      </c>
      <c r="C209" t="s">
        <v>123</v>
      </c>
      <c r="D209" t="s">
        <v>1070</v>
      </c>
      <c r="E209">
        <v>3</v>
      </c>
      <c r="F209">
        <v>6</v>
      </c>
      <c r="G209" t="s">
        <v>984</v>
      </c>
      <c r="H209">
        <v>10</v>
      </c>
      <c r="I209" t="s">
        <v>107</v>
      </c>
      <c r="J209">
        <v>21</v>
      </c>
      <c r="K209">
        <v>24</v>
      </c>
      <c r="L209">
        <v>23</v>
      </c>
      <c r="M209" t="s">
        <v>135</v>
      </c>
      <c r="N209">
        <v>2650</v>
      </c>
      <c r="O209">
        <v>5</v>
      </c>
      <c r="P209">
        <v>4</v>
      </c>
      <c r="Q209">
        <v>475</v>
      </c>
      <c r="R209">
        <v>420</v>
      </c>
      <c r="S209">
        <v>450</v>
      </c>
      <c r="U209">
        <v>3750</v>
      </c>
      <c r="V209" t="s">
        <v>30</v>
      </c>
      <c r="W209" t="s">
        <v>528</v>
      </c>
      <c r="X209" t="s">
        <v>524</v>
      </c>
    </row>
    <row r="210" spans="1:24" x14ac:dyDescent="0.25">
      <c r="A210">
        <v>2025</v>
      </c>
      <c r="B210" t="s">
        <v>112</v>
      </c>
      <c r="C210" t="s">
        <v>123</v>
      </c>
      <c r="D210" t="s">
        <v>1070</v>
      </c>
      <c r="E210">
        <v>3</v>
      </c>
      <c r="F210">
        <v>6</v>
      </c>
      <c r="G210" t="s">
        <v>984</v>
      </c>
      <c r="H210">
        <v>10</v>
      </c>
      <c r="I210" t="s">
        <v>107</v>
      </c>
      <c r="J210">
        <v>21</v>
      </c>
      <c r="K210">
        <v>24</v>
      </c>
      <c r="L210">
        <v>22</v>
      </c>
      <c r="M210" t="s">
        <v>135</v>
      </c>
      <c r="N210">
        <v>2800</v>
      </c>
      <c r="O210">
        <v>5</v>
      </c>
      <c r="P210">
        <v>4</v>
      </c>
      <c r="Q210">
        <v>478</v>
      </c>
      <c r="R210">
        <v>429</v>
      </c>
      <c r="S210">
        <v>456</v>
      </c>
      <c r="U210">
        <v>4500</v>
      </c>
      <c r="V210" t="s">
        <v>30</v>
      </c>
      <c r="W210" t="s">
        <v>528</v>
      </c>
      <c r="X210" t="s">
        <v>524</v>
      </c>
    </row>
    <row r="211" spans="1:24" x14ac:dyDescent="0.25">
      <c r="A211">
        <v>2025</v>
      </c>
      <c r="B211" t="s">
        <v>112</v>
      </c>
      <c r="C211" t="s">
        <v>123</v>
      </c>
      <c r="D211" t="s">
        <v>1070</v>
      </c>
      <c r="E211">
        <v>2.7</v>
      </c>
      <c r="F211">
        <v>4</v>
      </c>
      <c r="G211" t="s">
        <v>641</v>
      </c>
      <c r="H211">
        <v>8</v>
      </c>
      <c r="I211" t="s">
        <v>107</v>
      </c>
      <c r="J211">
        <v>16</v>
      </c>
      <c r="K211">
        <v>17</v>
      </c>
      <c r="L211">
        <v>16</v>
      </c>
      <c r="M211" t="s">
        <v>135</v>
      </c>
      <c r="N211">
        <v>3300</v>
      </c>
      <c r="O211">
        <v>3</v>
      </c>
      <c r="P211">
        <v>3</v>
      </c>
      <c r="Q211">
        <v>554</v>
      </c>
      <c r="R211">
        <v>527</v>
      </c>
      <c r="S211">
        <v>541</v>
      </c>
      <c r="U211">
        <v>7000</v>
      </c>
      <c r="V211" t="s">
        <v>30</v>
      </c>
      <c r="W211" t="s">
        <v>528</v>
      </c>
      <c r="X211" t="s">
        <v>524</v>
      </c>
    </row>
    <row r="212" spans="1:24" x14ac:dyDescent="0.25">
      <c r="A212">
        <v>2025</v>
      </c>
      <c r="B212" t="s">
        <v>112</v>
      </c>
      <c r="C212" t="s">
        <v>123</v>
      </c>
      <c r="D212" t="s">
        <v>1070</v>
      </c>
      <c r="E212">
        <v>2.7</v>
      </c>
      <c r="F212">
        <v>4</v>
      </c>
      <c r="G212" t="s">
        <v>641</v>
      </c>
      <c r="H212">
        <v>8</v>
      </c>
      <c r="I212" t="s">
        <v>107</v>
      </c>
      <c r="J212">
        <v>16</v>
      </c>
      <c r="K212">
        <v>17</v>
      </c>
      <c r="L212">
        <v>16</v>
      </c>
      <c r="M212" t="s">
        <v>135</v>
      </c>
      <c r="N212">
        <v>3300</v>
      </c>
      <c r="O212">
        <v>3</v>
      </c>
      <c r="P212">
        <v>3</v>
      </c>
      <c r="Q212">
        <v>552</v>
      </c>
      <c r="R212">
        <v>521</v>
      </c>
      <c r="S212">
        <v>538</v>
      </c>
      <c r="U212">
        <v>7000</v>
      </c>
      <c r="V212" t="s">
        <v>30</v>
      </c>
      <c r="W212" t="s">
        <v>528</v>
      </c>
      <c r="X212" t="s">
        <v>524</v>
      </c>
    </row>
    <row r="213" spans="1:24" x14ac:dyDescent="0.25">
      <c r="A213">
        <v>2025</v>
      </c>
      <c r="B213" t="s">
        <v>112</v>
      </c>
      <c r="C213" t="s">
        <v>123</v>
      </c>
      <c r="D213" t="s">
        <v>1070</v>
      </c>
      <c r="E213">
        <v>5.3</v>
      </c>
      <c r="F213">
        <v>8</v>
      </c>
      <c r="G213" t="s">
        <v>984</v>
      </c>
      <c r="H213">
        <v>10</v>
      </c>
      <c r="I213" t="s">
        <v>107</v>
      </c>
      <c r="J213">
        <v>15</v>
      </c>
      <c r="K213">
        <v>19</v>
      </c>
      <c r="L213">
        <v>17</v>
      </c>
      <c r="M213" t="s">
        <v>135</v>
      </c>
      <c r="N213">
        <v>3100</v>
      </c>
      <c r="O213">
        <v>3</v>
      </c>
      <c r="P213">
        <v>3</v>
      </c>
      <c r="Q213">
        <v>576</v>
      </c>
      <c r="R213">
        <v>462</v>
      </c>
      <c r="S213">
        <v>524</v>
      </c>
      <c r="U213">
        <v>6000</v>
      </c>
      <c r="V213" t="s">
        <v>30</v>
      </c>
      <c r="W213" t="s">
        <v>558</v>
      </c>
      <c r="X213" t="s">
        <v>565</v>
      </c>
    </row>
    <row r="214" spans="1:24" x14ac:dyDescent="0.25">
      <c r="A214">
        <v>2025</v>
      </c>
      <c r="B214" t="s">
        <v>112</v>
      </c>
      <c r="C214" t="s">
        <v>123</v>
      </c>
      <c r="D214" t="s">
        <v>1070</v>
      </c>
      <c r="E214">
        <v>6.2</v>
      </c>
      <c r="F214">
        <v>8</v>
      </c>
      <c r="G214" t="s">
        <v>984</v>
      </c>
      <c r="H214">
        <v>10</v>
      </c>
      <c r="I214" t="s">
        <v>107</v>
      </c>
      <c r="J214">
        <v>14</v>
      </c>
      <c r="K214">
        <v>17</v>
      </c>
      <c r="L214">
        <v>15</v>
      </c>
      <c r="M214" t="s">
        <v>135</v>
      </c>
      <c r="N214">
        <v>4250</v>
      </c>
      <c r="O214">
        <v>2</v>
      </c>
      <c r="P214">
        <v>2</v>
      </c>
      <c r="Q214">
        <v>635</v>
      </c>
      <c r="R214">
        <v>524</v>
      </c>
      <c r="S214">
        <v>593</v>
      </c>
      <c r="U214">
        <v>11750</v>
      </c>
      <c r="V214" t="s">
        <v>30</v>
      </c>
      <c r="W214" t="s">
        <v>558</v>
      </c>
      <c r="X214" t="s">
        <v>524</v>
      </c>
    </row>
    <row r="215" spans="1:24" x14ac:dyDescent="0.25">
      <c r="A215">
        <v>2025</v>
      </c>
      <c r="B215" t="s">
        <v>112</v>
      </c>
      <c r="C215" t="s">
        <v>123</v>
      </c>
      <c r="D215" t="s">
        <v>1070</v>
      </c>
      <c r="E215">
        <v>5.3</v>
      </c>
      <c r="F215">
        <v>8</v>
      </c>
      <c r="G215" t="s">
        <v>984</v>
      </c>
      <c r="H215">
        <v>10</v>
      </c>
      <c r="I215" t="s">
        <v>107</v>
      </c>
      <c r="J215">
        <v>15</v>
      </c>
      <c r="K215">
        <v>19</v>
      </c>
      <c r="L215">
        <v>16</v>
      </c>
      <c r="M215" t="s">
        <v>135</v>
      </c>
      <c r="N215">
        <v>3300</v>
      </c>
      <c r="O215">
        <v>3</v>
      </c>
      <c r="P215">
        <v>3</v>
      </c>
      <c r="Q215">
        <v>604</v>
      </c>
      <c r="R215">
        <v>475</v>
      </c>
      <c r="S215">
        <v>546</v>
      </c>
      <c r="U215">
        <v>7000</v>
      </c>
      <c r="V215" t="s">
        <v>30</v>
      </c>
      <c r="W215" t="s">
        <v>558</v>
      </c>
      <c r="X215" t="s">
        <v>565</v>
      </c>
    </row>
    <row r="216" spans="1:24" x14ac:dyDescent="0.25">
      <c r="A216">
        <v>2025</v>
      </c>
      <c r="B216" t="s">
        <v>112</v>
      </c>
      <c r="C216" t="s">
        <v>123</v>
      </c>
      <c r="D216" t="s">
        <v>1070</v>
      </c>
      <c r="E216">
        <v>5.3</v>
      </c>
      <c r="F216">
        <v>8</v>
      </c>
      <c r="G216" t="s">
        <v>984</v>
      </c>
      <c r="H216">
        <v>10</v>
      </c>
      <c r="I216" t="s">
        <v>107</v>
      </c>
      <c r="J216">
        <v>15</v>
      </c>
      <c r="K216">
        <v>18</v>
      </c>
      <c r="L216">
        <v>16</v>
      </c>
      <c r="M216" t="s">
        <v>135</v>
      </c>
      <c r="N216">
        <v>3300</v>
      </c>
      <c r="O216">
        <v>3</v>
      </c>
      <c r="P216">
        <v>3</v>
      </c>
      <c r="Q216">
        <v>585</v>
      </c>
      <c r="R216">
        <v>496</v>
      </c>
      <c r="S216">
        <v>545</v>
      </c>
      <c r="U216">
        <v>7000</v>
      </c>
      <c r="V216" t="s">
        <v>30</v>
      </c>
      <c r="W216" t="s">
        <v>558</v>
      </c>
      <c r="X216" t="s">
        <v>524</v>
      </c>
    </row>
    <row r="217" spans="1:24" x14ac:dyDescent="0.25">
      <c r="A217">
        <v>2025</v>
      </c>
      <c r="B217" t="s">
        <v>112</v>
      </c>
      <c r="C217" t="s">
        <v>123</v>
      </c>
      <c r="D217" t="s">
        <v>1070</v>
      </c>
      <c r="E217">
        <v>5.3</v>
      </c>
      <c r="F217">
        <v>8</v>
      </c>
      <c r="G217" t="s">
        <v>984</v>
      </c>
      <c r="H217">
        <v>10</v>
      </c>
      <c r="I217" t="s">
        <v>107</v>
      </c>
      <c r="J217">
        <v>15</v>
      </c>
      <c r="K217">
        <v>18</v>
      </c>
      <c r="L217">
        <v>16</v>
      </c>
      <c r="M217" t="s">
        <v>135</v>
      </c>
      <c r="N217">
        <v>3300</v>
      </c>
      <c r="O217">
        <v>3</v>
      </c>
      <c r="P217">
        <v>3</v>
      </c>
      <c r="Q217">
        <v>585</v>
      </c>
      <c r="R217">
        <v>496</v>
      </c>
      <c r="S217">
        <v>545</v>
      </c>
      <c r="U217">
        <v>7000</v>
      </c>
      <c r="V217" t="s">
        <v>30</v>
      </c>
      <c r="W217" t="s">
        <v>558</v>
      </c>
      <c r="X217" t="s">
        <v>524</v>
      </c>
    </row>
    <row r="218" spans="1:24" x14ac:dyDescent="0.25">
      <c r="A218">
        <v>2025</v>
      </c>
      <c r="B218" t="s">
        <v>112</v>
      </c>
      <c r="C218" t="s">
        <v>123</v>
      </c>
      <c r="D218" t="s">
        <v>1069</v>
      </c>
      <c r="E218">
        <v>3</v>
      </c>
      <c r="F218">
        <v>6</v>
      </c>
      <c r="G218" t="s">
        <v>984</v>
      </c>
      <c r="H218">
        <v>10</v>
      </c>
      <c r="I218" t="s">
        <v>107</v>
      </c>
      <c r="J218">
        <v>20</v>
      </c>
      <c r="K218">
        <v>23</v>
      </c>
      <c r="L218">
        <v>21</v>
      </c>
      <c r="M218" t="s">
        <v>135</v>
      </c>
      <c r="N218">
        <v>2950</v>
      </c>
      <c r="O218">
        <v>4</v>
      </c>
      <c r="P218">
        <v>4</v>
      </c>
      <c r="Q218">
        <v>504</v>
      </c>
      <c r="R218">
        <v>448</v>
      </c>
      <c r="S218">
        <v>479</v>
      </c>
      <c r="U218">
        <v>5250</v>
      </c>
      <c r="V218" t="s">
        <v>30</v>
      </c>
      <c r="W218" t="s">
        <v>528</v>
      </c>
      <c r="X218" t="s">
        <v>524</v>
      </c>
    </row>
    <row r="219" spans="1:24" x14ac:dyDescent="0.25">
      <c r="A219">
        <v>2025</v>
      </c>
      <c r="B219" t="s">
        <v>112</v>
      </c>
      <c r="C219" t="s">
        <v>123</v>
      </c>
      <c r="D219" t="s">
        <v>1069</v>
      </c>
      <c r="E219">
        <v>6.2</v>
      </c>
      <c r="F219">
        <v>8</v>
      </c>
      <c r="G219" t="s">
        <v>984</v>
      </c>
      <c r="H219">
        <v>10</v>
      </c>
      <c r="I219" t="s">
        <v>107</v>
      </c>
      <c r="J219">
        <v>14</v>
      </c>
      <c r="K219">
        <v>17</v>
      </c>
      <c r="L219">
        <v>15</v>
      </c>
      <c r="M219" t="s">
        <v>135</v>
      </c>
      <c r="N219">
        <v>4250</v>
      </c>
      <c r="O219">
        <v>2</v>
      </c>
      <c r="P219">
        <v>2</v>
      </c>
      <c r="Q219">
        <v>638</v>
      </c>
      <c r="R219">
        <v>535</v>
      </c>
      <c r="S219">
        <v>591</v>
      </c>
      <c r="U219">
        <v>11750</v>
      </c>
      <c r="V219" t="s">
        <v>30</v>
      </c>
      <c r="W219" t="s">
        <v>558</v>
      </c>
      <c r="X219" t="s">
        <v>524</v>
      </c>
    </row>
    <row r="220" spans="1:24" x14ac:dyDescent="0.25">
      <c r="A220">
        <v>2025</v>
      </c>
      <c r="B220" t="s">
        <v>112</v>
      </c>
      <c r="C220" t="s">
        <v>123</v>
      </c>
      <c r="D220" t="s">
        <v>1068</v>
      </c>
      <c r="E220">
        <v>6.2</v>
      </c>
      <c r="F220">
        <v>8</v>
      </c>
      <c r="G220" t="s">
        <v>984</v>
      </c>
      <c r="H220">
        <v>10</v>
      </c>
      <c r="I220" t="s">
        <v>46</v>
      </c>
      <c r="J220">
        <v>15</v>
      </c>
      <c r="K220">
        <v>19</v>
      </c>
      <c r="L220">
        <v>16</v>
      </c>
      <c r="M220" t="s">
        <v>47</v>
      </c>
      <c r="N220">
        <v>4000</v>
      </c>
      <c r="O220">
        <v>3</v>
      </c>
      <c r="P220">
        <v>3</v>
      </c>
      <c r="Q220">
        <v>605</v>
      </c>
      <c r="R220">
        <v>470</v>
      </c>
      <c r="S220">
        <v>544</v>
      </c>
      <c r="U220">
        <v>10500</v>
      </c>
      <c r="V220" t="s">
        <v>30</v>
      </c>
      <c r="W220" t="s">
        <v>558</v>
      </c>
      <c r="X220" t="s">
        <v>524</v>
      </c>
    </row>
    <row r="221" spans="1:24" x14ac:dyDescent="0.25">
      <c r="A221">
        <v>2025</v>
      </c>
      <c r="B221" t="s">
        <v>112</v>
      </c>
      <c r="C221" t="s">
        <v>123</v>
      </c>
      <c r="D221" t="s">
        <v>1068</v>
      </c>
      <c r="E221">
        <v>5.3</v>
      </c>
      <c r="F221">
        <v>8</v>
      </c>
      <c r="G221" t="s">
        <v>984</v>
      </c>
      <c r="H221">
        <v>10</v>
      </c>
      <c r="I221" t="s">
        <v>46</v>
      </c>
      <c r="J221">
        <v>15</v>
      </c>
      <c r="K221">
        <v>20</v>
      </c>
      <c r="L221">
        <v>17</v>
      </c>
      <c r="M221" t="s">
        <v>47</v>
      </c>
      <c r="N221">
        <v>3100</v>
      </c>
      <c r="O221">
        <v>3</v>
      </c>
      <c r="P221">
        <v>3</v>
      </c>
      <c r="Q221">
        <v>592</v>
      </c>
      <c r="R221">
        <v>453</v>
      </c>
      <c r="S221">
        <v>530</v>
      </c>
      <c r="U221">
        <v>6000</v>
      </c>
      <c r="V221" t="s">
        <v>30</v>
      </c>
      <c r="W221" t="s">
        <v>558</v>
      </c>
      <c r="X221" t="s">
        <v>524</v>
      </c>
    </row>
    <row r="222" spans="1:24" x14ac:dyDescent="0.25">
      <c r="A222">
        <v>2025</v>
      </c>
      <c r="B222" t="s">
        <v>112</v>
      </c>
      <c r="C222" t="s">
        <v>123</v>
      </c>
      <c r="D222" t="s">
        <v>1068</v>
      </c>
      <c r="E222">
        <v>3</v>
      </c>
      <c r="F222">
        <v>6</v>
      </c>
      <c r="G222" t="s">
        <v>984</v>
      </c>
      <c r="H222">
        <v>10</v>
      </c>
      <c r="I222" t="s">
        <v>46</v>
      </c>
      <c r="J222">
        <v>21</v>
      </c>
      <c r="K222">
        <v>26</v>
      </c>
      <c r="L222">
        <v>23</v>
      </c>
      <c r="M222" t="s">
        <v>47</v>
      </c>
      <c r="N222">
        <v>2650</v>
      </c>
      <c r="O222">
        <v>5</v>
      </c>
      <c r="P222">
        <v>4</v>
      </c>
      <c r="Q222">
        <v>485</v>
      </c>
      <c r="R222">
        <v>385</v>
      </c>
      <c r="S222">
        <v>442</v>
      </c>
      <c r="U222">
        <v>3750</v>
      </c>
      <c r="V222" t="s">
        <v>30</v>
      </c>
      <c r="W222" t="s">
        <v>528</v>
      </c>
      <c r="X222" t="s">
        <v>524</v>
      </c>
    </row>
    <row r="223" spans="1:24" x14ac:dyDescent="0.25">
      <c r="A223">
        <v>2025</v>
      </c>
      <c r="B223" t="s">
        <v>112</v>
      </c>
      <c r="C223" t="s">
        <v>123</v>
      </c>
      <c r="D223" t="s">
        <v>1067</v>
      </c>
      <c r="E223">
        <v>6.2</v>
      </c>
      <c r="F223">
        <v>8</v>
      </c>
      <c r="G223" t="s">
        <v>984</v>
      </c>
      <c r="H223">
        <v>10</v>
      </c>
      <c r="I223" t="s">
        <v>107</v>
      </c>
      <c r="J223">
        <v>14</v>
      </c>
      <c r="K223">
        <v>18</v>
      </c>
      <c r="L223">
        <v>16</v>
      </c>
      <c r="M223" t="s">
        <v>29</v>
      </c>
      <c r="N223">
        <v>4000</v>
      </c>
      <c r="O223">
        <v>3</v>
      </c>
      <c r="P223">
        <v>3</v>
      </c>
      <c r="Q223">
        <v>634</v>
      </c>
      <c r="R223">
        <v>495</v>
      </c>
      <c r="S223">
        <v>572</v>
      </c>
      <c r="U223">
        <v>10500</v>
      </c>
      <c r="V223" t="s">
        <v>30</v>
      </c>
      <c r="W223" t="s">
        <v>558</v>
      </c>
      <c r="X223" t="s">
        <v>524</v>
      </c>
    </row>
    <row r="224" spans="1:24" x14ac:dyDescent="0.25">
      <c r="A224">
        <v>2025</v>
      </c>
      <c r="B224" t="s">
        <v>112</v>
      </c>
      <c r="C224" t="s">
        <v>123</v>
      </c>
      <c r="D224" t="s">
        <v>1067</v>
      </c>
      <c r="E224">
        <v>5.3</v>
      </c>
      <c r="F224">
        <v>8</v>
      </c>
      <c r="G224" t="s">
        <v>984</v>
      </c>
      <c r="H224">
        <v>10</v>
      </c>
      <c r="I224" t="s">
        <v>107</v>
      </c>
      <c r="J224">
        <v>14</v>
      </c>
      <c r="K224">
        <v>19</v>
      </c>
      <c r="L224">
        <v>16</v>
      </c>
      <c r="M224" t="s">
        <v>29</v>
      </c>
      <c r="N224">
        <v>3300</v>
      </c>
      <c r="O224">
        <v>3</v>
      </c>
      <c r="P224">
        <v>3</v>
      </c>
      <c r="Q224">
        <v>645</v>
      </c>
      <c r="R224">
        <v>481</v>
      </c>
      <c r="S224">
        <v>571</v>
      </c>
      <c r="U224">
        <v>7000</v>
      </c>
      <c r="V224" t="s">
        <v>30</v>
      </c>
      <c r="W224" t="s">
        <v>558</v>
      </c>
      <c r="X224" t="s">
        <v>524</v>
      </c>
    </row>
    <row r="225" spans="1:24" x14ac:dyDescent="0.25">
      <c r="A225">
        <v>2025</v>
      </c>
      <c r="B225" t="s">
        <v>112</v>
      </c>
      <c r="C225" t="s">
        <v>123</v>
      </c>
      <c r="D225" t="s">
        <v>1067</v>
      </c>
      <c r="E225">
        <v>3</v>
      </c>
      <c r="F225">
        <v>6</v>
      </c>
      <c r="G225" t="s">
        <v>984</v>
      </c>
      <c r="H225">
        <v>10</v>
      </c>
      <c r="I225" t="s">
        <v>107</v>
      </c>
      <c r="J225">
        <v>20</v>
      </c>
      <c r="K225">
        <v>26</v>
      </c>
      <c r="L225">
        <v>22</v>
      </c>
      <c r="M225" t="s">
        <v>29</v>
      </c>
      <c r="N225">
        <v>2800</v>
      </c>
      <c r="O225">
        <v>5</v>
      </c>
      <c r="P225">
        <v>4</v>
      </c>
      <c r="Q225">
        <v>504</v>
      </c>
      <c r="R225">
        <v>395</v>
      </c>
      <c r="S225">
        <v>455</v>
      </c>
      <c r="U225">
        <v>4500</v>
      </c>
      <c r="V225" t="s">
        <v>30</v>
      </c>
      <c r="W225" t="s">
        <v>528</v>
      </c>
      <c r="X225" t="s">
        <v>524</v>
      </c>
    </row>
    <row r="226" spans="1:24" x14ac:dyDescent="0.25">
      <c r="A226">
        <v>2025</v>
      </c>
      <c r="B226" t="s">
        <v>112</v>
      </c>
      <c r="C226" t="s">
        <v>123</v>
      </c>
      <c r="D226" t="s">
        <v>1066</v>
      </c>
      <c r="E226">
        <v>6.2</v>
      </c>
      <c r="F226">
        <v>8</v>
      </c>
      <c r="G226" t="s">
        <v>984</v>
      </c>
      <c r="H226">
        <v>10</v>
      </c>
      <c r="I226" t="s">
        <v>46</v>
      </c>
      <c r="J226">
        <v>15</v>
      </c>
      <c r="K226">
        <v>20</v>
      </c>
      <c r="L226">
        <v>17</v>
      </c>
      <c r="M226" t="s">
        <v>47</v>
      </c>
      <c r="N226">
        <v>3750</v>
      </c>
      <c r="O226">
        <v>3</v>
      </c>
      <c r="P226">
        <v>3</v>
      </c>
      <c r="Q226">
        <v>587</v>
      </c>
      <c r="R226">
        <v>444</v>
      </c>
      <c r="S226">
        <v>523</v>
      </c>
      <c r="U226">
        <v>9250</v>
      </c>
      <c r="V226" t="s">
        <v>30</v>
      </c>
      <c r="W226" t="s">
        <v>558</v>
      </c>
      <c r="X226" t="s">
        <v>524</v>
      </c>
    </row>
    <row r="227" spans="1:24" x14ac:dyDescent="0.25">
      <c r="A227">
        <v>2025</v>
      </c>
      <c r="B227" t="s">
        <v>112</v>
      </c>
      <c r="C227" t="s">
        <v>123</v>
      </c>
      <c r="D227" t="s">
        <v>1066</v>
      </c>
      <c r="E227">
        <v>5.3</v>
      </c>
      <c r="F227">
        <v>8</v>
      </c>
      <c r="G227" t="s">
        <v>984</v>
      </c>
      <c r="H227">
        <v>10</v>
      </c>
      <c r="I227" t="s">
        <v>46</v>
      </c>
      <c r="J227">
        <v>15</v>
      </c>
      <c r="K227">
        <v>20</v>
      </c>
      <c r="L227">
        <v>17</v>
      </c>
      <c r="M227" t="s">
        <v>47</v>
      </c>
      <c r="N227">
        <v>3100</v>
      </c>
      <c r="O227">
        <v>3</v>
      </c>
      <c r="P227">
        <v>3</v>
      </c>
      <c r="Q227">
        <v>592</v>
      </c>
      <c r="R227">
        <v>453</v>
      </c>
      <c r="S227">
        <v>530</v>
      </c>
      <c r="U227">
        <v>6000</v>
      </c>
      <c r="V227" t="s">
        <v>30</v>
      </c>
      <c r="W227" t="s">
        <v>558</v>
      </c>
      <c r="X227" t="s">
        <v>524</v>
      </c>
    </row>
    <row r="228" spans="1:24" x14ac:dyDescent="0.25">
      <c r="A228">
        <v>2025</v>
      </c>
      <c r="B228" t="s">
        <v>112</v>
      </c>
      <c r="C228" t="s">
        <v>123</v>
      </c>
      <c r="D228" t="s">
        <v>1066</v>
      </c>
      <c r="E228">
        <v>3</v>
      </c>
      <c r="F228">
        <v>6</v>
      </c>
      <c r="G228" t="s">
        <v>984</v>
      </c>
      <c r="H228">
        <v>10</v>
      </c>
      <c r="I228" t="s">
        <v>46</v>
      </c>
      <c r="J228">
        <v>22</v>
      </c>
      <c r="K228">
        <v>26</v>
      </c>
      <c r="L228">
        <v>24</v>
      </c>
      <c r="M228" t="s">
        <v>47</v>
      </c>
      <c r="N228">
        <v>2550</v>
      </c>
      <c r="O228">
        <v>5</v>
      </c>
      <c r="P228">
        <v>4</v>
      </c>
      <c r="Q228">
        <v>457</v>
      </c>
      <c r="R228">
        <v>391</v>
      </c>
      <c r="S228">
        <v>427</v>
      </c>
      <c r="U228">
        <v>3250</v>
      </c>
      <c r="V228" t="s">
        <v>30</v>
      </c>
      <c r="W228" t="s">
        <v>528</v>
      </c>
      <c r="X228" t="s">
        <v>524</v>
      </c>
    </row>
    <row r="229" spans="1:24" x14ac:dyDescent="0.25">
      <c r="A229">
        <v>2025</v>
      </c>
      <c r="B229" t="s">
        <v>112</v>
      </c>
      <c r="C229" t="s">
        <v>123</v>
      </c>
      <c r="D229" t="s">
        <v>1065</v>
      </c>
      <c r="E229">
        <v>6.2</v>
      </c>
      <c r="F229">
        <v>8</v>
      </c>
      <c r="G229" t="s">
        <v>984</v>
      </c>
      <c r="H229">
        <v>10</v>
      </c>
      <c r="I229" t="s">
        <v>107</v>
      </c>
      <c r="J229">
        <v>14</v>
      </c>
      <c r="K229">
        <v>18</v>
      </c>
      <c r="L229">
        <v>16</v>
      </c>
      <c r="M229" t="s">
        <v>29</v>
      </c>
      <c r="N229">
        <v>4000</v>
      </c>
      <c r="O229">
        <v>3</v>
      </c>
      <c r="P229">
        <v>3</v>
      </c>
      <c r="Q229">
        <v>634</v>
      </c>
      <c r="R229">
        <v>495</v>
      </c>
      <c r="S229">
        <v>572</v>
      </c>
      <c r="U229">
        <v>10500</v>
      </c>
      <c r="V229" t="s">
        <v>30</v>
      </c>
      <c r="W229" t="s">
        <v>558</v>
      </c>
      <c r="X229" t="s">
        <v>524</v>
      </c>
    </row>
    <row r="230" spans="1:24" x14ac:dyDescent="0.25">
      <c r="A230">
        <v>2025</v>
      </c>
      <c r="B230" t="s">
        <v>112</v>
      </c>
      <c r="C230" t="s">
        <v>123</v>
      </c>
      <c r="D230" t="s">
        <v>1065</v>
      </c>
      <c r="E230">
        <v>5.3</v>
      </c>
      <c r="F230">
        <v>8</v>
      </c>
      <c r="G230" t="s">
        <v>984</v>
      </c>
      <c r="H230">
        <v>10</v>
      </c>
      <c r="I230" t="s">
        <v>107</v>
      </c>
      <c r="J230">
        <v>15</v>
      </c>
      <c r="K230">
        <v>19</v>
      </c>
      <c r="L230">
        <v>17</v>
      </c>
      <c r="M230" t="s">
        <v>29</v>
      </c>
      <c r="N230">
        <v>3100</v>
      </c>
      <c r="O230">
        <v>3</v>
      </c>
      <c r="P230">
        <v>3</v>
      </c>
      <c r="Q230">
        <v>594</v>
      </c>
      <c r="R230">
        <v>462</v>
      </c>
      <c r="S230">
        <v>535</v>
      </c>
      <c r="U230">
        <v>6000</v>
      </c>
      <c r="V230" t="s">
        <v>30</v>
      </c>
      <c r="W230" t="s">
        <v>558</v>
      </c>
      <c r="X230" t="s">
        <v>524</v>
      </c>
    </row>
    <row r="231" spans="1:24" x14ac:dyDescent="0.25">
      <c r="A231">
        <v>2025</v>
      </c>
      <c r="B231" t="s">
        <v>112</v>
      </c>
      <c r="C231" t="s">
        <v>123</v>
      </c>
      <c r="D231" t="s">
        <v>1065</v>
      </c>
      <c r="E231">
        <v>5.3</v>
      </c>
      <c r="F231">
        <v>8</v>
      </c>
      <c r="G231" t="s">
        <v>984</v>
      </c>
      <c r="H231">
        <v>10</v>
      </c>
      <c r="I231" t="s">
        <v>107</v>
      </c>
      <c r="J231">
        <v>14</v>
      </c>
      <c r="K231">
        <v>18</v>
      </c>
      <c r="L231">
        <v>16</v>
      </c>
      <c r="M231" t="s">
        <v>29</v>
      </c>
      <c r="N231">
        <v>3300</v>
      </c>
      <c r="O231">
        <v>3</v>
      </c>
      <c r="P231">
        <v>3</v>
      </c>
      <c r="Q231">
        <v>636</v>
      </c>
      <c r="R231">
        <v>492</v>
      </c>
      <c r="S231">
        <v>571</v>
      </c>
      <c r="U231">
        <v>7000</v>
      </c>
      <c r="V231" t="s">
        <v>30</v>
      </c>
      <c r="W231" t="s">
        <v>558</v>
      </c>
      <c r="X231" t="s">
        <v>565</v>
      </c>
    </row>
    <row r="232" spans="1:24" x14ac:dyDescent="0.25">
      <c r="A232">
        <v>2025</v>
      </c>
      <c r="B232" t="s">
        <v>112</v>
      </c>
      <c r="C232" t="s">
        <v>123</v>
      </c>
      <c r="D232" t="s">
        <v>1065</v>
      </c>
      <c r="E232">
        <v>3</v>
      </c>
      <c r="F232">
        <v>6</v>
      </c>
      <c r="G232" t="s">
        <v>984</v>
      </c>
      <c r="H232">
        <v>10</v>
      </c>
      <c r="I232" t="s">
        <v>107</v>
      </c>
      <c r="J232">
        <v>20</v>
      </c>
      <c r="K232">
        <v>26</v>
      </c>
      <c r="L232">
        <v>22</v>
      </c>
      <c r="M232" t="s">
        <v>29</v>
      </c>
      <c r="N232">
        <v>2800</v>
      </c>
      <c r="O232">
        <v>5</v>
      </c>
      <c r="P232">
        <v>4</v>
      </c>
      <c r="Q232">
        <v>504</v>
      </c>
      <c r="R232">
        <v>395</v>
      </c>
      <c r="S232">
        <v>455</v>
      </c>
      <c r="U232">
        <v>4500</v>
      </c>
      <c r="V232" t="s">
        <v>30</v>
      </c>
      <c r="W232" t="s">
        <v>528</v>
      </c>
      <c r="X232" t="s">
        <v>524</v>
      </c>
    </row>
    <row r="233" spans="1:24" x14ac:dyDescent="0.25">
      <c r="A233">
        <v>2025</v>
      </c>
      <c r="B233" t="s">
        <v>112</v>
      </c>
      <c r="C233" t="s">
        <v>123</v>
      </c>
      <c r="D233" t="s">
        <v>1064</v>
      </c>
      <c r="E233">
        <v>1.3</v>
      </c>
      <c r="F233">
        <v>3</v>
      </c>
      <c r="G233" t="s">
        <v>735</v>
      </c>
      <c r="H233">
        <v>9</v>
      </c>
      <c r="I233" t="s">
        <v>28</v>
      </c>
      <c r="J233">
        <v>26</v>
      </c>
      <c r="K233">
        <v>29</v>
      </c>
      <c r="L233">
        <v>27</v>
      </c>
      <c r="M233" t="s">
        <v>118</v>
      </c>
      <c r="N233">
        <v>1950</v>
      </c>
      <c r="O233">
        <v>5</v>
      </c>
      <c r="P233">
        <v>5</v>
      </c>
      <c r="Q233">
        <v>342</v>
      </c>
      <c r="R233">
        <v>305</v>
      </c>
      <c r="S233">
        <v>329</v>
      </c>
      <c r="U233">
        <v>250</v>
      </c>
      <c r="V233" t="s">
        <v>30</v>
      </c>
      <c r="W233" t="s">
        <v>528</v>
      </c>
      <c r="X233" t="s">
        <v>524</v>
      </c>
    </row>
    <row r="234" spans="1:24" x14ac:dyDescent="0.25">
      <c r="A234">
        <v>2025</v>
      </c>
      <c r="B234" t="s">
        <v>112</v>
      </c>
      <c r="C234" t="s">
        <v>123</v>
      </c>
      <c r="D234" t="s">
        <v>1063</v>
      </c>
      <c r="E234">
        <v>1.3</v>
      </c>
      <c r="F234">
        <v>3</v>
      </c>
      <c r="G234" t="s">
        <v>562</v>
      </c>
      <c r="H234">
        <v>1</v>
      </c>
      <c r="I234" t="s">
        <v>128</v>
      </c>
      <c r="J234">
        <v>29</v>
      </c>
      <c r="K234">
        <v>33</v>
      </c>
      <c r="L234">
        <v>31</v>
      </c>
      <c r="M234" t="s">
        <v>115</v>
      </c>
      <c r="N234">
        <v>1700</v>
      </c>
      <c r="O234">
        <v>6</v>
      </c>
      <c r="P234">
        <v>6</v>
      </c>
      <c r="Q234">
        <v>307</v>
      </c>
      <c r="R234">
        <v>269</v>
      </c>
      <c r="S234">
        <v>287</v>
      </c>
      <c r="T234">
        <v>1000</v>
      </c>
      <c r="V234" t="s">
        <v>30</v>
      </c>
      <c r="W234" t="s">
        <v>528</v>
      </c>
      <c r="X234" t="s">
        <v>524</v>
      </c>
    </row>
    <row r="235" spans="1:24" x14ac:dyDescent="0.25">
      <c r="A235">
        <v>2025</v>
      </c>
      <c r="B235" t="s">
        <v>112</v>
      </c>
      <c r="C235" t="s">
        <v>123</v>
      </c>
      <c r="D235" t="s">
        <v>1063</v>
      </c>
      <c r="E235">
        <v>1.2</v>
      </c>
      <c r="F235">
        <v>3</v>
      </c>
      <c r="G235" t="s">
        <v>562</v>
      </c>
      <c r="H235">
        <v>1</v>
      </c>
      <c r="I235" t="s">
        <v>128</v>
      </c>
      <c r="J235">
        <v>30</v>
      </c>
      <c r="K235">
        <v>31</v>
      </c>
      <c r="L235">
        <v>30</v>
      </c>
      <c r="M235" t="s">
        <v>115</v>
      </c>
      <c r="N235">
        <v>1750</v>
      </c>
      <c r="O235">
        <v>6</v>
      </c>
      <c r="P235">
        <v>6</v>
      </c>
      <c r="Q235">
        <v>293</v>
      </c>
      <c r="R235">
        <v>284</v>
      </c>
      <c r="S235">
        <v>297</v>
      </c>
      <c r="T235">
        <v>750</v>
      </c>
      <c r="V235" t="s">
        <v>30</v>
      </c>
      <c r="W235" t="s">
        <v>528</v>
      </c>
      <c r="X235" t="s">
        <v>524</v>
      </c>
    </row>
    <row r="236" spans="1:24" x14ac:dyDescent="0.25">
      <c r="A236">
        <v>2025</v>
      </c>
      <c r="B236" t="s">
        <v>112</v>
      </c>
      <c r="C236" t="s">
        <v>123</v>
      </c>
      <c r="D236" t="s">
        <v>1062</v>
      </c>
      <c r="E236">
        <v>2.5</v>
      </c>
      <c r="F236">
        <v>4</v>
      </c>
      <c r="G236" t="s">
        <v>641</v>
      </c>
      <c r="H236">
        <v>8</v>
      </c>
      <c r="I236" t="s">
        <v>28</v>
      </c>
      <c r="J236">
        <v>19</v>
      </c>
      <c r="K236">
        <v>24</v>
      </c>
      <c r="L236">
        <v>21</v>
      </c>
      <c r="M236" t="s">
        <v>29</v>
      </c>
      <c r="N236">
        <v>2500</v>
      </c>
      <c r="O236">
        <v>4</v>
      </c>
      <c r="P236">
        <v>4</v>
      </c>
      <c r="Q236">
        <v>462</v>
      </c>
      <c r="R236">
        <v>374</v>
      </c>
      <c r="S236">
        <v>422</v>
      </c>
      <c r="U236">
        <v>3000</v>
      </c>
      <c r="V236" t="s">
        <v>30</v>
      </c>
      <c r="W236" t="s">
        <v>528</v>
      </c>
      <c r="X236" t="s">
        <v>524</v>
      </c>
    </row>
    <row r="237" spans="1:24" x14ac:dyDescent="0.25">
      <c r="A237">
        <v>2025</v>
      </c>
      <c r="B237" t="s">
        <v>112</v>
      </c>
      <c r="C237" t="s">
        <v>123</v>
      </c>
      <c r="D237" t="s">
        <v>1061</v>
      </c>
      <c r="E237">
        <v>2.5</v>
      </c>
      <c r="F237">
        <v>4</v>
      </c>
      <c r="G237" t="s">
        <v>641</v>
      </c>
      <c r="H237">
        <v>8</v>
      </c>
      <c r="I237" t="s">
        <v>128</v>
      </c>
      <c r="J237">
        <v>20</v>
      </c>
      <c r="K237">
        <v>27</v>
      </c>
      <c r="L237">
        <v>23</v>
      </c>
      <c r="M237" t="s">
        <v>47</v>
      </c>
      <c r="N237">
        <v>2300</v>
      </c>
      <c r="O237">
        <v>5</v>
      </c>
      <c r="P237">
        <v>5</v>
      </c>
      <c r="Q237">
        <v>431</v>
      </c>
      <c r="R237">
        <v>334</v>
      </c>
      <c r="S237">
        <v>388</v>
      </c>
      <c r="U237">
        <v>2000</v>
      </c>
      <c r="V237" t="s">
        <v>30</v>
      </c>
      <c r="W237" t="s">
        <v>528</v>
      </c>
      <c r="X237" t="s">
        <v>524</v>
      </c>
    </row>
    <row r="238" spans="1:24" x14ac:dyDescent="0.25">
      <c r="A238">
        <v>2025</v>
      </c>
      <c r="B238" t="s">
        <v>112</v>
      </c>
      <c r="C238" t="s">
        <v>123</v>
      </c>
      <c r="D238" t="s">
        <v>1060</v>
      </c>
      <c r="E238">
        <v>1.2</v>
      </c>
      <c r="F238">
        <v>3</v>
      </c>
      <c r="G238" t="s">
        <v>1059</v>
      </c>
      <c r="H238">
        <v>6</v>
      </c>
      <c r="I238" t="s">
        <v>128</v>
      </c>
      <c r="J238">
        <v>28</v>
      </c>
      <c r="K238">
        <v>32</v>
      </c>
      <c r="L238">
        <v>30</v>
      </c>
      <c r="M238" t="s">
        <v>122</v>
      </c>
      <c r="N238">
        <v>1750</v>
      </c>
      <c r="O238">
        <v>6</v>
      </c>
      <c r="P238">
        <v>6</v>
      </c>
      <c r="Q238">
        <v>318</v>
      </c>
      <c r="R238">
        <v>277</v>
      </c>
      <c r="S238">
        <v>296</v>
      </c>
      <c r="T238">
        <v>750</v>
      </c>
      <c r="V238" t="s">
        <v>30</v>
      </c>
      <c r="W238" t="s">
        <v>528</v>
      </c>
      <c r="X238" t="s">
        <v>524</v>
      </c>
    </row>
    <row r="239" spans="1:24" x14ac:dyDescent="0.25">
      <c r="A239">
        <v>2025</v>
      </c>
      <c r="B239" t="s">
        <v>112</v>
      </c>
      <c r="C239" t="s">
        <v>123</v>
      </c>
      <c r="D239" t="s">
        <v>1060</v>
      </c>
      <c r="E239">
        <v>1.2</v>
      </c>
      <c r="F239">
        <v>3</v>
      </c>
      <c r="G239" t="s">
        <v>1059</v>
      </c>
      <c r="H239">
        <v>6</v>
      </c>
      <c r="I239" t="s">
        <v>128</v>
      </c>
      <c r="J239">
        <v>28</v>
      </c>
      <c r="K239">
        <v>31</v>
      </c>
      <c r="L239">
        <v>29</v>
      </c>
      <c r="M239" t="s">
        <v>122</v>
      </c>
      <c r="N239">
        <v>1800</v>
      </c>
      <c r="O239">
        <v>6</v>
      </c>
      <c r="P239">
        <v>6</v>
      </c>
      <c r="Q239">
        <v>322</v>
      </c>
      <c r="R239">
        <v>286</v>
      </c>
      <c r="S239">
        <v>306</v>
      </c>
      <c r="T239">
        <v>500</v>
      </c>
      <c r="V239" t="s">
        <v>30</v>
      </c>
      <c r="W239" t="s">
        <v>528</v>
      </c>
      <c r="X239" t="s">
        <v>524</v>
      </c>
    </row>
    <row r="240" spans="1:24" x14ac:dyDescent="0.25">
      <c r="A240">
        <v>2025</v>
      </c>
      <c r="B240" t="s">
        <v>143</v>
      </c>
      <c r="C240" t="s">
        <v>1056</v>
      </c>
      <c r="D240" t="s">
        <v>1058</v>
      </c>
      <c r="E240">
        <v>3.6</v>
      </c>
      <c r="F240">
        <v>6</v>
      </c>
      <c r="G240" t="s">
        <v>735</v>
      </c>
      <c r="H240">
        <v>9</v>
      </c>
      <c r="I240" t="s">
        <v>128</v>
      </c>
      <c r="J240">
        <v>19</v>
      </c>
      <c r="K240">
        <v>28</v>
      </c>
      <c r="L240">
        <v>22</v>
      </c>
      <c r="M240" t="s">
        <v>503</v>
      </c>
      <c r="N240">
        <v>2400</v>
      </c>
      <c r="O240">
        <v>5</v>
      </c>
      <c r="P240">
        <v>5</v>
      </c>
      <c r="Q240">
        <v>469</v>
      </c>
      <c r="R240">
        <v>317</v>
      </c>
      <c r="S240">
        <v>401</v>
      </c>
      <c r="U240">
        <v>2500</v>
      </c>
      <c r="V240" t="s">
        <v>30</v>
      </c>
      <c r="W240" t="s">
        <v>558</v>
      </c>
      <c r="X240" t="s">
        <v>524</v>
      </c>
    </row>
    <row r="241" spans="1:24" x14ac:dyDescent="0.25">
      <c r="A241">
        <v>2025</v>
      </c>
      <c r="B241" t="s">
        <v>143</v>
      </c>
      <c r="C241" t="s">
        <v>1056</v>
      </c>
      <c r="D241" t="s">
        <v>1057</v>
      </c>
      <c r="E241">
        <v>3.6</v>
      </c>
      <c r="F241">
        <v>6</v>
      </c>
      <c r="G241" t="s">
        <v>735</v>
      </c>
      <c r="H241">
        <v>9</v>
      </c>
      <c r="I241" t="s">
        <v>28</v>
      </c>
      <c r="J241">
        <v>17</v>
      </c>
      <c r="K241">
        <v>25</v>
      </c>
      <c r="L241">
        <v>20</v>
      </c>
      <c r="M241" t="s">
        <v>505</v>
      </c>
      <c r="N241">
        <v>2600</v>
      </c>
      <c r="O241">
        <v>4</v>
      </c>
      <c r="P241">
        <v>4</v>
      </c>
      <c r="Q241">
        <v>531</v>
      </c>
      <c r="R241">
        <v>351</v>
      </c>
      <c r="S241">
        <v>450</v>
      </c>
      <c r="U241">
        <v>3500</v>
      </c>
      <c r="V241" t="s">
        <v>30</v>
      </c>
      <c r="W241" t="s">
        <v>558</v>
      </c>
      <c r="X241" t="s">
        <v>524</v>
      </c>
    </row>
    <row r="242" spans="1:24" x14ac:dyDescent="0.25">
      <c r="A242">
        <v>2025</v>
      </c>
      <c r="B242" t="s">
        <v>143</v>
      </c>
      <c r="C242" t="s">
        <v>1056</v>
      </c>
      <c r="D242" t="s">
        <v>1055</v>
      </c>
      <c r="E242">
        <v>3.6</v>
      </c>
      <c r="F242">
        <v>6</v>
      </c>
      <c r="G242" t="s">
        <v>735</v>
      </c>
      <c r="H242">
        <v>9</v>
      </c>
      <c r="I242" t="s">
        <v>128</v>
      </c>
      <c r="J242">
        <v>19</v>
      </c>
      <c r="K242">
        <v>28</v>
      </c>
      <c r="L242">
        <v>22</v>
      </c>
      <c r="M242" t="s">
        <v>503</v>
      </c>
      <c r="N242">
        <v>2400</v>
      </c>
      <c r="O242">
        <v>5</v>
      </c>
      <c r="P242">
        <v>5</v>
      </c>
      <c r="Q242">
        <v>469</v>
      </c>
      <c r="R242">
        <v>317</v>
      </c>
      <c r="S242">
        <v>401</v>
      </c>
      <c r="U242">
        <v>2500</v>
      </c>
      <c r="V242" t="s">
        <v>30</v>
      </c>
      <c r="W242" t="s">
        <v>558</v>
      </c>
      <c r="X242" t="s">
        <v>524</v>
      </c>
    </row>
    <row r="243" spans="1:24" x14ac:dyDescent="0.25">
      <c r="A243">
        <v>2025</v>
      </c>
      <c r="B243" t="s">
        <v>143</v>
      </c>
      <c r="C243" t="s">
        <v>144</v>
      </c>
      <c r="D243" t="s">
        <v>1054</v>
      </c>
      <c r="E243">
        <v>3.6</v>
      </c>
      <c r="F243">
        <v>6</v>
      </c>
      <c r="G243" t="s">
        <v>641</v>
      </c>
      <c r="H243">
        <v>8</v>
      </c>
      <c r="I243" t="s">
        <v>28</v>
      </c>
      <c r="J243">
        <v>17</v>
      </c>
      <c r="K243">
        <v>24</v>
      </c>
      <c r="L243">
        <v>20</v>
      </c>
      <c r="M243" t="s">
        <v>29</v>
      </c>
      <c r="N243">
        <v>2600</v>
      </c>
      <c r="O243">
        <v>4</v>
      </c>
      <c r="P243">
        <v>4</v>
      </c>
      <c r="Q243">
        <v>510</v>
      </c>
      <c r="R243">
        <v>377</v>
      </c>
      <c r="S243">
        <v>450</v>
      </c>
      <c r="U243">
        <v>3500</v>
      </c>
      <c r="V243" t="s">
        <v>30</v>
      </c>
      <c r="W243" t="s">
        <v>558</v>
      </c>
      <c r="X243" t="s">
        <v>524</v>
      </c>
    </row>
    <row r="244" spans="1:24" x14ac:dyDescent="0.25">
      <c r="A244">
        <v>2025</v>
      </c>
      <c r="B244" t="s">
        <v>143</v>
      </c>
      <c r="C244" t="s">
        <v>144</v>
      </c>
      <c r="D244" t="s">
        <v>1054</v>
      </c>
      <c r="E244">
        <v>5.7</v>
      </c>
      <c r="F244">
        <v>8</v>
      </c>
      <c r="G244" t="s">
        <v>641</v>
      </c>
      <c r="H244">
        <v>8</v>
      </c>
      <c r="I244" t="s">
        <v>28</v>
      </c>
      <c r="J244">
        <v>14</v>
      </c>
      <c r="K244">
        <v>22</v>
      </c>
      <c r="L244">
        <v>17</v>
      </c>
      <c r="M244" t="s">
        <v>29</v>
      </c>
      <c r="N244">
        <v>3550</v>
      </c>
      <c r="O244">
        <v>3</v>
      </c>
      <c r="P244">
        <v>3</v>
      </c>
      <c r="Q244">
        <v>633</v>
      </c>
      <c r="R244">
        <v>410</v>
      </c>
      <c r="S244">
        <v>533</v>
      </c>
      <c r="U244">
        <v>8250</v>
      </c>
      <c r="V244" t="s">
        <v>30</v>
      </c>
      <c r="W244" t="s">
        <v>558</v>
      </c>
      <c r="X244" t="s">
        <v>565</v>
      </c>
    </row>
    <row r="245" spans="1:24" x14ac:dyDescent="0.25">
      <c r="A245">
        <v>2025</v>
      </c>
      <c r="B245" t="s">
        <v>143</v>
      </c>
      <c r="C245" t="s">
        <v>144</v>
      </c>
      <c r="D245" t="s">
        <v>1053</v>
      </c>
      <c r="E245">
        <v>3.6</v>
      </c>
      <c r="F245">
        <v>6</v>
      </c>
      <c r="G245" t="s">
        <v>641</v>
      </c>
      <c r="H245">
        <v>8</v>
      </c>
      <c r="I245" t="s">
        <v>46</v>
      </c>
      <c r="J245">
        <v>18</v>
      </c>
      <c r="K245">
        <v>25</v>
      </c>
      <c r="L245">
        <v>20</v>
      </c>
      <c r="M245" t="s">
        <v>47</v>
      </c>
      <c r="N245">
        <v>2600</v>
      </c>
      <c r="O245">
        <v>4</v>
      </c>
      <c r="P245">
        <v>4</v>
      </c>
      <c r="Q245">
        <v>503</v>
      </c>
      <c r="R245">
        <v>361</v>
      </c>
      <c r="S245">
        <v>439</v>
      </c>
      <c r="U245">
        <v>3500</v>
      </c>
      <c r="V245" t="s">
        <v>30</v>
      </c>
      <c r="W245" t="s">
        <v>558</v>
      </c>
      <c r="X245" t="s">
        <v>524</v>
      </c>
    </row>
    <row r="246" spans="1:24" x14ac:dyDescent="0.25">
      <c r="A246">
        <v>2025</v>
      </c>
      <c r="B246" t="s">
        <v>143</v>
      </c>
      <c r="C246" t="s">
        <v>144</v>
      </c>
      <c r="D246" t="s">
        <v>1053</v>
      </c>
      <c r="E246">
        <v>5.7</v>
      </c>
      <c r="F246">
        <v>8</v>
      </c>
      <c r="G246" t="s">
        <v>641</v>
      </c>
      <c r="H246">
        <v>8</v>
      </c>
      <c r="I246" t="s">
        <v>46</v>
      </c>
      <c r="J246">
        <v>14</v>
      </c>
      <c r="K246">
        <v>22</v>
      </c>
      <c r="L246">
        <v>17</v>
      </c>
      <c r="M246" t="s">
        <v>47</v>
      </c>
      <c r="N246">
        <v>3550</v>
      </c>
      <c r="O246">
        <v>3</v>
      </c>
      <c r="P246">
        <v>3</v>
      </c>
      <c r="Q246">
        <v>628</v>
      </c>
      <c r="R246">
        <v>399</v>
      </c>
      <c r="S246">
        <v>525</v>
      </c>
      <c r="U246">
        <v>8250</v>
      </c>
      <c r="V246" t="s">
        <v>30</v>
      </c>
      <c r="W246" t="s">
        <v>558</v>
      </c>
      <c r="X246" t="s">
        <v>565</v>
      </c>
    </row>
    <row r="247" spans="1:24" x14ac:dyDescent="0.25">
      <c r="A247">
        <v>2025</v>
      </c>
      <c r="B247" t="s">
        <v>143</v>
      </c>
      <c r="C247" t="s">
        <v>144</v>
      </c>
      <c r="D247" t="s">
        <v>1052</v>
      </c>
      <c r="E247">
        <v>6.2</v>
      </c>
      <c r="F247">
        <v>8</v>
      </c>
      <c r="G247" t="s">
        <v>641</v>
      </c>
      <c r="H247">
        <v>8</v>
      </c>
      <c r="I247" t="s">
        <v>28</v>
      </c>
      <c r="J247">
        <v>12</v>
      </c>
      <c r="K247">
        <v>17</v>
      </c>
      <c r="L247">
        <v>13</v>
      </c>
      <c r="M247" t="s">
        <v>29</v>
      </c>
      <c r="N247">
        <v>4900</v>
      </c>
      <c r="O247">
        <v>1</v>
      </c>
      <c r="P247">
        <v>1</v>
      </c>
      <c r="Q247">
        <v>773</v>
      </c>
      <c r="R247">
        <v>520</v>
      </c>
      <c r="S247">
        <v>659</v>
      </c>
      <c r="U247">
        <v>15000</v>
      </c>
      <c r="V247" t="s">
        <v>30</v>
      </c>
      <c r="W247" t="s">
        <v>815</v>
      </c>
      <c r="X247" t="s">
        <v>565</v>
      </c>
    </row>
    <row r="248" spans="1:24" x14ac:dyDescent="0.25">
      <c r="A248">
        <v>2025</v>
      </c>
      <c r="B248" t="s">
        <v>143</v>
      </c>
      <c r="C248" t="s">
        <v>144</v>
      </c>
      <c r="D248" t="s">
        <v>1051</v>
      </c>
      <c r="E248">
        <v>2</v>
      </c>
      <c r="F248">
        <v>4</v>
      </c>
      <c r="G248" t="s">
        <v>735</v>
      </c>
      <c r="H248">
        <v>9</v>
      </c>
      <c r="I248" t="s">
        <v>28</v>
      </c>
      <c r="J248">
        <v>21</v>
      </c>
      <c r="K248">
        <v>29</v>
      </c>
      <c r="L248">
        <v>24</v>
      </c>
      <c r="M248" t="s">
        <v>118</v>
      </c>
      <c r="N248">
        <v>2200</v>
      </c>
      <c r="O248">
        <v>5</v>
      </c>
      <c r="P248">
        <v>5</v>
      </c>
      <c r="Q248">
        <v>425</v>
      </c>
      <c r="R248">
        <v>308</v>
      </c>
      <c r="S248">
        <v>372</v>
      </c>
      <c r="U248">
        <v>1500</v>
      </c>
      <c r="V248" t="s">
        <v>30</v>
      </c>
      <c r="W248" t="s">
        <v>528</v>
      </c>
      <c r="X248" t="s">
        <v>524</v>
      </c>
    </row>
    <row r="249" spans="1:24" x14ac:dyDescent="0.25">
      <c r="A249">
        <v>2025</v>
      </c>
      <c r="B249" t="s">
        <v>1047</v>
      </c>
      <c r="C249" t="s">
        <v>1046</v>
      </c>
      <c r="D249" t="s">
        <v>1050</v>
      </c>
      <c r="E249">
        <v>6.5</v>
      </c>
      <c r="F249">
        <v>12</v>
      </c>
      <c r="G249" t="s">
        <v>751</v>
      </c>
      <c r="H249">
        <v>8</v>
      </c>
      <c r="I249" t="s">
        <v>46</v>
      </c>
      <c r="J249">
        <v>12</v>
      </c>
      <c r="K249">
        <v>19</v>
      </c>
      <c r="L249">
        <v>14</v>
      </c>
      <c r="M249" t="s">
        <v>108</v>
      </c>
      <c r="N249">
        <v>4550</v>
      </c>
      <c r="O249">
        <v>2</v>
      </c>
      <c r="P249">
        <v>2</v>
      </c>
      <c r="Q249">
        <v>736</v>
      </c>
      <c r="R249">
        <v>477</v>
      </c>
      <c r="S249">
        <v>619</v>
      </c>
      <c r="U249">
        <v>13250</v>
      </c>
      <c r="V249" t="s">
        <v>633</v>
      </c>
      <c r="W249" t="s">
        <v>558</v>
      </c>
      <c r="X249" t="s">
        <v>524</v>
      </c>
    </row>
    <row r="250" spans="1:24" x14ac:dyDescent="0.25">
      <c r="A250">
        <v>2025</v>
      </c>
      <c r="B250" t="s">
        <v>1047</v>
      </c>
      <c r="C250" t="s">
        <v>1046</v>
      </c>
      <c r="D250" t="s">
        <v>1049</v>
      </c>
      <c r="E250">
        <v>6.5</v>
      </c>
      <c r="F250">
        <v>12</v>
      </c>
      <c r="G250" t="s">
        <v>1048</v>
      </c>
      <c r="H250">
        <v>7</v>
      </c>
      <c r="I250" t="s">
        <v>46</v>
      </c>
      <c r="J250">
        <v>12</v>
      </c>
      <c r="K250">
        <v>16</v>
      </c>
      <c r="L250">
        <v>13</v>
      </c>
      <c r="M250" t="s">
        <v>108</v>
      </c>
      <c r="N250">
        <v>4900</v>
      </c>
      <c r="O250">
        <v>1</v>
      </c>
      <c r="P250">
        <v>1</v>
      </c>
      <c r="Q250">
        <v>745</v>
      </c>
      <c r="R250">
        <v>556</v>
      </c>
      <c r="S250">
        <v>660</v>
      </c>
      <c r="U250">
        <v>15000</v>
      </c>
      <c r="V250" t="s">
        <v>633</v>
      </c>
      <c r="W250" t="s">
        <v>558</v>
      </c>
      <c r="X250" t="s">
        <v>524</v>
      </c>
    </row>
    <row r="251" spans="1:24" x14ac:dyDescent="0.25">
      <c r="A251">
        <v>2025</v>
      </c>
      <c r="B251" t="s">
        <v>1047</v>
      </c>
      <c r="C251" t="s">
        <v>1046</v>
      </c>
      <c r="D251" t="s">
        <v>1045</v>
      </c>
      <c r="E251">
        <v>3.9</v>
      </c>
      <c r="F251">
        <v>8</v>
      </c>
      <c r="G251" t="s">
        <v>751</v>
      </c>
      <c r="H251">
        <v>8</v>
      </c>
      <c r="I251" t="s">
        <v>46</v>
      </c>
      <c r="J251">
        <v>17</v>
      </c>
      <c r="K251">
        <v>22</v>
      </c>
      <c r="L251">
        <v>19</v>
      </c>
      <c r="M251" t="s">
        <v>155</v>
      </c>
      <c r="N251">
        <v>3350</v>
      </c>
      <c r="O251">
        <v>4</v>
      </c>
      <c r="P251">
        <v>4</v>
      </c>
      <c r="Q251">
        <v>524</v>
      </c>
      <c r="R251">
        <v>397</v>
      </c>
      <c r="S251">
        <v>467</v>
      </c>
      <c r="U251">
        <v>7250</v>
      </c>
      <c r="V251" t="s">
        <v>30</v>
      </c>
      <c r="W251" t="s">
        <v>528</v>
      </c>
      <c r="X251" t="s">
        <v>524</v>
      </c>
    </row>
    <row r="252" spans="1:24" x14ac:dyDescent="0.25">
      <c r="A252">
        <v>2025</v>
      </c>
      <c r="B252" t="s">
        <v>158</v>
      </c>
      <c r="C252" t="s">
        <v>159</v>
      </c>
      <c r="D252" t="s">
        <v>1044</v>
      </c>
      <c r="E252">
        <v>2.2999999999999998</v>
      </c>
      <c r="F252">
        <v>4</v>
      </c>
      <c r="G252" t="s">
        <v>554</v>
      </c>
      <c r="H252">
        <v>10</v>
      </c>
      <c r="I252" t="s">
        <v>400</v>
      </c>
      <c r="J252">
        <v>18</v>
      </c>
      <c r="K252">
        <v>22</v>
      </c>
      <c r="L252">
        <v>20</v>
      </c>
      <c r="M252" t="s">
        <v>118</v>
      </c>
      <c r="N252">
        <v>2600</v>
      </c>
      <c r="O252">
        <v>4</v>
      </c>
      <c r="P252">
        <v>4</v>
      </c>
      <c r="Q252">
        <v>508</v>
      </c>
      <c r="R252">
        <v>411</v>
      </c>
      <c r="S252">
        <v>464</v>
      </c>
      <c r="U252">
        <v>3500</v>
      </c>
      <c r="V252" t="s">
        <v>30</v>
      </c>
      <c r="W252" t="s">
        <v>528</v>
      </c>
      <c r="X252" t="s">
        <v>524</v>
      </c>
    </row>
    <row r="253" spans="1:24" x14ac:dyDescent="0.25">
      <c r="A253">
        <v>2025</v>
      </c>
      <c r="B253" t="s">
        <v>158</v>
      </c>
      <c r="C253" t="s">
        <v>159</v>
      </c>
      <c r="D253" t="s">
        <v>1044</v>
      </c>
      <c r="E253">
        <v>2.7</v>
      </c>
      <c r="F253">
        <v>6</v>
      </c>
      <c r="G253" t="s">
        <v>554</v>
      </c>
      <c r="H253">
        <v>10</v>
      </c>
      <c r="I253" t="s">
        <v>400</v>
      </c>
      <c r="J253">
        <v>17</v>
      </c>
      <c r="K253">
        <v>18</v>
      </c>
      <c r="L253">
        <v>18</v>
      </c>
      <c r="M253" t="s">
        <v>118</v>
      </c>
      <c r="N253">
        <v>2900</v>
      </c>
      <c r="O253">
        <v>4</v>
      </c>
      <c r="P253">
        <v>4</v>
      </c>
      <c r="Q253">
        <v>523</v>
      </c>
      <c r="R253">
        <v>482</v>
      </c>
      <c r="S253">
        <v>494</v>
      </c>
      <c r="U253">
        <v>5000</v>
      </c>
      <c r="V253" t="s">
        <v>30</v>
      </c>
      <c r="W253" t="s">
        <v>528</v>
      </c>
      <c r="X253" t="s">
        <v>524</v>
      </c>
    </row>
    <row r="254" spans="1:24" x14ac:dyDescent="0.25">
      <c r="A254">
        <v>2025</v>
      </c>
      <c r="B254" t="s">
        <v>158</v>
      </c>
      <c r="C254" t="s">
        <v>159</v>
      </c>
      <c r="D254" t="s">
        <v>1044</v>
      </c>
      <c r="E254">
        <v>2.2999999999999998</v>
      </c>
      <c r="F254">
        <v>4</v>
      </c>
      <c r="G254" t="s">
        <v>1039</v>
      </c>
      <c r="H254">
        <v>7</v>
      </c>
      <c r="I254" t="s">
        <v>400</v>
      </c>
      <c r="J254">
        <v>18</v>
      </c>
      <c r="K254">
        <v>21</v>
      </c>
      <c r="L254">
        <v>19</v>
      </c>
      <c r="M254" t="s">
        <v>118</v>
      </c>
      <c r="N254">
        <v>2750</v>
      </c>
      <c r="O254">
        <v>4</v>
      </c>
      <c r="P254">
        <v>4</v>
      </c>
      <c r="Q254">
        <v>514</v>
      </c>
      <c r="R254">
        <v>412</v>
      </c>
      <c r="S254">
        <v>468</v>
      </c>
      <c r="U254">
        <v>4250</v>
      </c>
      <c r="V254" t="s">
        <v>30</v>
      </c>
      <c r="W254" t="s">
        <v>528</v>
      </c>
      <c r="X254" t="s">
        <v>524</v>
      </c>
    </row>
    <row r="255" spans="1:24" x14ac:dyDescent="0.25">
      <c r="A255">
        <v>2025</v>
      </c>
      <c r="B255" t="s">
        <v>158</v>
      </c>
      <c r="C255" t="s">
        <v>159</v>
      </c>
      <c r="D255" t="s">
        <v>1044</v>
      </c>
      <c r="E255">
        <v>2.7</v>
      </c>
      <c r="F255">
        <v>6</v>
      </c>
      <c r="G255" t="s">
        <v>554</v>
      </c>
      <c r="H255">
        <v>10</v>
      </c>
      <c r="I255" t="s">
        <v>400</v>
      </c>
      <c r="J255">
        <v>17</v>
      </c>
      <c r="K255">
        <v>18</v>
      </c>
      <c r="L255">
        <v>18</v>
      </c>
      <c r="M255" t="s">
        <v>118</v>
      </c>
      <c r="N255">
        <v>2900</v>
      </c>
      <c r="O255">
        <v>4</v>
      </c>
      <c r="P255">
        <v>4</v>
      </c>
      <c r="Q255">
        <v>517</v>
      </c>
      <c r="R255">
        <v>493</v>
      </c>
      <c r="S255">
        <v>506</v>
      </c>
      <c r="U255">
        <v>5000</v>
      </c>
      <c r="V255" t="s">
        <v>30</v>
      </c>
      <c r="W255" t="s">
        <v>528</v>
      </c>
      <c r="X255" t="s">
        <v>524</v>
      </c>
    </row>
    <row r="256" spans="1:24" x14ac:dyDescent="0.25">
      <c r="A256">
        <v>2025</v>
      </c>
      <c r="B256" t="s">
        <v>158</v>
      </c>
      <c r="C256" t="s">
        <v>159</v>
      </c>
      <c r="D256" t="s">
        <v>1043</v>
      </c>
      <c r="E256">
        <v>2.2999999999999998</v>
      </c>
      <c r="F256">
        <v>4</v>
      </c>
      <c r="G256" t="s">
        <v>554</v>
      </c>
      <c r="H256">
        <v>10</v>
      </c>
      <c r="I256" t="s">
        <v>400</v>
      </c>
      <c r="J256">
        <v>17</v>
      </c>
      <c r="K256">
        <v>19</v>
      </c>
      <c r="L256">
        <v>18</v>
      </c>
      <c r="M256" t="s">
        <v>118</v>
      </c>
      <c r="N256">
        <v>2900</v>
      </c>
      <c r="O256">
        <v>4</v>
      </c>
      <c r="P256">
        <v>4</v>
      </c>
      <c r="Q256">
        <v>554</v>
      </c>
      <c r="R256">
        <v>472</v>
      </c>
      <c r="S256">
        <v>517</v>
      </c>
      <c r="U256">
        <v>5000</v>
      </c>
      <c r="V256" t="s">
        <v>30</v>
      </c>
      <c r="W256" t="s">
        <v>528</v>
      </c>
      <c r="X256" t="s">
        <v>524</v>
      </c>
    </row>
    <row r="257" spans="1:24" x14ac:dyDescent="0.25">
      <c r="A257">
        <v>2025</v>
      </c>
      <c r="B257" t="s">
        <v>158</v>
      </c>
      <c r="C257" t="s">
        <v>159</v>
      </c>
      <c r="D257" t="s">
        <v>1043</v>
      </c>
      <c r="E257">
        <v>2.2999999999999998</v>
      </c>
      <c r="F257">
        <v>4</v>
      </c>
      <c r="G257" t="s">
        <v>1039</v>
      </c>
      <c r="H257">
        <v>7</v>
      </c>
      <c r="I257" t="s">
        <v>400</v>
      </c>
      <c r="J257">
        <v>17</v>
      </c>
      <c r="K257">
        <v>18</v>
      </c>
      <c r="L257">
        <v>17</v>
      </c>
      <c r="M257" t="s">
        <v>118</v>
      </c>
      <c r="N257">
        <v>3100</v>
      </c>
      <c r="O257">
        <v>3</v>
      </c>
      <c r="P257">
        <v>3</v>
      </c>
      <c r="Q257">
        <v>560</v>
      </c>
      <c r="R257">
        <v>485</v>
      </c>
      <c r="S257">
        <v>526</v>
      </c>
      <c r="U257">
        <v>6000</v>
      </c>
      <c r="V257" t="s">
        <v>30</v>
      </c>
      <c r="W257" t="s">
        <v>528</v>
      </c>
      <c r="X257" t="s">
        <v>524</v>
      </c>
    </row>
    <row r="258" spans="1:24" x14ac:dyDescent="0.25">
      <c r="A258">
        <v>2025</v>
      </c>
      <c r="B258" t="s">
        <v>158</v>
      </c>
      <c r="C258" t="s">
        <v>159</v>
      </c>
      <c r="D258" t="s">
        <v>1042</v>
      </c>
      <c r="E258">
        <v>2.7</v>
      </c>
      <c r="F258">
        <v>6</v>
      </c>
      <c r="G258" t="s">
        <v>554</v>
      </c>
      <c r="H258">
        <v>10</v>
      </c>
      <c r="I258" t="s">
        <v>400</v>
      </c>
      <c r="J258">
        <v>19</v>
      </c>
      <c r="K258">
        <v>21</v>
      </c>
      <c r="L258">
        <v>20</v>
      </c>
      <c r="M258" t="s">
        <v>29</v>
      </c>
      <c r="N258">
        <v>2600</v>
      </c>
      <c r="O258">
        <v>4</v>
      </c>
      <c r="P258">
        <v>4</v>
      </c>
      <c r="Q258">
        <v>471</v>
      </c>
      <c r="R258">
        <v>431</v>
      </c>
      <c r="S258">
        <v>453</v>
      </c>
      <c r="U258">
        <v>3500</v>
      </c>
      <c r="V258" t="s">
        <v>30</v>
      </c>
      <c r="W258" t="s">
        <v>528</v>
      </c>
      <c r="X258" t="s">
        <v>524</v>
      </c>
    </row>
    <row r="259" spans="1:24" x14ac:dyDescent="0.25">
      <c r="A259">
        <v>2025</v>
      </c>
      <c r="B259" t="s">
        <v>158</v>
      </c>
      <c r="C259" t="s">
        <v>159</v>
      </c>
      <c r="D259" t="s">
        <v>1041</v>
      </c>
      <c r="E259">
        <v>3</v>
      </c>
      <c r="F259">
        <v>6</v>
      </c>
      <c r="G259" t="s">
        <v>554</v>
      </c>
      <c r="H259">
        <v>10</v>
      </c>
      <c r="I259" t="s">
        <v>400</v>
      </c>
      <c r="J259">
        <v>15</v>
      </c>
      <c r="K259">
        <v>16</v>
      </c>
      <c r="L259">
        <v>15</v>
      </c>
      <c r="M259" t="s">
        <v>29</v>
      </c>
      <c r="N259">
        <v>3500</v>
      </c>
      <c r="O259">
        <v>2</v>
      </c>
      <c r="P259">
        <v>2</v>
      </c>
      <c r="Q259">
        <v>592</v>
      </c>
      <c r="R259">
        <v>558</v>
      </c>
      <c r="S259">
        <v>577</v>
      </c>
      <c r="U259">
        <v>8000</v>
      </c>
      <c r="V259" t="s">
        <v>30</v>
      </c>
      <c r="W259" t="s">
        <v>528</v>
      </c>
      <c r="X259" t="s">
        <v>524</v>
      </c>
    </row>
    <row r="260" spans="1:24" x14ac:dyDescent="0.25">
      <c r="A260">
        <v>2025</v>
      </c>
      <c r="B260" t="s">
        <v>158</v>
      </c>
      <c r="C260" t="s">
        <v>159</v>
      </c>
      <c r="D260" t="s">
        <v>1040</v>
      </c>
      <c r="E260">
        <v>2.2999999999999998</v>
      </c>
      <c r="F260">
        <v>4</v>
      </c>
      <c r="G260" t="s">
        <v>554</v>
      </c>
      <c r="H260">
        <v>10</v>
      </c>
      <c r="I260" t="s">
        <v>400</v>
      </c>
      <c r="J260">
        <v>17</v>
      </c>
      <c r="K260">
        <v>19</v>
      </c>
      <c r="L260">
        <v>18</v>
      </c>
      <c r="M260" t="s">
        <v>118</v>
      </c>
      <c r="N260">
        <v>2900</v>
      </c>
      <c r="O260">
        <v>4</v>
      </c>
      <c r="P260">
        <v>4</v>
      </c>
      <c r="Q260">
        <v>508</v>
      </c>
      <c r="R260">
        <v>411</v>
      </c>
      <c r="S260">
        <v>464</v>
      </c>
      <c r="U260">
        <v>5000</v>
      </c>
      <c r="V260" t="s">
        <v>30</v>
      </c>
      <c r="W260" t="s">
        <v>528</v>
      </c>
      <c r="X260" t="s">
        <v>524</v>
      </c>
    </row>
    <row r="261" spans="1:24" x14ac:dyDescent="0.25">
      <c r="A261">
        <v>2025</v>
      </c>
      <c r="B261" t="s">
        <v>158</v>
      </c>
      <c r="C261" t="s">
        <v>159</v>
      </c>
      <c r="D261" t="s">
        <v>1040</v>
      </c>
      <c r="E261">
        <v>2.2999999999999998</v>
      </c>
      <c r="F261">
        <v>4</v>
      </c>
      <c r="G261" t="s">
        <v>1039</v>
      </c>
      <c r="H261">
        <v>7</v>
      </c>
      <c r="I261" t="s">
        <v>400</v>
      </c>
      <c r="J261">
        <v>17</v>
      </c>
      <c r="K261">
        <v>19</v>
      </c>
      <c r="L261">
        <v>18</v>
      </c>
      <c r="M261" t="s">
        <v>118</v>
      </c>
      <c r="N261">
        <v>2900</v>
      </c>
      <c r="O261">
        <v>4</v>
      </c>
      <c r="P261">
        <v>4</v>
      </c>
      <c r="Q261">
        <v>514</v>
      </c>
      <c r="R261">
        <v>412</v>
      </c>
      <c r="S261">
        <v>468</v>
      </c>
      <c r="U261">
        <v>5000</v>
      </c>
      <c r="V261" t="s">
        <v>30</v>
      </c>
      <c r="W261" t="s">
        <v>528</v>
      </c>
      <c r="X261" t="s">
        <v>524</v>
      </c>
    </row>
    <row r="262" spans="1:24" x14ac:dyDescent="0.25">
      <c r="A262">
        <v>2025</v>
      </c>
      <c r="B262" t="s">
        <v>158</v>
      </c>
      <c r="C262" t="s">
        <v>159</v>
      </c>
      <c r="D262" t="s">
        <v>1038</v>
      </c>
      <c r="E262">
        <v>1.5</v>
      </c>
      <c r="F262">
        <v>3</v>
      </c>
      <c r="G262" t="s">
        <v>641</v>
      </c>
      <c r="H262">
        <v>8</v>
      </c>
      <c r="I262" t="s">
        <v>400</v>
      </c>
      <c r="J262">
        <v>25</v>
      </c>
      <c r="K262">
        <v>30</v>
      </c>
      <c r="L262">
        <v>27</v>
      </c>
      <c r="M262" t="s">
        <v>118</v>
      </c>
      <c r="N262">
        <v>1950</v>
      </c>
      <c r="O262">
        <v>5</v>
      </c>
      <c r="P262">
        <v>5</v>
      </c>
      <c r="Q262">
        <v>350</v>
      </c>
      <c r="R262">
        <v>293</v>
      </c>
      <c r="S262">
        <v>324</v>
      </c>
      <c r="U262">
        <v>250</v>
      </c>
      <c r="V262" t="s">
        <v>30</v>
      </c>
      <c r="W262" t="s">
        <v>528</v>
      </c>
      <c r="X262" t="s">
        <v>524</v>
      </c>
    </row>
    <row r="263" spans="1:24" x14ac:dyDescent="0.25">
      <c r="A263">
        <v>2025</v>
      </c>
      <c r="B263" t="s">
        <v>158</v>
      </c>
      <c r="C263" t="s">
        <v>159</v>
      </c>
      <c r="D263" t="s">
        <v>1038</v>
      </c>
      <c r="E263">
        <v>2</v>
      </c>
      <c r="F263">
        <v>4</v>
      </c>
      <c r="G263" t="s">
        <v>526</v>
      </c>
      <c r="H263">
        <v>8</v>
      </c>
      <c r="I263" t="s">
        <v>107</v>
      </c>
      <c r="J263">
        <v>21</v>
      </c>
      <c r="K263">
        <v>27</v>
      </c>
      <c r="L263">
        <v>23</v>
      </c>
      <c r="M263" t="s">
        <v>118</v>
      </c>
      <c r="N263">
        <v>2300</v>
      </c>
      <c r="O263">
        <v>5</v>
      </c>
      <c r="P263">
        <v>5</v>
      </c>
      <c r="Q263">
        <v>424</v>
      </c>
      <c r="R263">
        <v>330</v>
      </c>
      <c r="S263">
        <v>387</v>
      </c>
      <c r="U263">
        <v>2000</v>
      </c>
      <c r="V263" t="s">
        <v>30</v>
      </c>
      <c r="W263" t="s">
        <v>528</v>
      </c>
      <c r="X263" t="s">
        <v>524</v>
      </c>
    </row>
    <row r="264" spans="1:24" x14ac:dyDescent="0.25">
      <c r="A264">
        <v>2025</v>
      </c>
      <c r="B264" t="s">
        <v>158</v>
      </c>
      <c r="C264" t="s">
        <v>159</v>
      </c>
      <c r="D264" t="s">
        <v>1037</v>
      </c>
      <c r="E264">
        <v>1.5</v>
      </c>
      <c r="F264">
        <v>3</v>
      </c>
      <c r="G264" t="s">
        <v>641</v>
      </c>
      <c r="H264">
        <v>8</v>
      </c>
      <c r="I264" t="s">
        <v>107</v>
      </c>
      <c r="J264">
        <v>23</v>
      </c>
      <c r="K264">
        <v>26</v>
      </c>
      <c r="L264">
        <v>24</v>
      </c>
      <c r="M264" t="s">
        <v>118</v>
      </c>
      <c r="N264">
        <v>2200</v>
      </c>
      <c r="O264">
        <v>5</v>
      </c>
      <c r="P264">
        <v>5</v>
      </c>
      <c r="Q264">
        <v>387</v>
      </c>
      <c r="R264">
        <v>341</v>
      </c>
      <c r="S264">
        <v>370</v>
      </c>
      <c r="U264">
        <v>1500</v>
      </c>
      <c r="V264" t="s">
        <v>30</v>
      </c>
      <c r="W264" t="s">
        <v>528</v>
      </c>
      <c r="X264" t="s">
        <v>524</v>
      </c>
    </row>
    <row r="265" spans="1:24" x14ac:dyDescent="0.25">
      <c r="A265">
        <v>2025</v>
      </c>
      <c r="B265" t="s">
        <v>158</v>
      </c>
      <c r="C265" t="s">
        <v>159</v>
      </c>
      <c r="D265" t="s">
        <v>1036</v>
      </c>
      <c r="E265">
        <v>2</v>
      </c>
      <c r="F265">
        <v>4</v>
      </c>
      <c r="G265" t="s">
        <v>641</v>
      </c>
      <c r="H265">
        <v>8</v>
      </c>
      <c r="I265" t="s">
        <v>28</v>
      </c>
      <c r="J265">
        <v>23</v>
      </c>
      <c r="K265">
        <v>31</v>
      </c>
      <c r="L265">
        <v>26</v>
      </c>
      <c r="M265" t="s">
        <v>118</v>
      </c>
      <c r="N265">
        <v>2000</v>
      </c>
      <c r="O265">
        <v>5</v>
      </c>
      <c r="P265">
        <v>5</v>
      </c>
      <c r="Q265">
        <v>387</v>
      </c>
      <c r="R265">
        <v>274</v>
      </c>
      <c r="S265">
        <v>336</v>
      </c>
      <c r="U265">
        <v>500</v>
      </c>
      <c r="V265" t="s">
        <v>30</v>
      </c>
      <c r="W265" t="s">
        <v>528</v>
      </c>
      <c r="X265" t="s">
        <v>524</v>
      </c>
    </row>
    <row r="266" spans="1:24" x14ac:dyDescent="0.25">
      <c r="A266">
        <v>2025</v>
      </c>
      <c r="B266" t="s">
        <v>158</v>
      </c>
      <c r="C266" t="s">
        <v>159</v>
      </c>
      <c r="D266" t="s">
        <v>1036</v>
      </c>
      <c r="E266">
        <v>1.5</v>
      </c>
      <c r="F266">
        <v>3</v>
      </c>
      <c r="G266" t="s">
        <v>641</v>
      </c>
      <c r="H266">
        <v>8</v>
      </c>
      <c r="I266" t="s">
        <v>28</v>
      </c>
      <c r="J266">
        <v>26</v>
      </c>
      <c r="K266">
        <v>32</v>
      </c>
      <c r="L266">
        <v>28</v>
      </c>
      <c r="M266" t="s">
        <v>118</v>
      </c>
      <c r="N266">
        <v>1900</v>
      </c>
      <c r="O266">
        <v>6</v>
      </c>
      <c r="P266">
        <v>6</v>
      </c>
      <c r="Q266">
        <v>345</v>
      </c>
      <c r="R266">
        <v>277</v>
      </c>
      <c r="S266">
        <v>316</v>
      </c>
      <c r="T266">
        <v>0</v>
      </c>
      <c r="V266" t="s">
        <v>30</v>
      </c>
      <c r="W266" t="s">
        <v>528</v>
      </c>
      <c r="X266" t="s">
        <v>524</v>
      </c>
    </row>
    <row r="267" spans="1:24" x14ac:dyDescent="0.25">
      <c r="A267">
        <v>2025</v>
      </c>
      <c r="B267" t="s">
        <v>158</v>
      </c>
      <c r="C267" t="s">
        <v>159</v>
      </c>
      <c r="D267" t="s">
        <v>1035</v>
      </c>
      <c r="E267">
        <v>2.5</v>
      </c>
      <c r="F267">
        <v>4</v>
      </c>
      <c r="G267" t="s">
        <v>562</v>
      </c>
      <c r="H267">
        <v>1</v>
      </c>
      <c r="I267" t="s">
        <v>400</v>
      </c>
      <c r="J267">
        <v>42</v>
      </c>
      <c r="K267">
        <v>36</v>
      </c>
      <c r="L267">
        <v>39</v>
      </c>
      <c r="M267" t="s">
        <v>118</v>
      </c>
      <c r="N267">
        <v>1350</v>
      </c>
      <c r="O267">
        <v>7</v>
      </c>
      <c r="P267">
        <v>7</v>
      </c>
      <c r="Q267">
        <v>208</v>
      </c>
      <c r="R267">
        <v>246</v>
      </c>
      <c r="S267">
        <v>225</v>
      </c>
      <c r="T267">
        <v>2750</v>
      </c>
      <c r="V267" t="s">
        <v>30</v>
      </c>
      <c r="W267" t="s">
        <v>558</v>
      </c>
      <c r="X267" t="s">
        <v>524</v>
      </c>
    </row>
    <row r="268" spans="1:24" x14ac:dyDescent="0.25">
      <c r="A268">
        <v>2025</v>
      </c>
      <c r="B268" t="s">
        <v>158</v>
      </c>
      <c r="C268" t="s">
        <v>159</v>
      </c>
      <c r="D268" t="s">
        <v>1034</v>
      </c>
      <c r="E268">
        <v>1.5</v>
      </c>
      <c r="F268">
        <v>3</v>
      </c>
      <c r="G268" t="s">
        <v>641</v>
      </c>
      <c r="H268">
        <v>8</v>
      </c>
      <c r="I268" t="s">
        <v>128</v>
      </c>
      <c r="J268">
        <v>27</v>
      </c>
      <c r="K268">
        <v>34</v>
      </c>
      <c r="L268">
        <v>30</v>
      </c>
      <c r="M268" t="s">
        <v>115</v>
      </c>
      <c r="N268">
        <v>1750</v>
      </c>
      <c r="O268">
        <v>6</v>
      </c>
      <c r="P268">
        <v>6</v>
      </c>
      <c r="Q268">
        <v>333</v>
      </c>
      <c r="R268">
        <v>256</v>
      </c>
      <c r="S268">
        <v>298</v>
      </c>
      <c r="T268">
        <v>750</v>
      </c>
      <c r="V268" t="s">
        <v>30</v>
      </c>
      <c r="W268" t="s">
        <v>528</v>
      </c>
      <c r="X268" t="s">
        <v>524</v>
      </c>
    </row>
    <row r="269" spans="1:24" x14ac:dyDescent="0.25">
      <c r="A269">
        <v>2025</v>
      </c>
      <c r="B269" t="s">
        <v>158</v>
      </c>
      <c r="C269" t="s">
        <v>159</v>
      </c>
      <c r="D269" t="s">
        <v>1033</v>
      </c>
      <c r="E269">
        <v>2.5</v>
      </c>
      <c r="F269">
        <v>4</v>
      </c>
      <c r="G269" t="s">
        <v>562</v>
      </c>
      <c r="H269">
        <v>1</v>
      </c>
      <c r="I269" t="s">
        <v>128</v>
      </c>
      <c r="J269">
        <v>42</v>
      </c>
      <c r="K269">
        <v>36</v>
      </c>
      <c r="L269">
        <v>39</v>
      </c>
      <c r="M269" t="s">
        <v>115</v>
      </c>
      <c r="N269">
        <v>1350</v>
      </c>
      <c r="O269">
        <v>7</v>
      </c>
      <c r="P269">
        <v>7</v>
      </c>
      <c r="Q269">
        <v>208</v>
      </c>
      <c r="R269">
        <v>246</v>
      </c>
      <c r="S269">
        <v>225</v>
      </c>
      <c r="T269">
        <v>2750</v>
      </c>
      <c r="V269" t="s">
        <v>30</v>
      </c>
      <c r="W269" t="s">
        <v>558</v>
      </c>
      <c r="X269" t="s">
        <v>524</v>
      </c>
    </row>
    <row r="270" spans="1:24" x14ac:dyDescent="0.25">
      <c r="A270">
        <v>2025</v>
      </c>
      <c r="B270" t="s">
        <v>158</v>
      </c>
      <c r="C270" t="s">
        <v>159</v>
      </c>
      <c r="D270" t="s">
        <v>1032</v>
      </c>
      <c r="E270">
        <v>3.5</v>
      </c>
      <c r="F270">
        <v>6</v>
      </c>
      <c r="G270" t="s">
        <v>554</v>
      </c>
      <c r="H270">
        <v>10</v>
      </c>
      <c r="I270" t="s">
        <v>46</v>
      </c>
      <c r="J270">
        <v>16</v>
      </c>
      <c r="K270">
        <v>24</v>
      </c>
      <c r="L270">
        <v>19</v>
      </c>
      <c r="M270" t="s">
        <v>47</v>
      </c>
      <c r="N270">
        <v>2750</v>
      </c>
      <c r="O270">
        <v>4</v>
      </c>
      <c r="P270">
        <v>4</v>
      </c>
      <c r="Q270">
        <v>556</v>
      </c>
      <c r="R270">
        <v>370</v>
      </c>
      <c r="S270">
        <v>472</v>
      </c>
      <c r="U270">
        <v>4250</v>
      </c>
      <c r="V270" t="s">
        <v>30</v>
      </c>
      <c r="W270" t="s">
        <v>528</v>
      </c>
      <c r="X270" t="s">
        <v>524</v>
      </c>
    </row>
    <row r="271" spans="1:24" x14ac:dyDescent="0.25">
      <c r="A271">
        <v>2025</v>
      </c>
      <c r="B271" t="s">
        <v>158</v>
      </c>
      <c r="C271" t="s">
        <v>159</v>
      </c>
      <c r="D271" t="s">
        <v>1031</v>
      </c>
      <c r="E271">
        <v>3.5</v>
      </c>
      <c r="F271">
        <v>6</v>
      </c>
      <c r="G271" t="s">
        <v>554</v>
      </c>
      <c r="H271">
        <v>10</v>
      </c>
      <c r="I271" t="s">
        <v>400</v>
      </c>
      <c r="J271">
        <v>15</v>
      </c>
      <c r="K271">
        <v>22</v>
      </c>
      <c r="L271">
        <v>18</v>
      </c>
      <c r="M271" t="s">
        <v>29</v>
      </c>
      <c r="N271">
        <v>2900</v>
      </c>
      <c r="O271">
        <v>4</v>
      </c>
      <c r="P271">
        <v>4</v>
      </c>
      <c r="Q271">
        <v>580</v>
      </c>
      <c r="R271">
        <v>404</v>
      </c>
      <c r="S271">
        <v>501</v>
      </c>
      <c r="U271">
        <v>5000</v>
      </c>
      <c r="V271" t="s">
        <v>30</v>
      </c>
      <c r="W271" t="s">
        <v>528</v>
      </c>
      <c r="X271" t="s">
        <v>524</v>
      </c>
    </row>
    <row r="272" spans="1:24" x14ac:dyDescent="0.25">
      <c r="A272">
        <v>2025</v>
      </c>
      <c r="B272" t="s">
        <v>158</v>
      </c>
      <c r="C272" t="s">
        <v>159</v>
      </c>
      <c r="D272" t="s">
        <v>1030</v>
      </c>
      <c r="E272">
        <v>3</v>
      </c>
      <c r="F272">
        <v>6</v>
      </c>
      <c r="G272" t="s">
        <v>554</v>
      </c>
      <c r="H272">
        <v>10</v>
      </c>
      <c r="I272" t="s">
        <v>400</v>
      </c>
      <c r="J272">
        <v>18</v>
      </c>
      <c r="K272">
        <v>25</v>
      </c>
      <c r="L272">
        <v>20</v>
      </c>
      <c r="M272" t="s">
        <v>29</v>
      </c>
      <c r="N272">
        <v>2600</v>
      </c>
      <c r="O272">
        <v>4</v>
      </c>
      <c r="P272">
        <v>4</v>
      </c>
      <c r="Q272">
        <v>503</v>
      </c>
      <c r="R272">
        <v>361</v>
      </c>
      <c r="S272">
        <v>439</v>
      </c>
      <c r="U272">
        <v>3500</v>
      </c>
      <c r="V272" t="s">
        <v>30</v>
      </c>
      <c r="W272" t="s">
        <v>528</v>
      </c>
      <c r="X272" t="s">
        <v>524</v>
      </c>
    </row>
    <row r="273" spans="1:24" x14ac:dyDescent="0.25">
      <c r="A273">
        <v>2025</v>
      </c>
      <c r="B273" t="s">
        <v>158</v>
      </c>
      <c r="C273" t="s">
        <v>159</v>
      </c>
      <c r="D273" t="s">
        <v>1030</v>
      </c>
      <c r="E273">
        <v>3</v>
      </c>
      <c r="F273">
        <v>6</v>
      </c>
      <c r="G273" t="s">
        <v>984</v>
      </c>
      <c r="H273">
        <v>10</v>
      </c>
      <c r="I273" t="s">
        <v>400</v>
      </c>
      <c r="J273">
        <v>18</v>
      </c>
      <c r="K273">
        <v>25</v>
      </c>
      <c r="L273">
        <v>21</v>
      </c>
      <c r="M273" t="s">
        <v>29</v>
      </c>
      <c r="N273">
        <v>2500</v>
      </c>
      <c r="O273">
        <v>4</v>
      </c>
      <c r="P273">
        <v>4</v>
      </c>
      <c r="Q273">
        <v>490</v>
      </c>
      <c r="R273">
        <v>352</v>
      </c>
      <c r="S273">
        <v>428</v>
      </c>
      <c r="U273">
        <v>3000</v>
      </c>
      <c r="V273" t="s">
        <v>30</v>
      </c>
      <c r="W273" t="s">
        <v>528</v>
      </c>
      <c r="X273" t="s">
        <v>524</v>
      </c>
    </row>
    <row r="274" spans="1:24" x14ac:dyDescent="0.25">
      <c r="A274">
        <v>2025</v>
      </c>
      <c r="B274" t="s">
        <v>158</v>
      </c>
      <c r="C274" t="s">
        <v>159</v>
      </c>
      <c r="D274" t="s">
        <v>1030</v>
      </c>
      <c r="E274">
        <v>2.2999999999999998</v>
      </c>
      <c r="F274">
        <v>4</v>
      </c>
      <c r="G274" t="s">
        <v>984</v>
      </c>
      <c r="H274">
        <v>10</v>
      </c>
      <c r="I274" t="s">
        <v>400</v>
      </c>
      <c r="J274">
        <v>20</v>
      </c>
      <c r="K274">
        <v>27</v>
      </c>
      <c r="L274">
        <v>23</v>
      </c>
      <c r="M274" t="s">
        <v>29</v>
      </c>
      <c r="N274">
        <v>2300</v>
      </c>
      <c r="O274">
        <v>5</v>
      </c>
      <c r="P274">
        <v>5</v>
      </c>
      <c r="Q274">
        <v>448</v>
      </c>
      <c r="R274">
        <v>329</v>
      </c>
      <c r="S274">
        <v>394</v>
      </c>
      <c r="U274">
        <v>2000</v>
      </c>
      <c r="V274" t="s">
        <v>30</v>
      </c>
      <c r="W274" t="s">
        <v>528</v>
      </c>
      <c r="X274" t="s">
        <v>524</v>
      </c>
    </row>
    <row r="275" spans="1:24" x14ac:dyDescent="0.25">
      <c r="A275">
        <v>2025</v>
      </c>
      <c r="B275" t="s">
        <v>158</v>
      </c>
      <c r="C275" t="s">
        <v>159</v>
      </c>
      <c r="D275" t="s">
        <v>1029</v>
      </c>
      <c r="E275">
        <v>3</v>
      </c>
      <c r="F275">
        <v>6</v>
      </c>
      <c r="G275" t="s">
        <v>554</v>
      </c>
      <c r="H275">
        <v>10</v>
      </c>
      <c r="I275" t="s">
        <v>46</v>
      </c>
      <c r="J275">
        <v>18</v>
      </c>
      <c r="K275">
        <v>25</v>
      </c>
      <c r="L275">
        <v>21</v>
      </c>
      <c r="M275" t="s">
        <v>47</v>
      </c>
      <c r="N275">
        <v>2500</v>
      </c>
      <c r="O275">
        <v>4</v>
      </c>
      <c r="P275">
        <v>4</v>
      </c>
      <c r="Q275">
        <v>488</v>
      </c>
      <c r="R275">
        <v>348</v>
      </c>
      <c r="S275">
        <v>425</v>
      </c>
      <c r="U275">
        <v>3000</v>
      </c>
      <c r="V275" t="s">
        <v>30</v>
      </c>
      <c r="W275" t="s">
        <v>528</v>
      </c>
      <c r="X275" t="s">
        <v>524</v>
      </c>
    </row>
    <row r="276" spans="1:24" x14ac:dyDescent="0.25">
      <c r="A276">
        <v>2025</v>
      </c>
      <c r="B276" t="s">
        <v>158</v>
      </c>
      <c r="C276" t="s">
        <v>159</v>
      </c>
      <c r="D276" t="s">
        <v>1029</v>
      </c>
      <c r="E276">
        <v>3</v>
      </c>
      <c r="F276">
        <v>6</v>
      </c>
      <c r="G276" t="s">
        <v>984</v>
      </c>
      <c r="H276">
        <v>10</v>
      </c>
      <c r="I276" t="s">
        <v>46</v>
      </c>
      <c r="J276">
        <v>18</v>
      </c>
      <c r="K276">
        <v>25</v>
      </c>
      <c r="L276">
        <v>21</v>
      </c>
      <c r="M276" t="s">
        <v>47</v>
      </c>
      <c r="N276">
        <v>2500</v>
      </c>
      <c r="O276">
        <v>4</v>
      </c>
      <c r="P276">
        <v>4</v>
      </c>
      <c r="Q276">
        <v>480</v>
      </c>
      <c r="R276">
        <v>348</v>
      </c>
      <c r="S276">
        <v>420</v>
      </c>
      <c r="U276">
        <v>3000</v>
      </c>
      <c r="V276" t="s">
        <v>30</v>
      </c>
      <c r="W276" t="s">
        <v>528</v>
      </c>
      <c r="X276" t="s">
        <v>524</v>
      </c>
    </row>
    <row r="277" spans="1:24" x14ac:dyDescent="0.25">
      <c r="A277">
        <v>2025</v>
      </c>
      <c r="B277" t="s">
        <v>158</v>
      </c>
      <c r="C277" t="s">
        <v>159</v>
      </c>
      <c r="D277" t="s">
        <v>1029</v>
      </c>
      <c r="E277">
        <v>2.2999999999999998</v>
      </c>
      <c r="F277">
        <v>4</v>
      </c>
      <c r="G277" t="s">
        <v>984</v>
      </c>
      <c r="H277">
        <v>10</v>
      </c>
      <c r="I277" t="s">
        <v>46</v>
      </c>
      <c r="J277">
        <v>20</v>
      </c>
      <c r="K277">
        <v>29</v>
      </c>
      <c r="L277">
        <v>24</v>
      </c>
      <c r="M277" t="s">
        <v>47</v>
      </c>
      <c r="N277">
        <v>2200</v>
      </c>
      <c r="O277">
        <v>5</v>
      </c>
      <c r="P277">
        <v>5</v>
      </c>
      <c r="Q277">
        <v>433</v>
      </c>
      <c r="R277">
        <v>308</v>
      </c>
      <c r="S277">
        <v>377</v>
      </c>
      <c r="U277">
        <v>1500</v>
      </c>
      <c r="V277" t="s">
        <v>30</v>
      </c>
      <c r="W277" t="s">
        <v>528</v>
      </c>
      <c r="X277" t="s">
        <v>524</v>
      </c>
    </row>
    <row r="278" spans="1:24" x14ac:dyDescent="0.25">
      <c r="A278">
        <v>2025</v>
      </c>
      <c r="B278" t="s">
        <v>158</v>
      </c>
      <c r="C278" t="s">
        <v>159</v>
      </c>
      <c r="D278" t="s">
        <v>1028</v>
      </c>
      <c r="E278">
        <v>3.5</v>
      </c>
      <c r="F278">
        <v>6</v>
      </c>
      <c r="G278" t="s">
        <v>554</v>
      </c>
      <c r="H278">
        <v>10</v>
      </c>
      <c r="I278" t="s">
        <v>46</v>
      </c>
      <c r="J278">
        <v>17</v>
      </c>
      <c r="K278">
        <v>25</v>
      </c>
      <c r="L278">
        <v>20</v>
      </c>
      <c r="M278" t="s">
        <v>463</v>
      </c>
      <c r="N278">
        <v>2600</v>
      </c>
      <c r="O278">
        <v>4</v>
      </c>
      <c r="P278">
        <v>4</v>
      </c>
      <c r="Q278">
        <v>530</v>
      </c>
      <c r="R278">
        <v>358</v>
      </c>
      <c r="S278">
        <v>452</v>
      </c>
      <c r="U278">
        <v>3500</v>
      </c>
      <c r="V278" t="s">
        <v>30</v>
      </c>
      <c r="W278" t="s">
        <v>528</v>
      </c>
      <c r="X278" t="s">
        <v>524</v>
      </c>
    </row>
    <row r="279" spans="1:24" x14ac:dyDescent="0.25">
      <c r="A279">
        <v>2025</v>
      </c>
      <c r="B279" t="s">
        <v>158</v>
      </c>
      <c r="C279" t="s">
        <v>159</v>
      </c>
      <c r="D279" t="s">
        <v>1028</v>
      </c>
      <c r="E279">
        <v>2.7</v>
      </c>
      <c r="F279">
        <v>6</v>
      </c>
      <c r="G279" t="s">
        <v>554</v>
      </c>
      <c r="H279">
        <v>10</v>
      </c>
      <c r="I279" t="s">
        <v>46</v>
      </c>
      <c r="J279">
        <v>19</v>
      </c>
      <c r="K279">
        <v>25</v>
      </c>
      <c r="L279">
        <v>21</v>
      </c>
      <c r="M279" t="s">
        <v>463</v>
      </c>
      <c r="N279">
        <v>2500</v>
      </c>
      <c r="O279">
        <v>4</v>
      </c>
      <c r="P279">
        <v>4</v>
      </c>
      <c r="Q279">
        <v>480</v>
      </c>
      <c r="R279">
        <v>358</v>
      </c>
      <c r="S279">
        <v>425</v>
      </c>
      <c r="U279">
        <v>3000</v>
      </c>
      <c r="V279" t="s">
        <v>30</v>
      </c>
      <c r="W279" t="s">
        <v>528</v>
      </c>
      <c r="X279" t="s">
        <v>524</v>
      </c>
    </row>
    <row r="280" spans="1:24" x14ac:dyDescent="0.25">
      <c r="A280">
        <v>2025</v>
      </c>
      <c r="B280" t="s">
        <v>158</v>
      </c>
      <c r="C280" t="s">
        <v>159</v>
      </c>
      <c r="D280" t="s">
        <v>1028</v>
      </c>
      <c r="E280">
        <v>5</v>
      </c>
      <c r="F280">
        <v>8</v>
      </c>
      <c r="G280" t="s">
        <v>554</v>
      </c>
      <c r="H280">
        <v>10</v>
      </c>
      <c r="I280" t="s">
        <v>46</v>
      </c>
      <c r="J280">
        <v>16</v>
      </c>
      <c r="K280">
        <v>24</v>
      </c>
      <c r="L280">
        <v>19</v>
      </c>
      <c r="M280" t="s">
        <v>463</v>
      </c>
      <c r="N280">
        <v>2750</v>
      </c>
      <c r="O280">
        <v>4</v>
      </c>
      <c r="P280">
        <v>4</v>
      </c>
      <c r="Q280">
        <v>555</v>
      </c>
      <c r="R280">
        <v>373</v>
      </c>
      <c r="S280">
        <v>473</v>
      </c>
      <c r="U280">
        <v>4250</v>
      </c>
      <c r="V280" t="s">
        <v>30</v>
      </c>
      <c r="W280" t="s">
        <v>558</v>
      </c>
      <c r="X280" t="s">
        <v>524</v>
      </c>
    </row>
    <row r="281" spans="1:24" x14ac:dyDescent="0.25">
      <c r="A281">
        <v>2025</v>
      </c>
      <c r="B281" t="s">
        <v>158</v>
      </c>
      <c r="C281" t="s">
        <v>159</v>
      </c>
      <c r="D281" t="s">
        <v>1027</v>
      </c>
      <c r="E281">
        <v>3.5</v>
      </c>
      <c r="F281">
        <v>6</v>
      </c>
      <c r="G281" t="s">
        <v>554</v>
      </c>
      <c r="H281">
        <v>10</v>
      </c>
      <c r="I281" t="s">
        <v>400</v>
      </c>
      <c r="J281">
        <v>16</v>
      </c>
      <c r="K281">
        <v>24</v>
      </c>
      <c r="L281">
        <v>19</v>
      </c>
      <c r="M281" t="s">
        <v>135</v>
      </c>
      <c r="N281">
        <v>2750</v>
      </c>
      <c r="O281">
        <v>4</v>
      </c>
      <c r="P281">
        <v>4</v>
      </c>
      <c r="Q281">
        <v>548</v>
      </c>
      <c r="R281">
        <v>366</v>
      </c>
      <c r="S281">
        <v>467</v>
      </c>
      <c r="U281">
        <v>4250</v>
      </c>
      <c r="V281" t="s">
        <v>30</v>
      </c>
      <c r="W281" t="s">
        <v>528</v>
      </c>
      <c r="X281" t="s">
        <v>524</v>
      </c>
    </row>
    <row r="282" spans="1:24" x14ac:dyDescent="0.25">
      <c r="A282">
        <v>2025</v>
      </c>
      <c r="B282" t="s">
        <v>158</v>
      </c>
      <c r="C282" t="s">
        <v>159</v>
      </c>
      <c r="D282" t="s">
        <v>1027</v>
      </c>
      <c r="E282">
        <v>2.7</v>
      </c>
      <c r="F282">
        <v>6</v>
      </c>
      <c r="G282" t="s">
        <v>554</v>
      </c>
      <c r="H282">
        <v>10</v>
      </c>
      <c r="I282" t="s">
        <v>400</v>
      </c>
      <c r="J282">
        <v>18</v>
      </c>
      <c r="K282">
        <v>23</v>
      </c>
      <c r="L282">
        <v>20</v>
      </c>
      <c r="M282" t="s">
        <v>135</v>
      </c>
      <c r="N282">
        <v>2600</v>
      </c>
      <c r="O282">
        <v>4</v>
      </c>
      <c r="P282">
        <v>4</v>
      </c>
      <c r="Q282">
        <v>494</v>
      </c>
      <c r="R282">
        <v>366</v>
      </c>
      <c r="S282">
        <v>437</v>
      </c>
      <c r="U282">
        <v>3500</v>
      </c>
      <c r="V282" t="s">
        <v>30</v>
      </c>
      <c r="W282" t="s">
        <v>528</v>
      </c>
      <c r="X282" t="s">
        <v>524</v>
      </c>
    </row>
    <row r="283" spans="1:24" x14ac:dyDescent="0.25">
      <c r="A283">
        <v>2025</v>
      </c>
      <c r="B283" t="s">
        <v>158</v>
      </c>
      <c r="C283" t="s">
        <v>159</v>
      </c>
      <c r="D283" t="s">
        <v>1027</v>
      </c>
      <c r="E283">
        <v>5</v>
      </c>
      <c r="F283">
        <v>8</v>
      </c>
      <c r="G283" t="s">
        <v>554</v>
      </c>
      <c r="H283">
        <v>10</v>
      </c>
      <c r="I283" t="s">
        <v>400</v>
      </c>
      <c r="J283">
        <v>16</v>
      </c>
      <c r="K283">
        <v>24</v>
      </c>
      <c r="L283">
        <v>19</v>
      </c>
      <c r="M283" t="s">
        <v>135</v>
      </c>
      <c r="N283">
        <v>2750</v>
      </c>
      <c r="O283">
        <v>4</v>
      </c>
      <c r="P283">
        <v>4</v>
      </c>
      <c r="Q283">
        <v>554</v>
      </c>
      <c r="R283">
        <v>377</v>
      </c>
      <c r="S283">
        <v>474</v>
      </c>
      <c r="U283">
        <v>4250</v>
      </c>
      <c r="V283" t="s">
        <v>30</v>
      </c>
      <c r="W283" t="s">
        <v>558</v>
      </c>
      <c r="X283" t="s">
        <v>524</v>
      </c>
    </row>
    <row r="284" spans="1:24" x14ac:dyDescent="0.25">
      <c r="A284">
        <v>2025</v>
      </c>
      <c r="B284" t="s">
        <v>158</v>
      </c>
      <c r="C284" t="s">
        <v>159</v>
      </c>
      <c r="D284" t="s">
        <v>1026</v>
      </c>
      <c r="E284">
        <v>3.5</v>
      </c>
      <c r="F284">
        <v>6</v>
      </c>
      <c r="G284" t="s">
        <v>554</v>
      </c>
      <c r="H284">
        <v>10</v>
      </c>
      <c r="I284" t="s">
        <v>400</v>
      </c>
      <c r="J284">
        <v>22</v>
      </c>
      <c r="K284">
        <v>24</v>
      </c>
      <c r="L284">
        <v>23</v>
      </c>
      <c r="M284" t="s">
        <v>135</v>
      </c>
      <c r="N284">
        <v>2300</v>
      </c>
      <c r="O284">
        <v>5</v>
      </c>
      <c r="P284">
        <v>5</v>
      </c>
      <c r="Q284">
        <v>397</v>
      </c>
      <c r="R284">
        <v>373</v>
      </c>
      <c r="S284">
        <v>386</v>
      </c>
      <c r="U284">
        <v>2000</v>
      </c>
      <c r="V284" t="s">
        <v>30</v>
      </c>
      <c r="W284" t="s">
        <v>528</v>
      </c>
      <c r="X284" t="s">
        <v>524</v>
      </c>
    </row>
    <row r="285" spans="1:24" x14ac:dyDescent="0.25">
      <c r="A285">
        <v>2025</v>
      </c>
      <c r="B285" t="s">
        <v>158</v>
      </c>
      <c r="C285" t="s">
        <v>159</v>
      </c>
      <c r="D285" t="s">
        <v>1025</v>
      </c>
      <c r="E285">
        <v>3.5</v>
      </c>
      <c r="F285">
        <v>6</v>
      </c>
      <c r="G285" t="s">
        <v>554</v>
      </c>
      <c r="H285">
        <v>10</v>
      </c>
      <c r="I285" t="s">
        <v>400</v>
      </c>
      <c r="J285">
        <v>16</v>
      </c>
      <c r="K285">
        <v>21</v>
      </c>
      <c r="L285">
        <v>18</v>
      </c>
      <c r="M285" t="s">
        <v>135</v>
      </c>
      <c r="N285">
        <v>2900</v>
      </c>
      <c r="O285">
        <v>4</v>
      </c>
      <c r="P285">
        <v>4</v>
      </c>
      <c r="Q285">
        <v>540</v>
      </c>
      <c r="R285">
        <v>424</v>
      </c>
      <c r="S285">
        <v>494</v>
      </c>
      <c r="U285">
        <v>5000</v>
      </c>
      <c r="V285" t="s">
        <v>30</v>
      </c>
      <c r="W285" t="s">
        <v>528</v>
      </c>
      <c r="X285" t="s">
        <v>524</v>
      </c>
    </row>
    <row r="286" spans="1:24" x14ac:dyDescent="0.25">
      <c r="A286">
        <v>2025</v>
      </c>
      <c r="B286" t="s">
        <v>158</v>
      </c>
      <c r="C286" t="s">
        <v>159</v>
      </c>
      <c r="D286" t="s">
        <v>1025</v>
      </c>
      <c r="E286">
        <v>5</v>
      </c>
      <c r="F286">
        <v>8</v>
      </c>
      <c r="G286" t="s">
        <v>554</v>
      </c>
      <c r="H286">
        <v>10</v>
      </c>
      <c r="I286" t="s">
        <v>400</v>
      </c>
      <c r="J286">
        <v>15</v>
      </c>
      <c r="K286">
        <v>20</v>
      </c>
      <c r="L286">
        <v>17</v>
      </c>
      <c r="M286" t="s">
        <v>135</v>
      </c>
      <c r="N286">
        <v>3100</v>
      </c>
      <c r="O286">
        <v>3</v>
      </c>
      <c r="P286">
        <v>3</v>
      </c>
      <c r="Q286">
        <v>592</v>
      </c>
      <c r="R286">
        <v>444</v>
      </c>
      <c r="S286">
        <v>523</v>
      </c>
      <c r="U286">
        <v>6000</v>
      </c>
      <c r="V286" t="s">
        <v>30</v>
      </c>
      <c r="W286" t="s">
        <v>558</v>
      </c>
      <c r="X286" t="s">
        <v>524</v>
      </c>
    </row>
    <row r="287" spans="1:24" x14ac:dyDescent="0.25">
      <c r="A287">
        <v>2025</v>
      </c>
      <c r="B287" t="s">
        <v>158</v>
      </c>
      <c r="C287" t="s">
        <v>159</v>
      </c>
      <c r="D287" t="s">
        <v>1024</v>
      </c>
      <c r="E287">
        <v>3.5</v>
      </c>
      <c r="F287">
        <v>6</v>
      </c>
      <c r="G287" t="s">
        <v>554</v>
      </c>
      <c r="H287">
        <v>10</v>
      </c>
      <c r="I287" t="s">
        <v>400</v>
      </c>
      <c r="J287">
        <v>14</v>
      </c>
      <c r="K287">
        <v>18</v>
      </c>
      <c r="L287">
        <v>16</v>
      </c>
      <c r="M287" t="s">
        <v>135</v>
      </c>
      <c r="N287">
        <v>3300</v>
      </c>
      <c r="O287">
        <v>3</v>
      </c>
      <c r="P287">
        <v>3</v>
      </c>
      <c r="Q287">
        <v>626</v>
      </c>
      <c r="R287">
        <v>478</v>
      </c>
      <c r="S287">
        <v>559</v>
      </c>
      <c r="U287">
        <v>7000</v>
      </c>
      <c r="V287" t="s">
        <v>30</v>
      </c>
      <c r="W287" t="s">
        <v>528</v>
      </c>
      <c r="X287" t="s">
        <v>524</v>
      </c>
    </row>
    <row r="288" spans="1:24" x14ac:dyDescent="0.25">
      <c r="A288">
        <v>2025</v>
      </c>
      <c r="B288" t="s">
        <v>158</v>
      </c>
      <c r="C288" t="s">
        <v>159</v>
      </c>
      <c r="D288" t="s">
        <v>1023</v>
      </c>
      <c r="E288">
        <v>5.2</v>
      </c>
      <c r="F288">
        <v>8</v>
      </c>
      <c r="G288" t="s">
        <v>554</v>
      </c>
      <c r="H288">
        <v>10</v>
      </c>
      <c r="I288" t="s">
        <v>400</v>
      </c>
      <c r="J288">
        <v>10</v>
      </c>
      <c r="K288">
        <v>15</v>
      </c>
      <c r="L288">
        <v>12</v>
      </c>
      <c r="M288" t="s">
        <v>135</v>
      </c>
      <c r="N288">
        <v>5300</v>
      </c>
      <c r="O288">
        <v>1</v>
      </c>
      <c r="P288">
        <v>1</v>
      </c>
      <c r="Q288">
        <v>858</v>
      </c>
      <c r="R288">
        <v>598</v>
      </c>
      <c r="S288">
        <v>741</v>
      </c>
      <c r="U288">
        <v>17000</v>
      </c>
      <c r="V288" t="s">
        <v>30</v>
      </c>
      <c r="W288" t="s">
        <v>815</v>
      </c>
      <c r="X288" t="s">
        <v>565</v>
      </c>
    </row>
    <row r="289" spans="1:24" x14ac:dyDescent="0.25">
      <c r="A289">
        <v>2025</v>
      </c>
      <c r="B289" t="s">
        <v>158</v>
      </c>
      <c r="C289" t="s">
        <v>159</v>
      </c>
      <c r="D289" t="s">
        <v>1022</v>
      </c>
      <c r="E289">
        <v>2</v>
      </c>
      <c r="F289">
        <v>4</v>
      </c>
      <c r="G289" t="s">
        <v>641</v>
      </c>
      <c r="H289">
        <v>8</v>
      </c>
      <c r="I289" t="s">
        <v>400</v>
      </c>
      <c r="J289">
        <v>22</v>
      </c>
      <c r="K289">
        <v>30</v>
      </c>
      <c r="L289">
        <v>25</v>
      </c>
      <c r="M289" t="s">
        <v>566</v>
      </c>
      <c r="N289">
        <v>2100</v>
      </c>
      <c r="O289">
        <v>5</v>
      </c>
      <c r="P289">
        <v>5</v>
      </c>
      <c r="Q289">
        <v>401</v>
      </c>
      <c r="R289">
        <v>296</v>
      </c>
      <c r="S289">
        <v>355</v>
      </c>
      <c r="U289">
        <v>1000</v>
      </c>
      <c r="V289" t="s">
        <v>30</v>
      </c>
      <c r="W289" t="s">
        <v>528</v>
      </c>
      <c r="X289" t="s">
        <v>524</v>
      </c>
    </row>
    <row r="290" spans="1:24" x14ac:dyDescent="0.25">
      <c r="A290">
        <v>2025</v>
      </c>
      <c r="B290" t="s">
        <v>158</v>
      </c>
      <c r="C290" t="s">
        <v>159</v>
      </c>
      <c r="D290" t="s">
        <v>1021</v>
      </c>
      <c r="E290">
        <v>2.5</v>
      </c>
      <c r="F290">
        <v>4</v>
      </c>
      <c r="G290" t="s">
        <v>562</v>
      </c>
      <c r="H290">
        <v>1</v>
      </c>
      <c r="I290" t="s">
        <v>400</v>
      </c>
      <c r="J290">
        <v>40</v>
      </c>
      <c r="K290">
        <v>34</v>
      </c>
      <c r="L290">
        <v>37</v>
      </c>
      <c r="M290" t="s">
        <v>566</v>
      </c>
      <c r="N290">
        <v>1400</v>
      </c>
      <c r="O290">
        <v>7</v>
      </c>
      <c r="P290">
        <v>7</v>
      </c>
      <c r="Q290">
        <v>222</v>
      </c>
      <c r="R290">
        <v>261</v>
      </c>
      <c r="S290">
        <v>240</v>
      </c>
      <c r="T290">
        <v>2500</v>
      </c>
      <c r="V290" t="s">
        <v>30</v>
      </c>
      <c r="W290" t="s">
        <v>558</v>
      </c>
      <c r="X290" t="s">
        <v>524</v>
      </c>
    </row>
    <row r="291" spans="1:24" x14ac:dyDescent="0.25">
      <c r="A291">
        <v>2025</v>
      </c>
      <c r="B291" t="s">
        <v>158</v>
      </c>
      <c r="C291" t="s">
        <v>159</v>
      </c>
      <c r="D291" t="s">
        <v>1020</v>
      </c>
      <c r="E291">
        <v>2.5</v>
      </c>
      <c r="F291">
        <v>4</v>
      </c>
      <c r="G291" t="s">
        <v>562</v>
      </c>
      <c r="H291">
        <v>1</v>
      </c>
      <c r="I291" t="s">
        <v>128</v>
      </c>
      <c r="J291">
        <v>42</v>
      </c>
      <c r="K291">
        <v>35</v>
      </c>
      <c r="L291">
        <v>38</v>
      </c>
      <c r="M291" t="s">
        <v>563</v>
      </c>
      <c r="N291">
        <v>1400</v>
      </c>
      <c r="O291">
        <v>7</v>
      </c>
      <c r="P291">
        <v>7</v>
      </c>
      <c r="Q291">
        <v>211</v>
      </c>
      <c r="R291">
        <v>254</v>
      </c>
      <c r="S291">
        <v>234</v>
      </c>
      <c r="T291">
        <v>2500</v>
      </c>
      <c r="V291" t="s">
        <v>30</v>
      </c>
      <c r="W291" t="s">
        <v>558</v>
      </c>
      <c r="X291" t="s">
        <v>524</v>
      </c>
    </row>
    <row r="292" spans="1:24" x14ac:dyDescent="0.25">
      <c r="A292">
        <v>2025</v>
      </c>
      <c r="B292" t="s">
        <v>158</v>
      </c>
      <c r="C292" t="s">
        <v>159</v>
      </c>
      <c r="D292" t="s">
        <v>1019</v>
      </c>
      <c r="E292">
        <v>2</v>
      </c>
      <c r="F292">
        <v>4</v>
      </c>
      <c r="G292" t="s">
        <v>526</v>
      </c>
      <c r="H292">
        <v>8</v>
      </c>
      <c r="I292" t="s">
        <v>107</v>
      </c>
      <c r="J292">
        <v>21</v>
      </c>
      <c r="K292">
        <v>30</v>
      </c>
      <c r="L292">
        <v>24</v>
      </c>
      <c r="M292" t="s">
        <v>566</v>
      </c>
      <c r="N292">
        <v>2200</v>
      </c>
      <c r="O292">
        <v>5</v>
      </c>
      <c r="P292">
        <v>5</v>
      </c>
      <c r="Q292">
        <v>423</v>
      </c>
      <c r="R292">
        <v>297</v>
      </c>
      <c r="S292">
        <v>370</v>
      </c>
      <c r="U292">
        <v>1500</v>
      </c>
      <c r="V292" t="s">
        <v>30</v>
      </c>
      <c r="W292" t="s">
        <v>528</v>
      </c>
      <c r="X292" t="s">
        <v>524</v>
      </c>
    </row>
    <row r="293" spans="1:24" x14ac:dyDescent="0.25">
      <c r="A293">
        <v>2025</v>
      </c>
      <c r="B293" t="s">
        <v>158</v>
      </c>
      <c r="C293" t="s">
        <v>159</v>
      </c>
      <c r="D293" t="s">
        <v>1018</v>
      </c>
      <c r="E293">
        <v>2</v>
      </c>
      <c r="F293">
        <v>4</v>
      </c>
      <c r="G293" t="s">
        <v>526</v>
      </c>
      <c r="H293">
        <v>8</v>
      </c>
      <c r="I293" t="s">
        <v>107</v>
      </c>
      <c r="J293">
        <v>21</v>
      </c>
      <c r="K293">
        <v>27</v>
      </c>
      <c r="L293">
        <v>23</v>
      </c>
      <c r="M293" t="s">
        <v>566</v>
      </c>
      <c r="N293">
        <v>2300</v>
      </c>
      <c r="O293">
        <v>5</v>
      </c>
      <c r="P293">
        <v>5</v>
      </c>
      <c r="Q293">
        <v>424</v>
      </c>
      <c r="R293">
        <v>330</v>
      </c>
      <c r="S293">
        <v>387</v>
      </c>
      <c r="U293">
        <v>2000</v>
      </c>
      <c r="V293" t="s">
        <v>30</v>
      </c>
      <c r="W293" t="s">
        <v>528</v>
      </c>
      <c r="X293" t="s">
        <v>524</v>
      </c>
    </row>
    <row r="294" spans="1:24" x14ac:dyDescent="0.25">
      <c r="A294">
        <v>2025</v>
      </c>
      <c r="B294" t="s">
        <v>158</v>
      </c>
      <c r="C294" t="s">
        <v>159</v>
      </c>
      <c r="D294" t="s">
        <v>1017</v>
      </c>
      <c r="E294">
        <v>5</v>
      </c>
      <c r="F294">
        <v>8</v>
      </c>
      <c r="G294" t="s">
        <v>554</v>
      </c>
      <c r="H294">
        <v>10</v>
      </c>
      <c r="I294" t="s">
        <v>46</v>
      </c>
      <c r="J294">
        <v>16</v>
      </c>
      <c r="K294">
        <v>24</v>
      </c>
      <c r="L294">
        <v>19</v>
      </c>
      <c r="M294" t="s">
        <v>36</v>
      </c>
      <c r="N294">
        <v>2750</v>
      </c>
      <c r="O294">
        <v>4</v>
      </c>
      <c r="P294">
        <v>4</v>
      </c>
      <c r="Q294">
        <v>557</v>
      </c>
      <c r="R294">
        <v>371</v>
      </c>
      <c r="S294">
        <v>467</v>
      </c>
      <c r="U294">
        <v>4250</v>
      </c>
      <c r="V294" t="s">
        <v>30</v>
      </c>
      <c r="W294" t="s">
        <v>558</v>
      </c>
      <c r="X294" t="s">
        <v>524</v>
      </c>
    </row>
    <row r="295" spans="1:24" x14ac:dyDescent="0.25">
      <c r="A295">
        <v>2025</v>
      </c>
      <c r="B295" t="s">
        <v>158</v>
      </c>
      <c r="C295" t="s">
        <v>159</v>
      </c>
      <c r="D295" t="s">
        <v>1017</v>
      </c>
      <c r="E295">
        <v>2.2999999999999998</v>
      </c>
      <c r="F295">
        <v>4</v>
      </c>
      <c r="G295" t="s">
        <v>984</v>
      </c>
      <c r="H295">
        <v>10</v>
      </c>
      <c r="I295" t="s">
        <v>46</v>
      </c>
      <c r="J295">
        <v>22</v>
      </c>
      <c r="K295">
        <v>33</v>
      </c>
      <c r="L295">
        <v>26</v>
      </c>
      <c r="M295" t="s">
        <v>36</v>
      </c>
      <c r="N295">
        <v>2000</v>
      </c>
      <c r="O295">
        <v>5</v>
      </c>
      <c r="P295">
        <v>5</v>
      </c>
      <c r="Q295">
        <v>404</v>
      </c>
      <c r="R295">
        <v>268</v>
      </c>
      <c r="S295">
        <v>342</v>
      </c>
      <c r="U295">
        <v>500</v>
      </c>
      <c r="V295" t="s">
        <v>30</v>
      </c>
      <c r="W295" t="s">
        <v>528</v>
      </c>
      <c r="X295" t="s">
        <v>524</v>
      </c>
    </row>
    <row r="296" spans="1:24" x14ac:dyDescent="0.25">
      <c r="A296">
        <v>2025</v>
      </c>
      <c r="B296" t="s">
        <v>158</v>
      </c>
      <c r="C296" t="s">
        <v>159</v>
      </c>
      <c r="D296" t="s">
        <v>1017</v>
      </c>
      <c r="E296">
        <v>5</v>
      </c>
      <c r="F296">
        <v>8</v>
      </c>
      <c r="G296" t="s">
        <v>546</v>
      </c>
      <c r="H296">
        <v>6</v>
      </c>
      <c r="I296" t="s">
        <v>46</v>
      </c>
      <c r="J296">
        <v>15</v>
      </c>
      <c r="K296">
        <v>23</v>
      </c>
      <c r="L296">
        <v>18</v>
      </c>
      <c r="M296" t="s">
        <v>36</v>
      </c>
      <c r="N296">
        <v>2900</v>
      </c>
      <c r="O296">
        <v>4</v>
      </c>
      <c r="P296">
        <v>4</v>
      </c>
      <c r="Q296">
        <v>585</v>
      </c>
      <c r="R296">
        <v>385</v>
      </c>
      <c r="S296">
        <v>494</v>
      </c>
      <c r="U296">
        <v>5000</v>
      </c>
      <c r="V296" t="s">
        <v>30</v>
      </c>
      <c r="W296" t="s">
        <v>558</v>
      </c>
      <c r="X296" t="s">
        <v>524</v>
      </c>
    </row>
    <row r="297" spans="1:24" x14ac:dyDescent="0.25">
      <c r="A297">
        <v>2025</v>
      </c>
      <c r="B297" t="s">
        <v>158</v>
      </c>
      <c r="C297" t="s">
        <v>159</v>
      </c>
      <c r="D297" t="s">
        <v>1016</v>
      </c>
      <c r="E297">
        <v>5</v>
      </c>
      <c r="F297">
        <v>8</v>
      </c>
      <c r="G297" t="s">
        <v>554</v>
      </c>
      <c r="H297">
        <v>10</v>
      </c>
      <c r="I297" t="s">
        <v>46</v>
      </c>
      <c r="J297">
        <v>14</v>
      </c>
      <c r="K297">
        <v>22</v>
      </c>
      <c r="L297">
        <v>17</v>
      </c>
      <c r="M297" t="s">
        <v>36</v>
      </c>
      <c r="N297">
        <v>3100</v>
      </c>
      <c r="O297">
        <v>3</v>
      </c>
      <c r="P297">
        <v>3</v>
      </c>
      <c r="Q297">
        <v>619</v>
      </c>
      <c r="R297">
        <v>407</v>
      </c>
      <c r="S297">
        <v>524</v>
      </c>
      <c r="U297">
        <v>6000</v>
      </c>
      <c r="V297" t="s">
        <v>633</v>
      </c>
      <c r="W297" t="s">
        <v>558</v>
      </c>
      <c r="X297" t="s">
        <v>565</v>
      </c>
    </row>
    <row r="298" spans="1:24" x14ac:dyDescent="0.25">
      <c r="A298">
        <v>2025</v>
      </c>
      <c r="B298" t="s">
        <v>158</v>
      </c>
      <c r="C298" t="s">
        <v>159</v>
      </c>
      <c r="D298" t="s">
        <v>1016</v>
      </c>
      <c r="E298">
        <v>5</v>
      </c>
      <c r="F298">
        <v>8</v>
      </c>
      <c r="G298" t="s">
        <v>546</v>
      </c>
      <c r="H298">
        <v>6</v>
      </c>
      <c r="I298" t="s">
        <v>46</v>
      </c>
      <c r="J298">
        <v>14</v>
      </c>
      <c r="K298">
        <v>22</v>
      </c>
      <c r="L298">
        <v>17</v>
      </c>
      <c r="M298" t="s">
        <v>36</v>
      </c>
      <c r="N298">
        <v>3100</v>
      </c>
      <c r="O298">
        <v>3</v>
      </c>
      <c r="P298">
        <v>3</v>
      </c>
      <c r="Q298">
        <v>638</v>
      </c>
      <c r="R298">
        <v>405</v>
      </c>
      <c r="S298">
        <v>533</v>
      </c>
      <c r="U298">
        <v>6000</v>
      </c>
      <c r="V298" t="s">
        <v>633</v>
      </c>
      <c r="W298" t="s">
        <v>558</v>
      </c>
      <c r="X298" t="s">
        <v>565</v>
      </c>
    </row>
    <row r="299" spans="1:24" x14ac:dyDescent="0.25">
      <c r="A299">
        <v>2025</v>
      </c>
      <c r="B299" t="s">
        <v>158</v>
      </c>
      <c r="C299" t="s">
        <v>159</v>
      </c>
      <c r="D299" t="s">
        <v>1015</v>
      </c>
      <c r="E299">
        <v>5.2</v>
      </c>
      <c r="F299">
        <v>8</v>
      </c>
      <c r="G299" t="s">
        <v>648</v>
      </c>
      <c r="H299">
        <v>8</v>
      </c>
      <c r="I299" t="s">
        <v>46</v>
      </c>
      <c r="J299">
        <v>10</v>
      </c>
      <c r="K299">
        <v>17</v>
      </c>
      <c r="L299">
        <v>12</v>
      </c>
      <c r="M299" t="s">
        <v>36</v>
      </c>
      <c r="N299">
        <v>4400</v>
      </c>
      <c r="O299">
        <v>1</v>
      </c>
      <c r="P299">
        <v>1</v>
      </c>
      <c r="Q299">
        <v>889</v>
      </c>
      <c r="R299">
        <v>525</v>
      </c>
      <c r="S299">
        <v>740</v>
      </c>
      <c r="U299">
        <v>12500</v>
      </c>
      <c r="V299" t="s">
        <v>633</v>
      </c>
      <c r="W299" t="s">
        <v>815</v>
      </c>
      <c r="X299" t="s">
        <v>565</v>
      </c>
    </row>
    <row r="300" spans="1:24" x14ac:dyDescent="0.25">
      <c r="A300">
        <v>2025</v>
      </c>
      <c r="B300" t="s">
        <v>158</v>
      </c>
      <c r="C300" t="s">
        <v>159</v>
      </c>
      <c r="D300" t="s">
        <v>1014</v>
      </c>
      <c r="E300">
        <v>2.2999999999999998</v>
      </c>
      <c r="F300">
        <v>4</v>
      </c>
      <c r="G300" t="s">
        <v>554</v>
      </c>
      <c r="H300">
        <v>10</v>
      </c>
      <c r="I300" t="s">
        <v>46</v>
      </c>
      <c r="J300">
        <v>21</v>
      </c>
      <c r="K300">
        <v>26</v>
      </c>
      <c r="L300">
        <v>23</v>
      </c>
      <c r="M300" t="s">
        <v>463</v>
      </c>
      <c r="N300">
        <v>2300</v>
      </c>
      <c r="O300">
        <v>5</v>
      </c>
      <c r="P300">
        <v>5</v>
      </c>
      <c r="Q300">
        <v>431</v>
      </c>
      <c r="R300">
        <v>317</v>
      </c>
      <c r="S300">
        <v>380</v>
      </c>
      <c r="U300">
        <v>2000</v>
      </c>
      <c r="V300" t="s">
        <v>30</v>
      </c>
      <c r="W300" t="s">
        <v>528</v>
      </c>
      <c r="X300" t="s">
        <v>524</v>
      </c>
    </row>
    <row r="301" spans="1:24" x14ac:dyDescent="0.25">
      <c r="A301">
        <v>2025</v>
      </c>
      <c r="B301" t="s">
        <v>158</v>
      </c>
      <c r="C301" t="s">
        <v>159</v>
      </c>
      <c r="D301" t="s">
        <v>1013</v>
      </c>
      <c r="E301">
        <v>2.2999999999999998</v>
      </c>
      <c r="F301">
        <v>4</v>
      </c>
      <c r="G301" t="s">
        <v>554</v>
      </c>
      <c r="H301">
        <v>10</v>
      </c>
      <c r="I301" t="s">
        <v>400</v>
      </c>
      <c r="J301">
        <v>19</v>
      </c>
      <c r="K301">
        <v>26</v>
      </c>
      <c r="L301">
        <v>22</v>
      </c>
      <c r="M301" t="s">
        <v>135</v>
      </c>
      <c r="N301">
        <v>2400</v>
      </c>
      <c r="O301">
        <v>5</v>
      </c>
      <c r="P301">
        <v>5</v>
      </c>
      <c r="Q301">
        <v>459</v>
      </c>
      <c r="R301">
        <v>339</v>
      </c>
      <c r="S301">
        <v>405</v>
      </c>
      <c r="U301">
        <v>2500</v>
      </c>
      <c r="V301" t="s">
        <v>30</v>
      </c>
      <c r="W301" t="s">
        <v>528</v>
      </c>
      <c r="X301" t="s">
        <v>524</v>
      </c>
    </row>
    <row r="302" spans="1:24" x14ac:dyDescent="0.25">
      <c r="A302">
        <v>2025</v>
      </c>
      <c r="B302" t="s">
        <v>158</v>
      </c>
      <c r="C302" t="s">
        <v>159</v>
      </c>
      <c r="D302" t="s">
        <v>1013</v>
      </c>
      <c r="E302">
        <v>2.7</v>
      </c>
      <c r="F302">
        <v>6</v>
      </c>
      <c r="G302" t="s">
        <v>554</v>
      </c>
      <c r="H302">
        <v>10</v>
      </c>
      <c r="I302" t="s">
        <v>400</v>
      </c>
      <c r="J302">
        <v>19</v>
      </c>
      <c r="K302">
        <v>23</v>
      </c>
      <c r="L302">
        <v>20</v>
      </c>
      <c r="M302" t="s">
        <v>135</v>
      </c>
      <c r="N302">
        <v>2600</v>
      </c>
      <c r="O302">
        <v>4</v>
      </c>
      <c r="P302">
        <v>4</v>
      </c>
      <c r="Q302">
        <v>475</v>
      </c>
      <c r="R302">
        <v>378</v>
      </c>
      <c r="S302">
        <v>431</v>
      </c>
      <c r="U302">
        <v>3500</v>
      </c>
      <c r="V302" t="s">
        <v>30</v>
      </c>
      <c r="W302" t="s">
        <v>528</v>
      </c>
      <c r="X302" t="s">
        <v>524</v>
      </c>
    </row>
    <row r="303" spans="1:24" x14ac:dyDescent="0.25">
      <c r="A303">
        <v>2025</v>
      </c>
      <c r="B303" t="s">
        <v>158</v>
      </c>
      <c r="C303" t="s">
        <v>159</v>
      </c>
      <c r="D303" t="s">
        <v>1012</v>
      </c>
      <c r="E303">
        <v>3</v>
      </c>
      <c r="F303">
        <v>6</v>
      </c>
      <c r="G303" t="s">
        <v>554</v>
      </c>
      <c r="H303">
        <v>10</v>
      </c>
      <c r="I303" t="s">
        <v>400</v>
      </c>
      <c r="J303">
        <v>16</v>
      </c>
      <c r="K303">
        <v>18</v>
      </c>
      <c r="L303">
        <v>17</v>
      </c>
      <c r="M303" t="s">
        <v>135</v>
      </c>
      <c r="N303">
        <v>3100</v>
      </c>
      <c r="O303">
        <v>3</v>
      </c>
      <c r="P303">
        <v>3</v>
      </c>
      <c r="Q303">
        <v>561</v>
      </c>
      <c r="R303">
        <v>482</v>
      </c>
      <c r="S303">
        <v>525</v>
      </c>
      <c r="U303">
        <v>6000</v>
      </c>
      <c r="V303" t="s">
        <v>30</v>
      </c>
      <c r="W303" t="s">
        <v>528</v>
      </c>
      <c r="X303" t="s">
        <v>524</v>
      </c>
    </row>
    <row r="304" spans="1:24" x14ac:dyDescent="0.25">
      <c r="A304">
        <v>2025</v>
      </c>
      <c r="B304" t="s">
        <v>177</v>
      </c>
      <c r="C304" t="s">
        <v>178</v>
      </c>
      <c r="D304" t="s">
        <v>1011</v>
      </c>
      <c r="E304">
        <v>3.3</v>
      </c>
      <c r="F304">
        <v>6</v>
      </c>
      <c r="G304" t="s">
        <v>526</v>
      </c>
      <c r="H304">
        <v>8</v>
      </c>
      <c r="I304" t="s">
        <v>28</v>
      </c>
      <c r="J304">
        <v>17</v>
      </c>
      <c r="K304">
        <v>23</v>
      </c>
      <c r="L304">
        <v>19</v>
      </c>
      <c r="M304" t="s">
        <v>75</v>
      </c>
      <c r="N304">
        <v>3350</v>
      </c>
      <c r="O304">
        <v>4</v>
      </c>
      <c r="P304">
        <v>4</v>
      </c>
      <c r="Q304">
        <v>528</v>
      </c>
      <c r="R304">
        <v>389</v>
      </c>
      <c r="S304">
        <v>466</v>
      </c>
      <c r="U304">
        <v>7250</v>
      </c>
      <c r="V304" t="s">
        <v>30</v>
      </c>
      <c r="W304" t="s">
        <v>528</v>
      </c>
      <c r="X304" t="s">
        <v>565</v>
      </c>
    </row>
    <row r="305" spans="1:24" x14ac:dyDescent="0.25">
      <c r="A305">
        <v>2025</v>
      </c>
      <c r="B305" t="s">
        <v>177</v>
      </c>
      <c r="C305" t="s">
        <v>178</v>
      </c>
      <c r="D305" t="s">
        <v>1011</v>
      </c>
      <c r="E305">
        <v>2.5</v>
      </c>
      <c r="F305">
        <v>4</v>
      </c>
      <c r="G305" t="s">
        <v>526</v>
      </c>
      <c r="H305">
        <v>8</v>
      </c>
      <c r="I305" t="s">
        <v>28</v>
      </c>
      <c r="J305">
        <v>20</v>
      </c>
      <c r="K305">
        <v>28</v>
      </c>
      <c r="L305">
        <v>23</v>
      </c>
      <c r="M305" t="s">
        <v>75</v>
      </c>
      <c r="N305">
        <v>2750</v>
      </c>
      <c r="O305">
        <v>5</v>
      </c>
      <c r="P305">
        <v>5</v>
      </c>
      <c r="Q305">
        <v>440</v>
      </c>
      <c r="R305">
        <v>319</v>
      </c>
      <c r="S305">
        <v>385</v>
      </c>
      <c r="U305">
        <v>4250</v>
      </c>
      <c r="V305" t="s">
        <v>30</v>
      </c>
      <c r="W305" t="s">
        <v>528</v>
      </c>
      <c r="X305" t="s">
        <v>565</v>
      </c>
    </row>
    <row r="306" spans="1:24" x14ac:dyDescent="0.25">
      <c r="A306">
        <v>2025</v>
      </c>
      <c r="B306" t="s">
        <v>177</v>
      </c>
      <c r="C306" t="s">
        <v>178</v>
      </c>
      <c r="D306" t="s">
        <v>1010</v>
      </c>
      <c r="E306">
        <v>3.3</v>
      </c>
      <c r="F306">
        <v>6</v>
      </c>
      <c r="G306" t="s">
        <v>526</v>
      </c>
      <c r="H306">
        <v>8</v>
      </c>
      <c r="I306" t="s">
        <v>46</v>
      </c>
      <c r="J306">
        <v>17</v>
      </c>
      <c r="K306">
        <v>25</v>
      </c>
      <c r="L306">
        <v>20</v>
      </c>
      <c r="M306" t="s">
        <v>75</v>
      </c>
      <c r="N306">
        <v>3200</v>
      </c>
      <c r="O306">
        <v>4</v>
      </c>
      <c r="P306">
        <v>4</v>
      </c>
      <c r="Q306">
        <v>526</v>
      </c>
      <c r="R306">
        <v>355</v>
      </c>
      <c r="S306">
        <v>449</v>
      </c>
      <c r="U306">
        <v>6500</v>
      </c>
      <c r="V306" t="s">
        <v>30</v>
      </c>
      <c r="W306" t="s">
        <v>528</v>
      </c>
      <c r="X306" t="s">
        <v>565</v>
      </c>
    </row>
    <row r="307" spans="1:24" x14ac:dyDescent="0.25">
      <c r="A307">
        <v>2025</v>
      </c>
      <c r="B307" t="s">
        <v>177</v>
      </c>
      <c r="C307" t="s">
        <v>178</v>
      </c>
      <c r="D307" t="s">
        <v>1010</v>
      </c>
      <c r="E307">
        <v>2.5</v>
      </c>
      <c r="F307">
        <v>4</v>
      </c>
      <c r="G307" t="s">
        <v>526</v>
      </c>
      <c r="H307">
        <v>8</v>
      </c>
      <c r="I307" t="s">
        <v>46</v>
      </c>
      <c r="J307">
        <v>21</v>
      </c>
      <c r="K307">
        <v>29</v>
      </c>
      <c r="L307">
        <v>24</v>
      </c>
      <c r="M307" t="s">
        <v>75</v>
      </c>
      <c r="N307">
        <v>2650</v>
      </c>
      <c r="O307">
        <v>5</v>
      </c>
      <c r="P307">
        <v>5</v>
      </c>
      <c r="Q307">
        <v>429</v>
      </c>
      <c r="R307">
        <v>304</v>
      </c>
      <c r="S307">
        <v>373</v>
      </c>
      <c r="U307">
        <v>3750</v>
      </c>
      <c r="V307" t="s">
        <v>30</v>
      </c>
      <c r="W307" t="s">
        <v>528</v>
      </c>
      <c r="X307" t="s">
        <v>565</v>
      </c>
    </row>
    <row r="308" spans="1:24" x14ac:dyDescent="0.25">
      <c r="A308">
        <v>2025</v>
      </c>
      <c r="B308" t="s">
        <v>177</v>
      </c>
      <c r="C308" t="s">
        <v>178</v>
      </c>
      <c r="D308" t="s">
        <v>1009</v>
      </c>
      <c r="E308">
        <v>2.5</v>
      </c>
      <c r="F308">
        <v>4</v>
      </c>
      <c r="G308" t="s">
        <v>526</v>
      </c>
      <c r="H308">
        <v>8</v>
      </c>
      <c r="I308" t="s">
        <v>28</v>
      </c>
      <c r="J308">
        <v>20</v>
      </c>
      <c r="K308">
        <v>29</v>
      </c>
      <c r="L308">
        <v>24</v>
      </c>
      <c r="M308" t="s">
        <v>95</v>
      </c>
      <c r="N308">
        <v>2650</v>
      </c>
      <c r="O308">
        <v>5</v>
      </c>
      <c r="P308">
        <v>5</v>
      </c>
      <c r="Q308">
        <v>438</v>
      </c>
      <c r="R308">
        <v>303</v>
      </c>
      <c r="S308">
        <v>377</v>
      </c>
      <c r="U308">
        <v>3750</v>
      </c>
      <c r="V308" t="s">
        <v>30</v>
      </c>
      <c r="W308" t="s">
        <v>528</v>
      </c>
      <c r="X308" t="s">
        <v>524</v>
      </c>
    </row>
    <row r="309" spans="1:24" x14ac:dyDescent="0.25">
      <c r="A309">
        <v>2025</v>
      </c>
      <c r="B309" t="s">
        <v>177</v>
      </c>
      <c r="C309" t="s">
        <v>178</v>
      </c>
      <c r="D309" t="s">
        <v>1009</v>
      </c>
      <c r="E309">
        <v>3.5</v>
      </c>
      <c r="F309">
        <v>6</v>
      </c>
      <c r="G309" t="s">
        <v>526</v>
      </c>
      <c r="H309">
        <v>8</v>
      </c>
      <c r="I309" t="s">
        <v>28</v>
      </c>
      <c r="J309">
        <v>16</v>
      </c>
      <c r="K309">
        <v>24</v>
      </c>
      <c r="L309">
        <v>19</v>
      </c>
      <c r="M309" t="s">
        <v>95</v>
      </c>
      <c r="N309">
        <v>3350</v>
      </c>
      <c r="O309">
        <v>4</v>
      </c>
      <c r="P309">
        <v>4</v>
      </c>
      <c r="Q309">
        <v>562</v>
      </c>
      <c r="R309">
        <v>366</v>
      </c>
      <c r="S309">
        <v>474</v>
      </c>
      <c r="U309">
        <v>7250</v>
      </c>
      <c r="V309" t="s">
        <v>30</v>
      </c>
      <c r="W309" t="s">
        <v>528</v>
      </c>
      <c r="X309" t="s">
        <v>524</v>
      </c>
    </row>
    <row r="310" spans="1:24" x14ac:dyDescent="0.25">
      <c r="A310">
        <v>2025</v>
      </c>
      <c r="B310" t="s">
        <v>177</v>
      </c>
      <c r="C310" t="s">
        <v>178</v>
      </c>
      <c r="D310" t="s">
        <v>1008</v>
      </c>
      <c r="E310">
        <v>3.5</v>
      </c>
      <c r="F310">
        <v>6</v>
      </c>
      <c r="G310" t="s">
        <v>526</v>
      </c>
      <c r="H310">
        <v>8</v>
      </c>
      <c r="I310" t="s">
        <v>28</v>
      </c>
      <c r="J310">
        <v>18</v>
      </c>
      <c r="K310">
        <v>26</v>
      </c>
      <c r="L310">
        <v>21</v>
      </c>
      <c r="M310" t="s">
        <v>95</v>
      </c>
      <c r="N310">
        <v>3050</v>
      </c>
      <c r="O310">
        <v>4</v>
      </c>
      <c r="P310">
        <v>4</v>
      </c>
      <c r="Q310">
        <v>491</v>
      </c>
      <c r="R310">
        <v>347</v>
      </c>
      <c r="S310">
        <v>426</v>
      </c>
      <c r="U310">
        <v>5750</v>
      </c>
      <c r="V310" t="s">
        <v>30</v>
      </c>
      <c r="W310" t="s">
        <v>528</v>
      </c>
      <c r="X310" t="s">
        <v>524</v>
      </c>
    </row>
    <row r="311" spans="1:24" x14ac:dyDescent="0.25">
      <c r="A311">
        <v>2025</v>
      </c>
      <c r="B311" t="s">
        <v>177</v>
      </c>
      <c r="C311" t="s">
        <v>178</v>
      </c>
      <c r="D311" t="s">
        <v>1007</v>
      </c>
      <c r="E311">
        <v>3.5</v>
      </c>
      <c r="F311">
        <v>6</v>
      </c>
      <c r="G311" t="s">
        <v>526</v>
      </c>
      <c r="H311">
        <v>8</v>
      </c>
      <c r="I311" t="s">
        <v>28</v>
      </c>
      <c r="J311">
        <v>17</v>
      </c>
      <c r="K311">
        <v>24</v>
      </c>
      <c r="L311">
        <v>20</v>
      </c>
      <c r="M311" t="s">
        <v>95</v>
      </c>
      <c r="N311">
        <v>3200</v>
      </c>
      <c r="O311">
        <v>4</v>
      </c>
      <c r="P311">
        <v>4</v>
      </c>
      <c r="Q311">
        <v>505</v>
      </c>
      <c r="R311">
        <v>363</v>
      </c>
      <c r="S311">
        <v>441</v>
      </c>
      <c r="U311">
        <v>6500</v>
      </c>
      <c r="V311" t="s">
        <v>30</v>
      </c>
      <c r="W311" t="s">
        <v>525</v>
      </c>
      <c r="X311" t="s">
        <v>524</v>
      </c>
    </row>
    <row r="312" spans="1:24" x14ac:dyDescent="0.25">
      <c r="A312">
        <v>2025</v>
      </c>
      <c r="B312" t="s">
        <v>177</v>
      </c>
      <c r="C312" t="s">
        <v>178</v>
      </c>
      <c r="D312" t="s">
        <v>1006</v>
      </c>
      <c r="E312">
        <v>2.5</v>
      </c>
      <c r="F312">
        <v>4</v>
      </c>
      <c r="G312" t="s">
        <v>526</v>
      </c>
      <c r="H312">
        <v>8</v>
      </c>
      <c r="I312" t="s">
        <v>28</v>
      </c>
      <c r="J312">
        <v>19</v>
      </c>
      <c r="K312">
        <v>26</v>
      </c>
      <c r="L312">
        <v>22</v>
      </c>
      <c r="M312" t="s">
        <v>118</v>
      </c>
      <c r="N312">
        <v>2900</v>
      </c>
      <c r="O312">
        <v>5</v>
      </c>
      <c r="P312">
        <v>5</v>
      </c>
      <c r="Q312">
        <v>457</v>
      </c>
      <c r="R312">
        <v>347</v>
      </c>
      <c r="S312">
        <v>408</v>
      </c>
      <c r="U312">
        <v>5000</v>
      </c>
      <c r="V312" t="s">
        <v>30</v>
      </c>
      <c r="W312" t="s">
        <v>528</v>
      </c>
      <c r="X312" t="s">
        <v>524</v>
      </c>
    </row>
    <row r="313" spans="1:24" x14ac:dyDescent="0.25">
      <c r="A313">
        <v>2025</v>
      </c>
      <c r="B313" t="s">
        <v>177</v>
      </c>
      <c r="C313" t="s">
        <v>178</v>
      </c>
      <c r="D313" t="s">
        <v>1006</v>
      </c>
      <c r="E313">
        <v>2.5</v>
      </c>
      <c r="F313">
        <v>4</v>
      </c>
      <c r="G313" t="s">
        <v>526</v>
      </c>
      <c r="H313">
        <v>8</v>
      </c>
      <c r="I313" t="s">
        <v>28</v>
      </c>
      <c r="J313">
        <v>22</v>
      </c>
      <c r="K313">
        <v>28</v>
      </c>
      <c r="L313">
        <v>24</v>
      </c>
      <c r="M313" t="s">
        <v>118</v>
      </c>
      <c r="N313">
        <v>2650</v>
      </c>
      <c r="O313">
        <v>5</v>
      </c>
      <c r="P313">
        <v>5</v>
      </c>
      <c r="Q313">
        <v>409</v>
      </c>
      <c r="R313">
        <v>320</v>
      </c>
      <c r="S313">
        <v>369</v>
      </c>
      <c r="U313">
        <v>3750</v>
      </c>
      <c r="V313" t="s">
        <v>30</v>
      </c>
      <c r="W313" t="s">
        <v>528</v>
      </c>
      <c r="X313" t="s">
        <v>524</v>
      </c>
    </row>
    <row r="314" spans="1:24" x14ac:dyDescent="0.25">
      <c r="A314">
        <v>2025</v>
      </c>
      <c r="B314" t="s">
        <v>177</v>
      </c>
      <c r="C314" t="s">
        <v>178</v>
      </c>
      <c r="D314" t="s">
        <v>1006</v>
      </c>
      <c r="E314">
        <v>3.5</v>
      </c>
      <c r="F314">
        <v>6</v>
      </c>
      <c r="G314" t="s">
        <v>526</v>
      </c>
      <c r="H314">
        <v>8</v>
      </c>
      <c r="I314" t="s">
        <v>28</v>
      </c>
      <c r="J314">
        <v>18</v>
      </c>
      <c r="K314">
        <v>24</v>
      </c>
      <c r="L314">
        <v>20</v>
      </c>
      <c r="M314" t="s">
        <v>118</v>
      </c>
      <c r="N314">
        <v>3200</v>
      </c>
      <c r="O314">
        <v>4</v>
      </c>
      <c r="P314">
        <v>4</v>
      </c>
      <c r="Q314">
        <v>492</v>
      </c>
      <c r="R314">
        <v>379</v>
      </c>
      <c r="S314">
        <v>441</v>
      </c>
      <c r="U314">
        <v>6500</v>
      </c>
      <c r="V314" t="s">
        <v>30</v>
      </c>
      <c r="W314" t="s">
        <v>528</v>
      </c>
      <c r="X314" t="s">
        <v>524</v>
      </c>
    </row>
    <row r="315" spans="1:24" x14ac:dyDescent="0.25">
      <c r="A315">
        <v>2025</v>
      </c>
      <c r="B315" t="s">
        <v>177</v>
      </c>
      <c r="C315" t="s">
        <v>178</v>
      </c>
      <c r="D315" t="s">
        <v>1005</v>
      </c>
      <c r="E315">
        <v>2.5</v>
      </c>
      <c r="F315">
        <v>4</v>
      </c>
      <c r="G315" t="s">
        <v>526</v>
      </c>
      <c r="H315">
        <v>8</v>
      </c>
      <c r="I315" t="s">
        <v>28</v>
      </c>
      <c r="J315">
        <v>19</v>
      </c>
      <c r="K315">
        <v>24</v>
      </c>
      <c r="L315">
        <v>21</v>
      </c>
      <c r="M315" t="s">
        <v>29</v>
      </c>
      <c r="N315">
        <v>3050</v>
      </c>
      <c r="O315">
        <v>4</v>
      </c>
      <c r="P315">
        <v>4</v>
      </c>
      <c r="Q315">
        <v>474</v>
      </c>
      <c r="R315">
        <v>369</v>
      </c>
      <c r="S315">
        <v>427</v>
      </c>
      <c r="U315">
        <v>5750</v>
      </c>
      <c r="V315" t="s">
        <v>30</v>
      </c>
      <c r="W315" t="s">
        <v>528</v>
      </c>
      <c r="X315" t="s">
        <v>524</v>
      </c>
    </row>
    <row r="316" spans="1:24" x14ac:dyDescent="0.25">
      <c r="A316">
        <v>2025</v>
      </c>
      <c r="B316" t="s">
        <v>177</v>
      </c>
      <c r="C316" t="s">
        <v>178</v>
      </c>
      <c r="D316" t="s">
        <v>1005</v>
      </c>
      <c r="E316">
        <v>3.5</v>
      </c>
      <c r="F316">
        <v>6</v>
      </c>
      <c r="G316" t="s">
        <v>526</v>
      </c>
      <c r="H316">
        <v>8</v>
      </c>
      <c r="I316" t="s">
        <v>28</v>
      </c>
      <c r="J316">
        <v>16</v>
      </c>
      <c r="K316">
        <v>22</v>
      </c>
      <c r="L316">
        <v>19</v>
      </c>
      <c r="M316" t="s">
        <v>29</v>
      </c>
      <c r="N316">
        <v>3350</v>
      </c>
      <c r="O316">
        <v>4</v>
      </c>
      <c r="P316">
        <v>4</v>
      </c>
      <c r="Q316">
        <v>542</v>
      </c>
      <c r="R316">
        <v>404</v>
      </c>
      <c r="S316">
        <v>480</v>
      </c>
      <c r="U316">
        <v>7250</v>
      </c>
      <c r="V316" t="s">
        <v>30</v>
      </c>
      <c r="W316" t="s">
        <v>528</v>
      </c>
      <c r="X316" t="s">
        <v>524</v>
      </c>
    </row>
    <row r="317" spans="1:24" x14ac:dyDescent="0.25">
      <c r="A317">
        <v>2025</v>
      </c>
      <c r="B317" t="s">
        <v>177</v>
      </c>
      <c r="C317" t="s">
        <v>178</v>
      </c>
      <c r="D317" t="s">
        <v>1004</v>
      </c>
      <c r="E317">
        <v>3.5</v>
      </c>
      <c r="F317">
        <v>6</v>
      </c>
      <c r="G317" t="s">
        <v>526</v>
      </c>
      <c r="H317">
        <v>8</v>
      </c>
      <c r="I317" t="s">
        <v>28</v>
      </c>
      <c r="J317">
        <v>18</v>
      </c>
      <c r="K317">
        <v>22</v>
      </c>
      <c r="L317">
        <v>20</v>
      </c>
      <c r="M317" t="s">
        <v>29</v>
      </c>
      <c r="N317">
        <v>3200</v>
      </c>
      <c r="O317">
        <v>4</v>
      </c>
      <c r="P317">
        <v>4</v>
      </c>
      <c r="Q317">
        <v>497</v>
      </c>
      <c r="R317">
        <v>405</v>
      </c>
      <c r="S317">
        <v>455</v>
      </c>
      <c r="U317">
        <v>6500</v>
      </c>
      <c r="V317" t="s">
        <v>30</v>
      </c>
      <c r="W317" t="s">
        <v>525</v>
      </c>
      <c r="X317" t="s">
        <v>524</v>
      </c>
    </row>
    <row r="318" spans="1:24" x14ac:dyDescent="0.25">
      <c r="A318">
        <v>2025</v>
      </c>
      <c r="B318" t="s">
        <v>112</v>
      </c>
      <c r="C318" t="s">
        <v>189</v>
      </c>
      <c r="D318" t="s">
        <v>1003</v>
      </c>
      <c r="E318">
        <v>2.5</v>
      </c>
      <c r="F318">
        <v>4</v>
      </c>
      <c r="G318" t="s">
        <v>641</v>
      </c>
      <c r="H318">
        <v>8</v>
      </c>
      <c r="I318" t="s">
        <v>28</v>
      </c>
      <c r="J318">
        <v>19</v>
      </c>
      <c r="K318">
        <v>24</v>
      </c>
      <c r="L318">
        <v>21</v>
      </c>
      <c r="M318" t="s">
        <v>29</v>
      </c>
      <c r="N318">
        <v>2500</v>
      </c>
      <c r="O318">
        <v>4</v>
      </c>
      <c r="P318">
        <v>4</v>
      </c>
      <c r="Q318">
        <v>462</v>
      </c>
      <c r="R318">
        <v>374</v>
      </c>
      <c r="S318">
        <v>422</v>
      </c>
      <c r="U318">
        <v>3000</v>
      </c>
      <c r="V318" t="s">
        <v>30</v>
      </c>
      <c r="W318" t="s">
        <v>528</v>
      </c>
      <c r="X318" t="s">
        <v>524</v>
      </c>
    </row>
    <row r="319" spans="1:24" x14ac:dyDescent="0.25">
      <c r="A319">
        <v>2025</v>
      </c>
      <c r="B319" t="s">
        <v>112</v>
      </c>
      <c r="C319" t="s">
        <v>189</v>
      </c>
      <c r="D319" t="s">
        <v>1002</v>
      </c>
      <c r="E319">
        <v>2.5</v>
      </c>
      <c r="F319">
        <v>4</v>
      </c>
      <c r="G319" t="s">
        <v>641</v>
      </c>
      <c r="H319">
        <v>8</v>
      </c>
      <c r="I319" t="s">
        <v>128</v>
      </c>
      <c r="J319">
        <v>20</v>
      </c>
      <c r="K319">
        <v>27</v>
      </c>
      <c r="L319">
        <v>23</v>
      </c>
      <c r="M319" t="s">
        <v>47</v>
      </c>
      <c r="N319">
        <v>2300</v>
      </c>
      <c r="O319">
        <v>5</v>
      </c>
      <c r="P319">
        <v>5</v>
      </c>
      <c r="Q319">
        <v>431</v>
      </c>
      <c r="R319">
        <v>334</v>
      </c>
      <c r="S319">
        <v>387</v>
      </c>
      <c r="U319">
        <v>2000</v>
      </c>
      <c r="V319" t="s">
        <v>30</v>
      </c>
      <c r="W319" t="s">
        <v>528</v>
      </c>
      <c r="X319" t="s">
        <v>524</v>
      </c>
    </row>
    <row r="320" spans="1:24" x14ac:dyDescent="0.25">
      <c r="A320">
        <v>2025</v>
      </c>
      <c r="B320" t="s">
        <v>112</v>
      </c>
      <c r="C320" t="s">
        <v>189</v>
      </c>
      <c r="D320" t="s">
        <v>1001</v>
      </c>
      <c r="E320">
        <v>2.7</v>
      </c>
      <c r="F320">
        <v>4</v>
      </c>
      <c r="G320" t="s">
        <v>641</v>
      </c>
      <c r="H320">
        <v>8</v>
      </c>
      <c r="I320" t="s">
        <v>46</v>
      </c>
      <c r="J320">
        <v>19</v>
      </c>
      <c r="K320">
        <v>23</v>
      </c>
      <c r="L320">
        <v>20</v>
      </c>
      <c r="M320" t="s">
        <v>463</v>
      </c>
      <c r="N320">
        <v>2600</v>
      </c>
      <c r="O320">
        <v>4</v>
      </c>
      <c r="P320">
        <v>4</v>
      </c>
      <c r="Q320">
        <v>472</v>
      </c>
      <c r="R320">
        <v>388</v>
      </c>
      <c r="S320">
        <v>434</v>
      </c>
      <c r="U320">
        <v>3500</v>
      </c>
      <c r="V320" t="s">
        <v>30</v>
      </c>
      <c r="W320" t="s">
        <v>528</v>
      </c>
      <c r="X320" t="s">
        <v>524</v>
      </c>
    </row>
    <row r="321" spans="1:24" x14ac:dyDescent="0.25">
      <c r="A321">
        <v>2025</v>
      </c>
      <c r="B321" t="s">
        <v>112</v>
      </c>
      <c r="C321" t="s">
        <v>189</v>
      </c>
      <c r="D321" t="s">
        <v>1000</v>
      </c>
      <c r="E321">
        <v>2.7</v>
      </c>
      <c r="F321">
        <v>4</v>
      </c>
      <c r="G321" t="s">
        <v>641</v>
      </c>
      <c r="H321">
        <v>8</v>
      </c>
      <c r="I321" t="s">
        <v>107</v>
      </c>
      <c r="J321">
        <v>17</v>
      </c>
      <c r="K321">
        <v>21</v>
      </c>
      <c r="L321">
        <v>19</v>
      </c>
      <c r="M321" t="s">
        <v>135</v>
      </c>
      <c r="N321">
        <v>2750</v>
      </c>
      <c r="O321">
        <v>4</v>
      </c>
      <c r="P321">
        <v>4</v>
      </c>
      <c r="Q321">
        <v>520</v>
      </c>
      <c r="R321">
        <v>446</v>
      </c>
      <c r="S321">
        <v>487</v>
      </c>
      <c r="U321">
        <v>4250</v>
      </c>
      <c r="V321" t="s">
        <v>30</v>
      </c>
      <c r="W321" t="s">
        <v>528</v>
      </c>
      <c r="X321" t="s">
        <v>524</v>
      </c>
    </row>
    <row r="322" spans="1:24" x14ac:dyDescent="0.25">
      <c r="A322">
        <v>2025</v>
      </c>
      <c r="B322" t="s">
        <v>112</v>
      </c>
      <c r="C322" t="s">
        <v>189</v>
      </c>
      <c r="D322" t="s">
        <v>999</v>
      </c>
      <c r="E322">
        <v>2.7</v>
      </c>
      <c r="F322">
        <v>4</v>
      </c>
      <c r="G322" t="s">
        <v>641</v>
      </c>
      <c r="H322">
        <v>8</v>
      </c>
      <c r="I322" t="s">
        <v>107</v>
      </c>
      <c r="J322">
        <v>17</v>
      </c>
      <c r="K322">
        <v>17</v>
      </c>
      <c r="L322">
        <v>17</v>
      </c>
      <c r="M322" t="s">
        <v>135</v>
      </c>
      <c r="N322">
        <v>3100</v>
      </c>
      <c r="O322">
        <v>3</v>
      </c>
      <c r="P322">
        <v>3</v>
      </c>
      <c r="Q322">
        <v>531</v>
      </c>
      <c r="R322">
        <v>522</v>
      </c>
      <c r="S322">
        <v>527</v>
      </c>
      <c r="U322">
        <v>6000</v>
      </c>
      <c r="V322" t="s">
        <v>30</v>
      </c>
      <c r="W322" t="s">
        <v>528</v>
      </c>
      <c r="X322" t="s">
        <v>524</v>
      </c>
    </row>
    <row r="323" spans="1:24" x14ac:dyDescent="0.25">
      <c r="A323">
        <v>2025</v>
      </c>
      <c r="B323" t="s">
        <v>112</v>
      </c>
      <c r="C323" t="s">
        <v>189</v>
      </c>
      <c r="D323" t="s">
        <v>998</v>
      </c>
      <c r="E323">
        <v>2.7</v>
      </c>
      <c r="F323">
        <v>4</v>
      </c>
      <c r="G323" t="s">
        <v>641</v>
      </c>
      <c r="H323">
        <v>8</v>
      </c>
      <c r="I323" t="s">
        <v>107</v>
      </c>
      <c r="J323">
        <v>16</v>
      </c>
      <c r="K323">
        <v>16</v>
      </c>
      <c r="L323">
        <v>16</v>
      </c>
      <c r="M323" t="s">
        <v>135</v>
      </c>
      <c r="N323">
        <v>3300</v>
      </c>
      <c r="O323">
        <v>3</v>
      </c>
      <c r="P323">
        <v>3</v>
      </c>
      <c r="Q323">
        <v>559</v>
      </c>
      <c r="R323">
        <v>570</v>
      </c>
      <c r="S323">
        <v>564</v>
      </c>
      <c r="U323">
        <v>7000</v>
      </c>
      <c r="V323" t="s">
        <v>30</v>
      </c>
      <c r="W323" t="s">
        <v>528</v>
      </c>
      <c r="X323" t="s">
        <v>524</v>
      </c>
    </row>
    <row r="324" spans="1:24" x14ac:dyDescent="0.25">
      <c r="A324">
        <v>2025</v>
      </c>
      <c r="B324" t="s">
        <v>112</v>
      </c>
      <c r="C324" t="s">
        <v>189</v>
      </c>
      <c r="D324" t="s">
        <v>997</v>
      </c>
      <c r="E324">
        <v>3</v>
      </c>
      <c r="F324">
        <v>6</v>
      </c>
      <c r="G324" t="s">
        <v>984</v>
      </c>
      <c r="H324">
        <v>10</v>
      </c>
      <c r="I324" t="s">
        <v>46</v>
      </c>
      <c r="J324">
        <v>23</v>
      </c>
      <c r="K324">
        <v>29</v>
      </c>
      <c r="L324">
        <v>26</v>
      </c>
      <c r="M324" t="s">
        <v>463</v>
      </c>
      <c r="N324">
        <v>2350</v>
      </c>
      <c r="O324">
        <v>5</v>
      </c>
      <c r="P324">
        <v>5</v>
      </c>
      <c r="Q324">
        <v>434</v>
      </c>
      <c r="R324">
        <v>356</v>
      </c>
      <c r="S324">
        <v>399</v>
      </c>
      <c r="U324">
        <v>2250</v>
      </c>
      <c r="V324" t="s">
        <v>30</v>
      </c>
      <c r="W324" t="s">
        <v>528</v>
      </c>
      <c r="X324" t="s">
        <v>524</v>
      </c>
    </row>
    <row r="325" spans="1:24" x14ac:dyDescent="0.25">
      <c r="A325">
        <v>2025</v>
      </c>
      <c r="B325" t="s">
        <v>112</v>
      </c>
      <c r="C325" t="s">
        <v>189</v>
      </c>
      <c r="D325" t="s">
        <v>997</v>
      </c>
      <c r="E325">
        <v>2.7</v>
      </c>
      <c r="F325">
        <v>4</v>
      </c>
      <c r="G325" t="s">
        <v>641</v>
      </c>
      <c r="H325">
        <v>8</v>
      </c>
      <c r="I325" t="s">
        <v>46</v>
      </c>
      <c r="J325">
        <v>18</v>
      </c>
      <c r="K325">
        <v>21</v>
      </c>
      <c r="L325">
        <v>19</v>
      </c>
      <c r="M325" t="s">
        <v>463</v>
      </c>
      <c r="N325">
        <v>2750</v>
      </c>
      <c r="O325">
        <v>4</v>
      </c>
      <c r="P325">
        <v>4</v>
      </c>
      <c r="Q325">
        <v>503</v>
      </c>
      <c r="R325">
        <v>426</v>
      </c>
      <c r="S325">
        <v>468</v>
      </c>
      <c r="U325">
        <v>4250</v>
      </c>
      <c r="V325" t="s">
        <v>30</v>
      </c>
      <c r="W325" t="s">
        <v>528</v>
      </c>
      <c r="X325" t="s">
        <v>524</v>
      </c>
    </row>
    <row r="326" spans="1:24" x14ac:dyDescent="0.25">
      <c r="A326">
        <v>2025</v>
      </c>
      <c r="B326" t="s">
        <v>112</v>
      </c>
      <c r="C326" t="s">
        <v>189</v>
      </c>
      <c r="D326" t="s">
        <v>997</v>
      </c>
      <c r="E326">
        <v>2.7</v>
      </c>
      <c r="F326">
        <v>4</v>
      </c>
      <c r="G326" t="s">
        <v>641</v>
      </c>
      <c r="H326">
        <v>8</v>
      </c>
      <c r="I326" t="s">
        <v>46</v>
      </c>
      <c r="J326">
        <v>17</v>
      </c>
      <c r="K326">
        <v>21</v>
      </c>
      <c r="L326">
        <v>19</v>
      </c>
      <c r="M326" t="s">
        <v>463</v>
      </c>
      <c r="N326">
        <v>2750</v>
      </c>
      <c r="O326">
        <v>4</v>
      </c>
      <c r="P326">
        <v>4</v>
      </c>
      <c r="Q326">
        <v>506</v>
      </c>
      <c r="R326">
        <v>426</v>
      </c>
      <c r="S326">
        <v>470</v>
      </c>
      <c r="U326">
        <v>4250</v>
      </c>
      <c r="V326" t="s">
        <v>30</v>
      </c>
      <c r="W326" t="s">
        <v>528</v>
      </c>
      <c r="X326" t="s">
        <v>524</v>
      </c>
    </row>
    <row r="327" spans="1:24" x14ac:dyDescent="0.25">
      <c r="A327">
        <v>2025</v>
      </c>
      <c r="B327" t="s">
        <v>112</v>
      </c>
      <c r="C327" t="s">
        <v>189</v>
      </c>
      <c r="D327" t="s">
        <v>997</v>
      </c>
      <c r="E327">
        <v>5.3</v>
      </c>
      <c r="F327">
        <v>8</v>
      </c>
      <c r="G327" t="s">
        <v>984</v>
      </c>
      <c r="H327">
        <v>10</v>
      </c>
      <c r="I327" t="s">
        <v>46</v>
      </c>
      <c r="J327">
        <v>16</v>
      </c>
      <c r="K327">
        <v>21</v>
      </c>
      <c r="L327">
        <v>18</v>
      </c>
      <c r="M327" t="s">
        <v>463</v>
      </c>
      <c r="N327">
        <v>2900</v>
      </c>
      <c r="O327">
        <v>4</v>
      </c>
      <c r="P327">
        <v>4</v>
      </c>
      <c r="Q327">
        <v>554</v>
      </c>
      <c r="R327">
        <v>423</v>
      </c>
      <c r="S327">
        <v>495</v>
      </c>
      <c r="U327">
        <v>5000</v>
      </c>
      <c r="V327" t="s">
        <v>30</v>
      </c>
      <c r="W327" t="s">
        <v>558</v>
      </c>
      <c r="X327" t="s">
        <v>524</v>
      </c>
    </row>
    <row r="328" spans="1:24" x14ac:dyDescent="0.25">
      <c r="A328">
        <v>2025</v>
      </c>
      <c r="B328" t="s">
        <v>112</v>
      </c>
      <c r="C328" t="s">
        <v>189</v>
      </c>
      <c r="D328" t="s">
        <v>997</v>
      </c>
      <c r="E328">
        <v>5.3</v>
      </c>
      <c r="F328">
        <v>8</v>
      </c>
      <c r="G328" t="s">
        <v>984</v>
      </c>
      <c r="H328">
        <v>10</v>
      </c>
      <c r="I328" t="s">
        <v>46</v>
      </c>
      <c r="J328">
        <v>16</v>
      </c>
      <c r="K328">
        <v>20</v>
      </c>
      <c r="L328">
        <v>17</v>
      </c>
      <c r="M328" t="s">
        <v>463</v>
      </c>
      <c r="N328">
        <v>3100</v>
      </c>
      <c r="O328">
        <v>3</v>
      </c>
      <c r="P328">
        <v>3</v>
      </c>
      <c r="Q328">
        <v>559</v>
      </c>
      <c r="R328">
        <v>442</v>
      </c>
      <c r="S328">
        <v>507</v>
      </c>
      <c r="U328">
        <v>6000</v>
      </c>
      <c r="V328" t="s">
        <v>30</v>
      </c>
      <c r="W328" t="s">
        <v>558</v>
      </c>
      <c r="X328" t="s">
        <v>524</v>
      </c>
    </row>
    <row r="329" spans="1:24" x14ac:dyDescent="0.25">
      <c r="A329">
        <v>2025</v>
      </c>
      <c r="B329" t="s">
        <v>112</v>
      </c>
      <c r="C329" t="s">
        <v>189</v>
      </c>
      <c r="D329" t="s">
        <v>996</v>
      </c>
      <c r="E329">
        <v>5.3</v>
      </c>
      <c r="F329">
        <v>8</v>
      </c>
      <c r="G329" t="s">
        <v>984</v>
      </c>
      <c r="H329">
        <v>10</v>
      </c>
      <c r="I329" t="s">
        <v>46</v>
      </c>
      <c r="J329">
        <v>15</v>
      </c>
      <c r="K329">
        <v>18</v>
      </c>
      <c r="L329">
        <v>16</v>
      </c>
      <c r="M329" t="s">
        <v>992</v>
      </c>
      <c r="N329">
        <v>3300</v>
      </c>
      <c r="O329">
        <v>3</v>
      </c>
      <c r="P329">
        <v>3</v>
      </c>
      <c r="Q329">
        <v>589</v>
      </c>
      <c r="R329">
        <v>504</v>
      </c>
      <c r="S329">
        <v>551</v>
      </c>
      <c r="U329">
        <v>7000</v>
      </c>
      <c r="V329" t="s">
        <v>30</v>
      </c>
      <c r="W329" t="s">
        <v>558</v>
      </c>
      <c r="X329" t="s">
        <v>524</v>
      </c>
    </row>
    <row r="330" spans="1:24" x14ac:dyDescent="0.25">
      <c r="A330">
        <v>2025</v>
      </c>
      <c r="B330" t="s">
        <v>112</v>
      </c>
      <c r="C330" t="s">
        <v>189</v>
      </c>
      <c r="D330" t="s">
        <v>995</v>
      </c>
      <c r="E330">
        <v>3</v>
      </c>
      <c r="F330">
        <v>6</v>
      </c>
      <c r="G330" t="s">
        <v>984</v>
      </c>
      <c r="H330">
        <v>10</v>
      </c>
      <c r="I330" t="s">
        <v>107</v>
      </c>
      <c r="J330">
        <v>22</v>
      </c>
      <c r="K330">
        <v>26</v>
      </c>
      <c r="L330">
        <v>24</v>
      </c>
      <c r="M330" t="s">
        <v>135</v>
      </c>
      <c r="N330">
        <v>2550</v>
      </c>
      <c r="O330">
        <v>5</v>
      </c>
      <c r="P330">
        <v>4</v>
      </c>
      <c r="Q330">
        <v>459</v>
      </c>
      <c r="R330">
        <v>391</v>
      </c>
      <c r="S330">
        <v>428</v>
      </c>
      <c r="U330">
        <v>3250</v>
      </c>
      <c r="V330" t="s">
        <v>30</v>
      </c>
      <c r="W330" t="s">
        <v>528</v>
      </c>
      <c r="X330" t="s">
        <v>524</v>
      </c>
    </row>
    <row r="331" spans="1:24" x14ac:dyDescent="0.25">
      <c r="A331">
        <v>2025</v>
      </c>
      <c r="B331" t="s">
        <v>112</v>
      </c>
      <c r="C331" t="s">
        <v>189</v>
      </c>
      <c r="D331" t="s">
        <v>995</v>
      </c>
      <c r="E331">
        <v>2.7</v>
      </c>
      <c r="F331">
        <v>4</v>
      </c>
      <c r="G331" t="s">
        <v>641</v>
      </c>
      <c r="H331">
        <v>8</v>
      </c>
      <c r="I331" t="s">
        <v>107</v>
      </c>
      <c r="J331">
        <v>17</v>
      </c>
      <c r="K331">
        <v>18</v>
      </c>
      <c r="L331">
        <v>17</v>
      </c>
      <c r="M331" t="s">
        <v>135</v>
      </c>
      <c r="N331">
        <v>3100</v>
      </c>
      <c r="O331">
        <v>3</v>
      </c>
      <c r="P331">
        <v>3</v>
      </c>
      <c r="Q331">
        <v>537</v>
      </c>
      <c r="R331">
        <v>489</v>
      </c>
      <c r="S331">
        <v>516</v>
      </c>
      <c r="U331">
        <v>6000</v>
      </c>
      <c r="V331" t="s">
        <v>30</v>
      </c>
      <c r="W331" t="s">
        <v>528</v>
      </c>
      <c r="X331" t="s">
        <v>524</v>
      </c>
    </row>
    <row r="332" spans="1:24" x14ac:dyDescent="0.25">
      <c r="A332">
        <v>2025</v>
      </c>
      <c r="B332" t="s">
        <v>112</v>
      </c>
      <c r="C332" t="s">
        <v>189</v>
      </c>
      <c r="D332" t="s">
        <v>995</v>
      </c>
      <c r="E332">
        <v>2.7</v>
      </c>
      <c r="F332">
        <v>4</v>
      </c>
      <c r="G332" t="s">
        <v>641</v>
      </c>
      <c r="H332">
        <v>8</v>
      </c>
      <c r="I332" t="s">
        <v>107</v>
      </c>
      <c r="J332">
        <v>17</v>
      </c>
      <c r="K332">
        <v>19</v>
      </c>
      <c r="L332">
        <v>18</v>
      </c>
      <c r="M332" t="s">
        <v>135</v>
      </c>
      <c r="N332">
        <v>2900</v>
      </c>
      <c r="O332">
        <v>4</v>
      </c>
      <c r="P332">
        <v>4</v>
      </c>
      <c r="Q332">
        <v>522</v>
      </c>
      <c r="R332">
        <v>463</v>
      </c>
      <c r="S332">
        <v>496</v>
      </c>
      <c r="U332">
        <v>5000</v>
      </c>
      <c r="V332" t="s">
        <v>30</v>
      </c>
      <c r="W332" t="s">
        <v>528</v>
      </c>
      <c r="X332" t="s">
        <v>524</v>
      </c>
    </row>
    <row r="333" spans="1:24" x14ac:dyDescent="0.25">
      <c r="A333">
        <v>2025</v>
      </c>
      <c r="B333" t="s">
        <v>112</v>
      </c>
      <c r="C333" t="s">
        <v>189</v>
      </c>
      <c r="D333" t="s">
        <v>995</v>
      </c>
      <c r="E333">
        <v>5.3</v>
      </c>
      <c r="F333">
        <v>8</v>
      </c>
      <c r="G333" t="s">
        <v>984</v>
      </c>
      <c r="H333">
        <v>10</v>
      </c>
      <c r="I333" t="s">
        <v>107</v>
      </c>
      <c r="J333">
        <v>15</v>
      </c>
      <c r="K333">
        <v>19</v>
      </c>
      <c r="L333">
        <v>17</v>
      </c>
      <c r="M333" t="s">
        <v>135</v>
      </c>
      <c r="N333">
        <v>3100</v>
      </c>
      <c r="O333">
        <v>3</v>
      </c>
      <c r="P333">
        <v>3</v>
      </c>
      <c r="Q333">
        <v>576</v>
      </c>
      <c r="R333">
        <v>462</v>
      </c>
      <c r="S333">
        <v>524</v>
      </c>
      <c r="U333">
        <v>6000</v>
      </c>
      <c r="V333" t="s">
        <v>30</v>
      </c>
      <c r="W333" t="s">
        <v>558</v>
      </c>
      <c r="X333" t="s">
        <v>565</v>
      </c>
    </row>
    <row r="334" spans="1:24" x14ac:dyDescent="0.25">
      <c r="A334">
        <v>2025</v>
      </c>
      <c r="B334" t="s">
        <v>112</v>
      </c>
      <c r="C334" t="s">
        <v>189</v>
      </c>
      <c r="D334" t="s">
        <v>995</v>
      </c>
      <c r="E334">
        <v>6.2</v>
      </c>
      <c r="F334">
        <v>8</v>
      </c>
      <c r="G334" t="s">
        <v>984</v>
      </c>
      <c r="H334">
        <v>10</v>
      </c>
      <c r="I334" t="s">
        <v>107</v>
      </c>
      <c r="J334">
        <v>15</v>
      </c>
      <c r="K334">
        <v>19</v>
      </c>
      <c r="L334">
        <v>16</v>
      </c>
      <c r="M334" t="s">
        <v>135</v>
      </c>
      <c r="N334">
        <v>4000</v>
      </c>
      <c r="O334">
        <v>3</v>
      </c>
      <c r="P334">
        <v>3</v>
      </c>
      <c r="Q334">
        <v>606</v>
      </c>
      <c r="R334">
        <v>457</v>
      </c>
      <c r="S334">
        <v>539</v>
      </c>
      <c r="U334">
        <v>10500</v>
      </c>
      <c r="V334" t="s">
        <v>30</v>
      </c>
      <c r="W334" t="s">
        <v>558</v>
      </c>
      <c r="X334" t="s">
        <v>524</v>
      </c>
    </row>
    <row r="335" spans="1:24" x14ac:dyDescent="0.25">
      <c r="A335">
        <v>2025</v>
      </c>
      <c r="B335" t="s">
        <v>112</v>
      </c>
      <c r="C335" t="s">
        <v>189</v>
      </c>
      <c r="D335" t="s">
        <v>995</v>
      </c>
      <c r="E335">
        <v>5.3</v>
      </c>
      <c r="F335">
        <v>8</v>
      </c>
      <c r="G335" t="s">
        <v>984</v>
      </c>
      <c r="H335">
        <v>10</v>
      </c>
      <c r="I335" t="s">
        <v>107</v>
      </c>
      <c r="J335">
        <v>15</v>
      </c>
      <c r="K335">
        <v>19</v>
      </c>
      <c r="L335">
        <v>16</v>
      </c>
      <c r="M335" t="s">
        <v>135</v>
      </c>
      <c r="N335">
        <v>3300</v>
      </c>
      <c r="O335">
        <v>3</v>
      </c>
      <c r="P335">
        <v>3</v>
      </c>
      <c r="Q335">
        <v>604</v>
      </c>
      <c r="R335">
        <v>475</v>
      </c>
      <c r="S335">
        <v>546</v>
      </c>
      <c r="U335">
        <v>7000</v>
      </c>
      <c r="V335" t="s">
        <v>30</v>
      </c>
      <c r="W335" t="s">
        <v>558</v>
      </c>
      <c r="X335" t="s">
        <v>565</v>
      </c>
    </row>
    <row r="336" spans="1:24" x14ac:dyDescent="0.25">
      <c r="A336">
        <v>2025</v>
      </c>
      <c r="B336" t="s">
        <v>112</v>
      </c>
      <c r="C336" t="s">
        <v>189</v>
      </c>
      <c r="D336" t="s">
        <v>995</v>
      </c>
      <c r="E336">
        <v>5.3</v>
      </c>
      <c r="F336">
        <v>8</v>
      </c>
      <c r="G336" t="s">
        <v>984</v>
      </c>
      <c r="H336">
        <v>10</v>
      </c>
      <c r="I336" t="s">
        <v>107</v>
      </c>
      <c r="J336">
        <v>15</v>
      </c>
      <c r="K336">
        <v>19</v>
      </c>
      <c r="L336">
        <v>17</v>
      </c>
      <c r="M336" t="s">
        <v>135</v>
      </c>
      <c r="N336">
        <v>3100</v>
      </c>
      <c r="O336">
        <v>3</v>
      </c>
      <c r="P336">
        <v>3</v>
      </c>
      <c r="Q336">
        <v>571</v>
      </c>
      <c r="R336">
        <v>470</v>
      </c>
      <c r="S336">
        <v>526</v>
      </c>
      <c r="U336">
        <v>6000</v>
      </c>
      <c r="V336" t="s">
        <v>30</v>
      </c>
      <c r="W336" t="s">
        <v>558</v>
      </c>
      <c r="X336" t="s">
        <v>524</v>
      </c>
    </row>
    <row r="337" spans="1:24" x14ac:dyDescent="0.25">
      <c r="A337">
        <v>2025</v>
      </c>
      <c r="B337" t="s">
        <v>112</v>
      </c>
      <c r="C337" t="s">
        <v>189</v>
      </c>
      <c r="D337" t="s">
        <v>995</v>
      </c>
      <c r="E337">
        <v>5.3</v>
      </c>
      <c r="F337">
        <v>8</v>
      </c>
      <c r="G337" t="s">
        <v>984</v>
      </c>
      <c r="H337">
        <v>10</v>
      </c>
      <c r="I337" t="s">
        <v>107</v>
      </c>
      <c r="J337">
        <v>15</v>
      </c>
      <c r="K337">
        <v>19</v>
      </c>
      <c r="L337">
        <v>17</v>
      </c>
      <c r="M337" t="s">
        <v>135</v>
      </c>
      <c r="N337">
        <v>3100</v>
      </c>
      <c r="O337">
        <v>3</v>
      </c>
      <c r="P337">
        <v>3</v>
      </c>
      <c r="Q337">
        <v>580</v>
      </c>
      <c r="R337">
        <v>479</v>
      </c>
      <c r="S337">
        <v>535</v>
      </c>
      <c r="U337">
        <v>6000</v>
      </c>
      <c r="V337" t="s">
        <v>30</v>
      </c>
      <c r="W337" t="s">
        <v>558</v>
      </c>
      <c r="X337" t="s">
        <v>524</v>
      </c>
    </row>
    <row r="338" spans="1:24" x14ac:dyDescent="0.25">
      <c r="A338">
        <v>2025</v>
      </c>
      <c r="B338" t="s">
        <v>112</v>
      </c>
      <c r="C338" t="s">
        <v>189</v>
      </c>
      <c r="D338" t="s">
        <v>994</v>
      </c>
      <c r="E338">
        <v>3</v>
      </c>
      <c r="F338">
        <v>6</v>
      </c>
      <c r="G338" t="s">
        <v>984</v>
      </c>
      <c r="H338">
        <v>10</v>
      </c>
      <c r="I338" t="s">
        <v>107</v>
      </c>
      <c r="J338">
        <v>19</v>
      </c>
      <c r="K338">
        <v>20</v>
      </c>
      <c r="L338">
        <v>19</v>
      </c>
      <c r="M338" t="s">
        <v>135</v>
      </c>
      <c r="N338">
        <v>3250</v>
      </c>
      <c r="O338">
        <v>4</v>
      </c>
      <c r="P338">
        <v>3</v>
      </c>
      <c r="Q338">
        <v>530</v>
      </c>
      <c r="R338">
        <v>516</v>
      </c>
      <c r="S338">
        <v>524</v>
      </c>
      <c r="U338">
        <v>6750</v>
      </c>
      <c r="V338" t="s">
        <v>30</v>
      </c>
      <c r="W338" t="s">
        <v>528</v>
      </c>
      <c r="X338" t="s">
        <v>524</v>
      </c>
    </row>
    <row r="339" spans="1:24" x14ac:dyDescent="0.25">
      <c r="A339">
        <v>2025</v>
      </c>
      <c r="B339" t="s">
        <v>112</v>
      </c>
      <c r="C339" t="s">
        <v>189</v>
      </c>
      <c r="D339" t="s">
        <v>994</v>
      </c>
      <c r="E339">
        <v>6.2</v>
      </c>
      <c r="F339">
        <v>8</v>
      </c>
      <c r="G339" t="s">
        <v>984</v>
      </c>
      <c r="H339">
        <v>10</v>
      </c>
      <c r="I339" t="s">
        <v>107</v>
      </c>
      <c r="J339">
        <v>14</v>
      </c>
      <c r="K339">
        <v>16</v>
      </c>
      <c r="L339">
        <v>15</v>
      </c>
      <c r="M339" t="s">
        <v>135</v>
      </c>
      <c r="N339">
        <v>4250</v>
      </c>
      <c r="O339">
        <v>2</v>
      </c>
      <c r="P339">
        <v>2</v>
      </c>
      <c r="Q339">
        <v>638</v>
      </c>
      <c r="R339">
        <v>557</v>
      </c>
      <c r="S339">
        <v>601</v>
      </c>
      <c r="U339">
        <v>11750</v>
      </c>
      <c r="V339" t="s">
        <v>30</v>
      </c>
      <c r="W339" t="s">
        <v>558</v>
      </c>
      <c r="X339" t="s">
        <v>524</v>
      </c>
    </row>
    <row r="340" spans="1:24" x14ac:dyDescent="0.25">
      <c r="A340">
        <v>2025</v>
      </c>
      <c r="B340" t="s">
        <v>112</v>
      </c>
      <c r="C340" t="s">
        <v>189</v>
      </c>
      <c r="D340" t="s">
        <v>993</v>
      </c>
      <c r="E340">
        <v>5.3</v>
      </c>
      <c r="F340">
        <v>8</v>
      </c>
      <c r="G340" t="s">
        <v>984</v>
      </c>
      <c r="H340">
        <v>10</v>
      </c>
      <c r="I340" t="s">
        <v>107</v>
      </c>
      <c r="J340">
        <v>14</v>
      </c>
      <c r="K340">
        <v>16</v>
      </c>
      <c r="L340">
        <v>15</v>
      </c>
      <c r="M340" t="s">
        <v>992</v>
      </c>
      <c r="N340">
        <v>3500</v>
      </c>
      <c r="O340">
        <v>2</v>
      </c>
      <c r="P340">
        <v>2</v>
      </c>
      <c r="Q340">
        <v>633</v>
      </c>
      <c r="R340">
        <v>542</v>
      </c>
      <c r="S340">
        <v>592</v>
      </c>
      <c r="U340">
        <v>8000</v>
      </c>
      <c r="V340" t="s">
        <v>30</v>
      </c>
      <c r="W340" t="s">
        <v>558</v>
      </c>
      <c r="X340" t="s">
        <v>524</v>
      </c>
    </row>
    <row r="341" spans="1:24" x14ac:dyDescent="0.25">
      <c r="A341">
        <v>2025</v>
      </c>
      <c r="B341" t="s">
        <v>112</v>
      </c>
      <c r="C341" t="s">
        <v>189</v>
      </c>
      <c r="D341" t="s">
        <v>991</v>
      </c>
      <c r="E341">
        <v>3</v>
      </c>
      <c r="F341">
        <v>6</v>
      </c>
      <c r="G341" t="s">
        <v>984</v>
      </c>
      <c r="H341">
        <v>10</v>
      </c>
      <c r="I341" t="s">
        <v>107</v>
      </c>
      <c r="J341">
        <v>21</v>
      </c>
      <c r="K341">
        <v>24</v>
      </c>
      <c r="L341">
        <v>23</v>
      </c>
      <c r="M341" t="s">
        <v>135</v>
      </c>
      <c r="N341">
        <v>2650</v>
      </c>
      <c r="O341">
        <v>5</v>
      </c>
      <c r="P341">
        <v>4</v>
      </c>
      <c r="Q341">
        <v>475</v>
      </c>
      <c r="R341">
        <v>420</v>
      </c>
      <c r="S341">
        <v>450</v>
      </c>
      <c r="U341">
        <v>3750</v>
      </c>
      <c r="V341" t="s">
        <v>30</v>
      </c>
      <c r="W341" t="s">
        <v>528</v>
      </c>
      <c r="X341" t="s">
        <v>524</v>
      </c>
    </row>
    <row r="342" spans="1:24" x14ac:dyDescent="0.25">
      <c r="A342">
        <v>2025</v>
      </c>
      <c r="B342" t="s">
        <v>112</v>
      </c>
      <c r="C342" t="s">
        <v>189</v>
      </c>
      <c r="D342" t="s">
        <v>991</v>
      </c>
      <c r="E342">
        <v>2.7</v>
      </c>
      <c r="F342">
        <v>4</v>
      </c>
      <c r="G342" t="s">
        <v>641</v>
      </c>
      <c r="H342">
        <v>8</v>
      </c>
      <c r="I342" t="s">
        <v>107</v>
      </c>
      <c r="J342">
        <v>16</v>
      </c>
      <c r="K342">
        <v>17</v>
      </c>
      <c r="L342">
        <v>16</v>
      </c>
      <c r="M342" t="s">
        <v>135</v>
      </c>
      <c r="N342">
        <v>3300</v>
      </c>
      <c r="O342">
        <v>3</v>
      </c>
      <c r="P342">
        <v>3</v>
      </c>
      <c r="Q342">
        <v>552</v>
      </c>
      <c r="R342">
        <v>521</v>
      </c>
      <c r="S342">
        <v>538</v>
      </c>
      <c r="U342">
        <v>7000</v>
      </c>
      <c r="V342" t="s">
        <v>30</v>
      </c>
      <c r="W342" t="s">
        <v>528</v>
      </c>
      <c r="X342" t="s">
        <v>524</v>
      </c>
    </row>
    <row r="343" spans="1:24" x14ac:dyDescent="0.25">
      <c r="A343">
        <v>2025</v>
      </c>
      <c r="B343" t="s">
        <v>112</v>
      </c>
      <c r="C343" t="s">
        <v>189</v>
      </c>
      <c r="D343" t="s">
        <v>991</v>
      </c>
      <c r="E343">
        <v>5.3</v>
      </c>
      <c r="F343">
        <v>8</v>
      </c>
      <c r="G343" t="s">
        <v>984</v>
      </c>
      <c r="H343">
        <v>10</v>
      </c>
      <c r="I343" t="s">
        <v>107</v>
      </c>
      <c r="J343">
        <v>15</v>
      </c>
      <c r="K343">
        <v>19</v>
      </c>
      <c r="L343">
        <v>17</v>
      </c>
      <c r="M343" t="s">
        <v>135</v>
      </c>
      <c r="N343">
        <v>3100</v>
      </c>
      <c r="O343">
        <v>3</v>
      </c>
      <c r="P343">
        <v>3</v>
      </c>
      <c r="Q343">
        <v>576</v>
      </c>
      <c r="R343">
        <v>462</v>
      </c>
      <c r="S343">
        <v>524</v>
      </c>
      <c r="U343">
        <v>6000</v>
      </c>
      <c r="V343" t="s">
        <v>30</v>
      </c>
      <c r="W343" t="s">
        <v>558</v>
      </c>
      <c r="X343" t="s">
        <v>565</v>
      </c>
    </row>
    <row r="344" spans="1:24" x14ac:dyDescent="0.25">
      <c r="A344">
        <v>2025</v>
      </c>
      <c r="B344" t="s">
        <v>112</v>
      </c>
      <c r="C344" t="s">
        <v>189</v>
      </c>
      <c r="D344" t="s">
        <v>991</v>
      </c>
      <c r="E344">
        <v>6.2</v>
      </c>
      <c r="F344">
        <v>8</v>
      </c>
      <c r="G344" t="s">
        <v>984</v>
      </c>
      <c r="H344">
        <v>10</v>
      </c>
      <c r="I344" t="s">
        <v>107</v>
      </c>
      <c r="J344">
        <v>14</v>
      </c>
      <c r="K344">
        <v>17</v>
      </c>
      <c r="L344">
        <v>15</v>
      </c>
      <c r="M344" t="s">
        <v>135</v>
      </c>
      <c r="N344">
        <v>4250</v>
      </c>
      <c r="O344">
        <v>2</v>
      </c>
      <c r="P344">
        <v>2</v>
      </c>
      <c r="Q344">
        <v>636</v>
      </c>
      <c r="R344">
        <v>523</v>
      </c>
      <c r="S344">
        <v>593</v>
      </c>
      <c r="U344">
        <v>11750</v>
      </c>
      <c r="V344" t="s">
        <v>30</v>
      </c>
      <c r="W344" t="s">
        <v>558</v>
      </c>
      <c r="X344" t="s">
        <v>524</v>
      </c>
    </row>
    <row r="345" spans="1:24" x14ac:dyDescent="0.25">
      <c r="A345">
        <v>2025</v>
      </c>
      <c r="B345" t="s">
        <v>112</v>
      </c>
      <c r="C345" t="s">
        <v>189</v>
      </c>
      <c r="D345" t="s">
        <v>991</v>
      </c>
      <c r="E345">
        <v>5.3</v>
      </c>
      <c r="F345">
        <v>8</v>
      </c>
      <c r="G345" t="s">
        <v>984</v>
      </c>
      <c r="H345">
        <v>10</v>
      </c>
      <c r="I345" t="s">
        <v>107</v>
      </c>
      <c r="J345">
        <v>15</v>
      </c>
      <c r="K345">
        <v>19</v>
      </c>
      <c r="L345">
        <v>16</v>
      </c>
      <c r="M345" t="s">
        <v>135</v>
      </c>
      <c r="N345">
        <v>3300</v>
      </c>
      <c r="O345">
        <v>3</v>
      </c>
      <c r="P345">
        <v>3</v>
      </c>
      <c r="Q345">
        <v>604</v>
      </c>
      <c r="R345">
        <v>475</v>
      </c>
      <c r="S345">
        <v>546</v>
      </c>
      <c r="U345">
        <v>7000</v>
      </c>
      <c r="V345" t="s">
        <v>30</v>
      </c>
      <c r="W345" t="s">
        <v>558</v>
      </c>
      <c r="X345" t="s">
        <v>565</v>
      </c>
    </row>
    <row r="346" spans="1:24" x14ac:dyDescent="0.25">
      <c r="A346">
        <v>2025</v>
      </c>
      <c r="B346" t="s">
        <v>112</v>
      </c>
      <c r="C346" t="s">
        <v>189</v>
      </c>
      <c r="D346" t="s">
        <v>991</v>
      </c>
      <c r="E346">
        <v>5.3</v>
      </c>
      <c r="F346">
        <v>8</v>
      </c>
      <c r="G346" t="s">
        <v>984</v>
      </c>
      <c r="H346">
        <v>10</v>
      </c>
      <c r="I346" t="s">
        <v>107</v>
      </c>
      <c r="J346">
        <v>15</v>
      </c>
      <c r="K346">
        <v>18</v>
      </c>
      <c r="L346">
        <v>16</v>
      </c>
      <c r="M346" t="s">
        <v>135</v>
      </c>
      <c r="N346">
        <v>3300</v>
      </c>
      <c r="O346">
        <v>3</v>
      </c>
      <c r="P346">
        <v>3</v>
      </c>
      <c r="Q346">
        <v>590</v>
      </c>
      <c r="R346">
        <v>499</v>
      </c>
      <c r="S346">
        <v>549</v>
      </c>
      <c r="U346">
        <v>7000</v>
      </c>
      <c r="V346" t="s">
        <v>30</v>
      </c>
      <c r="W346" t="s">
        <v>558</v>
      </c>
      <c r="X346" t="s">
        <v>524</v>
      </c>
    </row>
    <row r="347" spans="1:24" x14ac:dyDescent="0.25">
      <c r="A347">
        <v>2025</v>
      </c>
      <c r="B347" t="s">
        <v>112</v>
      </c>
      <c r="C347" t="s">
        <v>189</v>
      </c>
      <c r="D347" t="s">
        <v>991</v>
      </c>
      <c r="E347">
        <v>5.3</v>
      </c>
      <c r="F347">
        <v>8</v>
      </c>
      <c r="G347" t="s">
        <v>984</v>
      </c>
      <c r="H347">
        <v>10</v>
      </c>
      <c r="I347" t="s">
        <v>107</v>
      </c>
      <c r="J347">
        <v>15</v>
      </c>
      <c r="K347">
        <v>18</v>
      </c>
      <c r="L347">
        <v>16</v>
      </c>
      <c r="M347" t="s">
        <v>135</v>
      </c>
      <c r="N347">
        <v>3300</v>
      </c>
      <c r="O347">
        <v>3</v>
      </c>
      <c r="P347">
        <v>3</v>
      </c>
      <c r="Q347">
        <v>595</v>
      </c>
      <c r="R347">
        <v>502</v>
      </c>
      <c r="S347">
        <v>553</v>
      </c>
      <c r="U347">
        <v>7000</v>
      </c>
      <c r="V347" t="s">
        <v>30</v>
      </c>
      <c r="W347" t="s">
        <v>558</v>
      </c>
      <c r="X347" t="s">
        <v>524</v>
      </c>
    </row>
    <row r="348" spans="1:24" x14ac:dyDescent="0.25">
      <c r="A348">
        <v>2025</v>
      </c>
      <c r="B348" t="s">
        <v>112</v>
      </c>
      <c r="C348" t="s">
        <v>189</v>
      </c>
      <c r="D348" t="s">
        <v>990</v>
      </c>
      <c r="E348">
        <v>1.5</v>
      </c>
      <c r="F348">
        <v>4</v>
      </c>
      <c r="G348" t="s">
        <v>641</v>
      </c>
      <c r="H348">
        <v>8</v>
      </c>
      <c r="I348" t="s">
        <v>28</v>
      </c>
      <c r="J348">
        <v>24</v>
      </c>
      <c r="K348">
        <v>28</v>
      </c>
      <c r="L348">
        <v>25</v>
      </c>
      <c r="M348" t="s">
        <v>118</v>
      </c>
      <c r="N348">
        <v>2100</v>
      </c>
      <c r="O348">
        <v>5</v>
      </c>
      <c r="P348">
        <v>5</v>
      </c>
      <c r="Q348">
        <v>377</v>
      </c>
      <c r="R348">
        <v>318</v>
      </c>
      <c r="S348">
        <v>356</v>
      </c>
      <c r="U348">
        <v>1000</v>
      </c>
      <c r="V348" t="s">
        <v>30</v>
      </c>
      <c r="W348" t="s">
        <v>528</v>
      </c>
      <c r="X348" t="s">
        <v>524</v>
      </c>
    </row>
    <row r="349" spans="1:24" x14ac:dyDescent="0.25">
      <c r="A349">
        <v>2025</v>
      </c>
      <c r="B349" t="s">
        <v>112</v>
      </c>
      <c r="C349" t="s">
        <v>189</v>
      </c>
      <c r="D349" t="s">
        <v>989</v>
      </c>
      <c r="E349">
        <v>1.5</v>
      </c>
      <c r="F349">
        <v>4</v>
      </c>
      <c r="G349" t="s">
        <v>562</v>
      </c>
      <c r="H349">
        <v>1</v>
      </c>
      <c r="I349" t="s">
        <v>128</v>
      </c>
      <c r="J349">
        <v>26</v>
      </c>
      <c r="K349">
        <v>28</v>
      </c>
      <c r="L349">
        <v>27</v>
      </c>
      <c r="M349" t="s">
        <v>115</v>
      </c>
      <c r="N349">
        <v>1950</v>
      </c>
      <c r="O349">
        <v>5</v>
      </c>
      <c r="P349">
        <v>5</v>
      </c>
      <c r="Q349">
        <v>346</v>
      </c>
      <c r="R349">
        <v>314</v>
      </c>
      <c r="S349">
        <v>332</v>
      </c>
      <c r="U349">
        <v>250</v>
      </c>
      <c r="V349" t="s">
        <v>30</v>
      </c>
      <c r="W349" t="s">
        <v>528</v>
      </c>
      <c r="X349" t="s">
        <v>524</v>
      </c>
    </row>
    <row r="350" spans="1:24" x14ac:dyDescent="0.25">
      <c r="A350">
        <v>2025</v>
      </c>
      <c r="B350" t="s">
        <v>112</v>
      </c>
      <c r="C350" t="s">
        <v>189</v>
      </c>
      <c r="D350" t="s">
        <v>988</v>
      </c>
      <c r="E350">
        <v>6.2</v>
      </c>
      <c r="F350">
        <v>8</v>
      </c>
      <c r="G350" t="s">
        <v>984</v>
      </c>
      <c r="H350">
        <v>10</v>
      </c>
      <c r="I350" t="s">
        <v>46</v>
      </c>
      <c r="J350">
        <v>15</v>
      </c>
      <c r="K350">
        <v>20</v>
      </c>
      <c r="L350">
        <v>17</v>
      </c>
      <c r="M350" t="s">
        <v>47</v>
      </c>
      <c r="N350">
        <v>3750</v>
      </c>
      <c r="O350">
        <v>3</v>
      </c>
      <c r="P350">
        <v>3</v>
      </c>
      <c r="Q350">
        <v>587</v>
      </c>
      <c r="R350">
        <v>444</v>
      </c>
      <c r="S350">
        <v>523</v>
      </c>
      <c r="U350">
        <v>9250</v>
      </c>
      <c r="V350" t="s">
        <v>30</v>
      </c>
      <c r="W350" t="s">
        <v>558</v>
      </c>
      <c r="X350" t="s">
        <v>524</v>
      </c>
    </row>
    <row r="351" spans="1:24" x14ac:dyDescent="0.25">
      <c r="A351">
        <v>2025</v>
      </c>
      <c r="B351" t="s">
        <v>112</v>
      </c>
      <c r="C351" t="s">
        <v>189</v>
      </c>
      <c r="D351" t="s">
        <v>988</v>
      </c>
      <c r="E351">
        <v>5.3</v>
      </c>
      <c r="F351">
        <v>8</v>
      </c>
      <c r="G351" t="s">
        <v>984</v>
      </c>
      <c r="H351">
        <v>10</v>
      </c>
      <c r="I351" t="s">
        <v>46</v>
      </c>
      <c r="J351">
        <v>15</v>
      </c>
      <c r="K351">
        <v>20</v>
      </c>
      <c r="L351">
        <v>17</v>
      </c>
      <c r="M351" t="s">
        <v>47</v>
      </c>
      <c r="N351">
        <v>3100</v>
      </c>
      <c r="O351">
        <v>3</v>
      </c>
      <c r="P351">
        <v>3</v>
      </c>
      <c r="Q351">
        <v>592</v>
      </c>
      <c r="R351">
        <v>453</v>
      </c>
      <c r="S351">
        <v>530</v>
      </c>
      <c r="U351">
        <v>6000</v>
      </c>
      <c r="V351" t="s">
        <v>30</v>
      </c>
      <c r="W351" t="s">
        <v>558</v>
      </c>
      <c r="X351" t="s">
        <v>524</v>
      </c>
    </row>
    <row r="352" spans="1:24" x14ac:dyDescent="0.25">
      <c r="A352">
        <v>2025</v>
      </c>
      <c r="B352" t="s">
        <v>112</v>
      </c>
      <c r="C352" t="s">
        <v>189</v>
      </c>
      <c r="D352" t="s">
        <v>988</v>
      </c>
      <c r="E352">
        <v>3</v>
      </c>
      <c r="F352">
        <v>6</v>
      </c>
      <c r="G352" t="s">
        <v>984</v>
      </c>
      <c r="H352">
        <v>10</v>
      </c>
      <c r="I352" t="s">
        <v>46</v>
      </c>
      <c r="J352">
        <v>21</v>
      </c>
      <c r="K352">
        <v>26</v>
      </c>
      <c r="L352">
        <v>23</v>
      </c>
      <c r="M352" t="s">
        <v>47</v>
      </c>
      <c r="N352">
        <v>2650</v>
      </c>
      <c r="O352">
        <v>5</v>
      </c>
      <c r="P352">
        <v>4</v>
      </c>
      <c r="Q352">
        <v>485</v>
      </c>
      <c r="R352">
        <v>385</v>
      </c>
      <c r="S352">
        <v>442</v>
      </c>
      <c r="U352">
        <v>3750</v>
      </c>
      <c r="V352" t="s">
        <v>30</v>
      </c>
      <c r="W352" t="s">
        <v>528</v>
      </c>
      <c r="X352" t="s">
        <v>524</v>
      </c>
    </row>
    <row r="353" spans="1:24" x14ac:dyDescent="0.25">
      <c r="A353">
        <v>2025</v>
      </c>
      <c r="B353" t="s">
        <v>112</v>
      </c>
      <c r="C353" t="s">
        <v>189</v>
      </c>
      <c r="D353" t="s">
        <v>987</v>
      </c>
      <c r="E353">
        <v>6.2</v>
      </c>
      <c r="F353">
        <v>8</v>
      </c>
      <c r="G353" t="s">
        <v>984</v>
      </c>
      <c r="H353">
        <v>10</v>
      </c>
      <c r="I353" t="s">
        <v>107</v>
      </c>
      <c r="J353">
        <v>14</v>
      </c>
      <c r="K353">
        <v>18</v>
      </c>
      <c r="L353">
        <v>16</v>
      </c>
      <c r="M353" t="s">
        <v>29</v>
      </c>
      <c r="N353">
        <v>4000</v>
      </c>
      <c r="O353">
        <v>3</v>
      </c>
      <c r="P353">
        <v>3</v>
      </c>
      <c r="Q353">
        <v>634</v>
      </c>
      <c r="R353">
        <v>495</v>
      </c>
      <c r="S353">
        <v>572</v>
      </c>
      <c r="U353">
        <v>10500</v>
      </c>
      <c r="V353" t="s">
        <v>30</v>
      </c>
      <c r="W353" t="s">
        <v>558</v>
      </c>
      <c r="X353" t="s">
        <v>524</v>
      </c>
    </row>
    <row r="354" spans="1:24" x14ac:dyDescent="0.25">
      <c r="A354">
        <v>2025</v>
      </c>
      <c r="B354" t="s">
        <v>112</v>
      </c>
      <c r="C354" t="s">
        <v>189</v>
      </c>
      <c r="D354" t="s">
        <v>987</v>
      </c>
      <c r="E354">
        <v>5.3</v>
      </c>
      <c r="F354">
        <v>8</v>
      </c>
      <c r="G354" t="s">
        <v>984</v>
      </c>
      <c r="H354">
        <v>10</v>
      </c>
      <c r="I354" t="s">
        <v>107</v>
      </c>
      <c r="J354">
        <v>15</v>
      </c>
      <c r="K354">
        <v>19</v>
      </c>
      <c r="L354">
        <v>17</v>
      </c>
      <c r="M354" t="s">
        <v>29</v>
      </c>
      <c r="N354">
        <v>3100</v>
      </c>
      <c r="O354">
        <v>3</v>
      </c>
      <c r="P354">
        <v>3</v>
      </c>
      <c r="Q354">
        <v>594</v>
      </c>
      <c r="R354">
        <v>462</v>
      </c>
      <c r="S354">
        <v>535</v>
      </c>
      <c r="U354">
        <v>6000</v>
      </c>
      <c r="V354" t="s">
        <v>30</v>
      </c>
      <c r="W354" t="s">
        <v>558</v>
      </c>
      <c r="X354" t="s">
        <v>524</v>
      </c>
    </row>
    <row r="355" spans="1:24" x14ac:dyDescent="0.25">
      <c r="A355">
        <v>2025</v>
      </c>
      <c r="B355" t="s">
        <v>112</v>
      </c>
      <c r="C355" t="s">
        <v>189</v>
      </c>
      <c r="D355" t="s">
        <v>987</v>
      </c>
      <c r="E355">
        <v>3</v>
      </c>
      <c r="F355">
        <v>6</v>
      </c>
      <c r="G355" t="s">
        <v>984</v>
      </c>
      <c r="H355">
        <v>10</v>
      </c>
      <c r="I355" t="s">
        <v>107</v>
      </c>
      <c r="J355">
        <v>20</v>
      </c>
      <c r="K355">
        <v>26</v>
      </c>
      <c r="L355">
        <v>22</v>
      </c>
      <c r="M355" t="s">
        <v>29</v>
      </c>
      <c r="N355">
        <v>2800</v>
      </c>
      <c r="O355">
        <v>5</v>
      </c>
      <c r="P355">
        <v>4</v>
      </c>
      <c r="Q355">
        <v>504</v>
      </c>
      <c r="R355">
        <v>395</v>
      </c>
      <c r="S355">
        <v>455</v>
      </c>
      <c r="U355">
        <v>4500</v>
      </c>
      <c r="V355" t="s">
        <v>30</v>
      </c>
      <c r="W355" t="s">
        <v>528</v>
      </c>
      <c r="X355" t="s">
        <v>524</v>
      </c>
    </row>
    <row r="356" spans="1:24" x14ac:dyDescent="0.25">
      <c r="A356">
        <v>2025</v>
      </c>
      <c r="B356" t="s">
        <v>112</v>
      </c>
      <c r="C356" t="s">
        <v>189</v>
      </c>
      <c r="D356" t="s">
        <v>986</v>
      </c>
      <c r="E356">
        <v>6.2</v>
      </c>
      <c r="F356">
        <v>8</v>
      </c>
      <c r="G356" t="s">
        <v>984</v>
      </c>
      <c r="H356">
        <v>10</v>
      </c>
      <c r="I356" t="s">
        <v>46</v>
      </c>
      <c r="J356">
        <v>15</v>
      </c>
      <c r="K356">
        <v>19</v>
      </c>
      <c r="L356">
        <v>16</v>
      </c>
      <c r="M356" t="s">
        <v>47</v>
      </c>
      <c r="N356">
        <v>4000</v>
      </c>
      <c r="O356">
        <v>3</v>
      </c>
      <c r="P356">
        <v>3</v>
      </c>
      <c r="Q356">
        <v>605</v>
      </c>
      <c r="R356">
        <v>470</v>
      </c>
      <c r="S356">
        <v>544</v>
      </c>
      <c r="U356">
        <v>10500</v>
      </c>
      <c r="V356" t="s">
        <v>30</v>
      </c>
      <c r="W356" t="s">
        <v>558</v>
      </c>
      <c r="X356" t="s">
        <v>524</v>
      </c>
    </row>
    <row r="357" spans="1:24" x14ac:dyDescent="0.25">
      <c r="A357">
        <v>2025</v>
      </c>
      <c r="B357" t="s">
        <v>112</v>
      </c>
      <c r="C357" t="s">
        <v>189</v>
      </c>
      <c r="D357" t="s">
        <v>986</v>
      </c>
      <c r="E357">
        <v>5.3</v>
      </c>
      <c r="F357">
        <v>8</v>
      </c>
      <c r="G357" t="s">
        <v>984</v>
      </c>
      <c r="H357">
        <v>10</v>
      </c>
      <c r="I357" t="s">
        <v>46</v>
      </c>
      <c r="J357">
        <v>15</v>
      </c>
      <c r="K357">
        <v>20</v>
      </c>
      <c r="L357">
        <v>17</v>
      </c>
      <c r="M357" t="s">
        <v>47</v>
      </c>
      <c r="N357">
        <v>3100</v>
      </c>
      <c r="O357">
        <v>3</v>
      </c>
      <c r="P357">
        <v>3</v>
      </c>
      <c r="Q357">
        <v>592</v>
      </c>
      <c r="R357">
        <v>453</v>
      </c>
      <c r="S357">
        <v>530</v>
      </c>
      <c r="U357">
        <v>6000</v>
      </c>
      <c r="V357" t="s">
        <v>30</v>
      </c>
      <c r="W357" t="s">
        <v>558</v>
      </c>
      <c r="X357" t="s">
        <v>524</v>
      </c>
    </row>
    <row r="358" spans="1:24" x14ac:dyDescent="0.25">
      <c r="A358">
        <v>2025</v>
      </c>
      <c r="B358" t="s">
        <v>112</v>
      </c>
      <c r="C358" t="s">
        <v>189</v>
      </c>
      <c r="D358" t="s">
        <v>986</v>
      </c>
      <c r="E358">
        <v>3</v>
      </c>
      <c r="F358">
        <v>6</v>
      </c>
      <c r="G358" t="s">
        <v>984</v>
      </c>
      <c r="H358">
        <v>10</v>
      </c>
      <c r="I358" t="s">
        <v>46</v>
      </c>
      <c r="J358">
        <v>21</v>
      </c>
      <c r="K358">
        <v>26</v>
      </c>
      <c r="L358">
        <v>23</v>
      </c>
      <c r="M358" t="s">
        <v>47</v>
      </c>
      <c r="N358">
        <v>2650</v>
      </c>
      <c r="O358">
        <v>5</v>
      </c>
      <c r="P358">
        <v>4</v>
      </c>
      <c r="Q358">
        <v>485</v>
      </c>
      <c r="R358">
        <v>385</v>
      </c>
      <c r="S358">
        <v>442</v>
      </c>
      <c r="U358">
        <v>3750</v>
      </c>
      <c r="V358" t="s">
        <v>30</v>
      </c>
      <c r="W358" t="s">
        <v>528</v>
      </c>
      <c r="X358" t="s">
        <v>524</v>
      </c>
    </row>
    <row r="359" spans="1:24" x14ac:dyDescent="0.25">
      <c r="A359">
        <v>2025</v>
      </c>
      <c r="B359" t="s">
        <v>112</v>
      </c>
      <c r="C359" t="s">
        <v>189</v>
      </c>
      <c r="D359" t="s">
        <v>985</v>
      </c>
      <c r="E359">
        <v>6.2</v>
      </c>
      <c r="F359">
        <v>8</v>
      </c>
      <c r="G359" t="s">
        <v>984</v>
      </c>
      <c r="H359">
        <v>10</v>
      </c>
      <c r="I359" t="s">
        <v>107</v>
      </c>
      <c r="J359">
        <v>14</v>
      </c>
      <c r="K359">
        <v>18</v>
      </c>
      <c r="L359">
        <v>16</v>
      </c>
      <c r="M359" t="s">
        <v>29</v>
      </c>
      <c r="N359">
        <v>4000</v>
      </c>
      <c r="O359">
        <v>3</v>
      </c>
      <c r="P359">
        <v>3</v>
      </c>
      <c r="Q359">
        <v>634</v>
      </c>
      <c r="R359">
        <v>495</v>
      </c>
      <c r="S359">
        <v>572</v>
      </c>
      <c r="U359">
        <v>10500</v>
      </c>
      <c r="V359" t="s">
        <v>30</v>
      </c>
      <c r="W359" t="s">
        <v>558</v>
      </c>
      <c r="X359" t="s">
        <v>524</v>
      </c>
    </row>
    <row r="360" spans="1:24" x14ac:dyDescent="0.25">
      <c r="A360">
        <v>2025</v>
      </c>
      <c r="B360" t="s">
        <v>112</v>
      </c>
      <c r="C360" t="s">
        <v>189</v>
      </c>
      <c r="D360" t="s">
        <v>985</v>
      </c>
      <c r="E360">
        <v>5.3</v>
      </c>
      <c r="F360">
        <v>8</v>
      </c>
      <c r="G360" t="s">
        <v>984</v>
      </c>
      <c r="H360">
        <v>10</v>
      </c>
      <c r="I360" t="s">
        <v>107</v>
      </c>
      <c r="J360">
        <v>14</v>
      </c>
      <c r="K360">
        <v>19</v>
      </c>
      <c r="L360">
        <v>16</v>
      </c>
      <c r="M360" t="s">
        <v>29</v>
      </c>
      <c r="N360">
        <v>3300</v>
      </c>
      <c r="O360">
        <v>3</v>
      </c>
      <c r="P360">
        <v>3</v>
      </c>
      <c r="Q360">
        <v>645</v>
      </c>
      <c r="R360">
        <v>481</v>
      </c>
      <c r="S360">
        <v>571</v>
      </c>
      <c r="U360">
        <v>7000</v>
      </c>
      <c r="V360" t="s">
        <v>30</v>
      </c>
      <c r="W360" t="s">
        <v>558</v>
      </c>
      <c r="X360" t="s">
        <v>524</v>
      </c>
    </row>
    <row r="361" spans="1:24" x14ac:dyDescent="0.25">
      <c r="A361">
        <v>2025</v>
      </c>
      <c r="B361" t="s">
        <v>112</v>
      </c>
      <c r="C361" t="s">
        <v>189</v>
      </c>
      <c r="D361" t="s">
        <v>985</v>
      </c>
      <c r="E361">
        <v>3</v>
      </c>
      <c r="F361">
        <v>6</v>
      </c>
      <c r="G361" t="s">
        <v>984</v>
      </c>
      <c r="H361">
        <v>10</v>
      </c>
      <c r="I361" t="s">
        <v>107</v>
      </c>
      <c r="J361">
        <v>20</v>
      </c>
      <c r="K361">
        <v>26</v>
      </c>
      <c r="L361">
        <v>22</v>
      </c>
      <c r="M361" t="s">
        <v>29</v>
      </c>
      <c r="N361">
        <v>2800</v>
      </c>
      <c r="O361">
        <v>5</v>
      </c>
      <c r="P361">
        <v>4</v>
      </c>
      <c r="Q361">
        <v>504</v>
      </c>
      <c r="R361">
        <v>395</v>
      </c>
      <c r="S361">
        <v>455</v>
      </c>
      <c r="U361">
        <v>4500</v>
      </c>
      <c r="V361" t="s">
        <v>30</v>
      </c>
      <c r="W361" t="s">
        <v>528</v>
      </c>
      <c r="X361" t="s">
        <v>524</v>
      </c>
    </row>
    <row r="362" spans="1:24" x14ac:dyDescent="0.25">
      <c r="A362">
        <v>2025</v>
      </c>
      <c r="B362" t="s">
        <v>210</v>
      </c>
      <c r="C362" t="s">
        <v>210</v>
      </c>
      <c r="D362" t="s">
        <v>983</v>
      </c>
      <c r="E362">
        <v>1.5</v>
      </c>
      <c r="F362">
        <v>4</v>
      </c>
      <c r="G362" t="s">
        <v>562</v>
      </c>
      <c r="H362">
        <v>1</v>
      </c>
      <c r="I362" t="s">
        <v>128</v>
      </c>
      <c r="J362">
        <v>29</v>
      </c>
      <c r="K362">
        <v>37</v>
      </c>
      <c r="L362">
        <v>32</v>
      </c>
      <c r="M362" t="s">
        <v>95</v>
      </c>
      <c r="N362">
        <v>1650</v>
      </c>
      <c r="O362">
        <v>6</v>
      </c>
      <c r="P362">
        <v>6</v>
      </c>
      <c r="Q362">
        <v>306</v>
      </c>
      <c r="R362">
        <v>239</v>
      </c>
      <c r="S362">
        <v>277</v>
      </c>
      <c r="T362">
        <v>1250</v>
      </c>
      <c r="V362" t="s">
        <v>30</v>
      </c>
      <c r="W362" t="s">
        <v>528</v>
      </c>
      <c r="X362" t="s">
        <v>524</v>
      </c>
    </row>
    <row r="363" spans="1:24" x14ac:dyDescent="0.25">
      <c r="A363">
        <v>2025</v>
      </c>
      <c r="B363" t="s">
        <v>210</v>
      </c>
      <c r="C363" t="s">
        <v>210</v>
      </c>
      <c r="D363" t="s">
        <v>983</v>
      </c>
      <c r="E363">
        <v>2</v>
      </c>
      <c r="F363">
        <v>4</v>
      </c>
      <c r="G363" t="s">
        <v>562</v>
      </c>
      <c r="H363">
        <v>1</v>
      </c>
      <c r="I363" t="s">
        <v>128</v>
      </c>
      <c r="J363">
        <v>51</v>
      </c>
      <c r="K363">
        <v>44</v>
      </c>
      <c r="L363">
        <v>48</v>
      </c>
      <c r="M363" t="s">
        <v>95</v>
      </c>
      <c r="N363">
        <v>1100</v>
      </c>
      <c r="O363">
        <v>8</v>
      </c>
      <c r="P363">
        <v>8</v>
      </c>
      <c r="Q363">
        <v>172</v>
      </c>
      <c r="R363">
        <v>200</v>
      </c>
      <c r="S363">
        <v>184</v>
      </c>
      <c r="T363">
        <v>4000</v>
      </c>
      <c r="V363" t="s">
        <v>30</v>
      </c>
      <c r="W363" t="s">
        <v>558</v>
      </c>
      <c r="X363" t="s">
        <v>524</v>
      </c>
    </row>
    <row r="364" spans="1:24" x14ac:dyDescent="0.25">
      <c r="A364">
        <v>2025</v>
      </c>
      <c r="B364" t="s">
        <v>210</v>
      </c>
      <c r="C364" t="s">
        <v>210</v>
      </c>
      <c r="D364" t="s">
        <v>982</v>
      </c>
      <c r="E364">
        <v>2</v>
      </c>
      <c r="F364">
        <v>4</v>
      </c>
      <c r="G364" t="s">
        <v>562</v>
      </c>
      <c r="H364">
        <v>1</v>
      </c>
      <c r="I364" t="s">
        <v>128</v>
      </c>
      <c r="J364">
        <v>46</v>
      </c>
      <c r="K364">
        <v>41</v>
      </c>
      <c r="L364">
        <v>44</v>
      </c>
      <c r="M364" t="s">
        <v>186</v>
      </c>
      <c r="N364">
        <v>1200</v>
      </c>
      <c r="O364">
        <v>7</v>
      </c>
      <c r="P364">
        <v>7</v>
      </c>
      <c r="Q364">
        <v>192</v>
      </c>
      <c r="R364">
        <v>216</v>
      </c>
      <c r="S364">
        <v>201</v>
      </c>
      <c r="T364">
        <v>3500</v>
      </c>
      <c r="V364" t="s">
        <v>30</v>
      </c>
      <c r="W364" t="s">
        <v>558</v>
      </c>
      <c r="X364" t="s">
        <v>524</v>
      </c>
    </row>
    <row r="365" spans="1:24" x14ac:dyDescent="0.25">
      <c r="A365">
        <v>2025</v>
      </c>
      <c r="B365" t="s">
        <v>210</v>
      </c>
      <c r="C365" t="s">
        <v>210</v>
      </c>
      <c r="D365" t="s">
        <v>981</v>
      </c>
      <c r="E365">
        <v>1.5</v>
      </c>
      <c r="F365">
        <v>4</v>
      </c>
      <c r="G365" t="s">
        <v>546</v>
      </c>
      <c r="H365">
        <v>6</v>
      </c>
      <c r="I365" t="s">
        <v>128</v>
      </c>
      <c r="J365">
        <v>27</v>
      </c>
      <c r="K365">
        <v>37</v>
      </c>
      <c r="L365">
        <v>31</v>
      </c>
      <c r="M365" t="s">
        <v>186</v>
      </c>
      <c r="N365">
        <v>2050</v>
      </c>
      <c r="O365">
        <v>6</v>
      </c>
      <c r="P365">
        <v>6</v>
      </c>
      <c r="Q365">
        <v>323</v>
      </c>
      <c r="R365">
        <v>239</v>
      </c>
      <c r="S365">
        <v>285</v>
      </c>
      <c r="U365">
        <v>750</v>
      </c>
      <c r="V365" t="s">
        <v>30</v>
      </c>
      <c r="W365" t="s">
        <v>528</v>
      </c>
      <c r="X365" t="s">
        <v>524</v>
      </c>
    </row>
    <row r="366" spans="1:24" x14ac:dyDescent="0.25">
      <c r="A366">
        <v>2025</v>
      </c>
      <c r="B366" t="s">
        <v>210</v>
      </c>
      <c r="C366" t="s">
        <v>210</v>
      </c>
      <c r="D366" t="s">
        <v>981</v>
      </c>
      <c r="E366">
        <v>2</v>
      </c>
      <c r="F366">
        <v>4</v>
      </c>
      <c r="G366" t="s">
        <v>562</v>
      </c>
      <c r="H366">
        <v>1</v>
      </c>
      <c r="I366" t="s">
        <v>128</v>
      </c>
      <c r="J366">
        <v>32</v>
      </c>
      <c r="K366">
        <v>41</v>
      </c>
      <c r="L366">
        <v>36</v>
      </c>
      <c r="M366" t="s">
        <v>186</v>
      </c>
      <c r="N366">
        <v>1450</v>
      </c>
      <c r="O366">
        <v>7</v>
      </c>
      <c r="P366">
        <v>7</v>
      </c>
      <c r="Q366">
        <v>276</v>
      </c>
      <c r="R366">
        <v>215</v>
      </c>
      <c r="S366">
        <v>248</v>
      </c>
      <c r="T366">
        <v>2250</v>
      </c>
      <c r="V366" t="s">
        <v>30</v>
      </c>
      <c r="W366" t="s">
        <v>558</v>
      </c>
      <c r="X366" t="s">
        <v>524</v>
      </c>
    </row>
    <row r="367" spans="1:24" x14ac:dyDescent="0.25">
      <c r="A367">
        <v>2025</v>
      </c>
      <c r="B367" t="s">
        <v>210</v>
      </c>
      <c r="C367" t="s">
        <v>210</v>
      </c>
      <c r="D367" t="s">
        <v>981</v>
      </c>
      <c r="E367">
        <v>2</v>
      </c>
      <c r="F367">
        <v>4</v>
      </c>
      <c r="G367" t="s">
        <v>980</v>
      </c>
      <c r="H367">
        <v>7</v>
      </c>
      <c r="I367" t="s">
        <v>128</v>
      </c>
      <c r="J367">
        <v>31</v>
      </c>
      <c r="K367">
        <v>39</v>
      </c>
      <c r="L367">
        <v>34</v>
      </c>
      <c r="M367" t="s">
        <v>186</v>
      </c>
      <c r="N367">
        <v>1550</v>
      </c>
      <c r="O367">
        <v>7</v>
      </c>
      <c r="P367">
        <v>7</v>
      </c>
      <c r="Q367">
        <v>281</v>
      </c>
      <c r="R367">
        <v>226</v>
      </c>
      <c r="S367">
        <v>260</v>
      </c>
      <c r="T367">
        <v>1750</v>
      </c>
      <c r="V367" t="s">
        <v>30</v>
      </c>
      <c r="W367" t="s">
        <v>558</v>
      </c>
      <c r="X367" t="s">
        <v>524</v>
      </c>
    </row>
    <row r="368" spans="1:24" x14ac:dyDescent="0.25">
      <c r="A368">
        <v>2025</v>
      </c>
      <c r="B368" t="s">
        <v>210</v>
      </c>
      <c r="C368" t="s">
        <v>210</v>
      </c>
      <c r="D368" t="s">
        <v>981</v>
      </c>
      <c r="E368">
        <v>2</v>
      </c>
      <c r="F368">
        <v>4</v>
      </c>
      <c r="G368" t="s">
        <v>562</v>
      </c>
      <c r="H368">
        <v>1</v>
      </c>
      <c r="I368" t="s">
        <v>128</v>
      </c>
      <c r="J368">
        <v>50</v>
      </c>
      <c r="K368">
        <v>47</v>
      </c>
      <c r="L368">
        <v>49</v>
      </c>
      <c r="M368" t="s">
        <v>186</v>
      </c>
      <c r="N368">
        <v>1050</v>
      </c>
      <c r="O368">
        <v>8</v>
      </c>
      <c r="P368">
        <v>8</v>
      </c>
      <c r="Q368">
        <v>176</v>
      </c>
      <c r="R368">
        <v>188</v>
      </c>
      <c r="S368">
        <v>181</v>
      </c>
      <c r="T368">
        <v>4250</v>
      </c>
      <c r="V368" t="s">
        <v>30</v>
      </c>
      <c r="W368" t="s">
        <v>558</v>
      </c>
      <c r="X368" t="s">
        <v>524</v>
      </c>
    </row>
    <row r="369" spans="1:24" x14ac:dyDescent="0.25">
      <c r="A369">
        <v>2025</v>
      </c>
      <c r="B369" t="s">
        <v>210</v>
      </c>
      <c r="C369" t="s">
        <v>210</v>
      </c>
      <c r="D369" t="s">
        <v>979</v>
      </c>
      <c r="E369">
        <v>2</v>
      </c>
      <c r="F369">
        <v>4</v>
      </c>
      <c r="G369" t="s">
        <v>980</v>
      </c>
      <c r="H369">
        <v>7</v>
      </c>
      <c r="I369" t="s">
        <v>128</v>
      </c>
      <c r="J369">
        <v>30</v>
      </c>
      <c r="K369">
        <v>38</v>
      </c>
      <c r="L369">
        <v>34</v>
      </c>
      <c r="M369" t="s">
        <v>95</v>
      </c>
      <c r="N369">
        <v>1550</v>
      </c>
      <c r="O369">
        <v>7</v>
      </c>
      <c r="P369">
        <v>7</v>
      </c>
      <c r="Q369">
        <v>286</v>
      </c>
      <c r="R369">
        <v>228</v>
      </c>
      <c r="S369">
        <v>260</v>
      </c>
      <c r="T369">
        <v>1750</v>
      </c>
      <c r="V369" t="s">
        <v>30</v>
      </c>
      <c r="W369" t="s">
        <v>558</v>
      </c>
      <c r="X369" t="s">
        <v>524</v>
      </c>
    </row>
    <row r="370" spans="1:24" x14ac:dyDescent="0.25">
      <c r="A370">
        <v>2025</v>
      </c>
      <c r="B370" t="s">
        <v>210</v>
      </c>
      <c r="C370" t="s">
        <v>210</v>
      </c>
      <c r="D370" t="s">
        <v>979</v>
      </c>
      <c r="E370">
        <v>2</v>
      </c>
      <c r="F370">
        <v>4</v>
      </c>
      <c r="G370" t="s">
        <v>562</v>
      </c>
      <c r="H370">
        <v>1</v>
      </c>
      <c r="I370" t="s">
        <v>128</v>
      </c>
      <c r="J370">
        <v>50</v>
      </c>
      <c r="K370">
        <v>45</v>
      </c>
      <c r="L370">
        <v>48</v>
      </c>
      <c r="M370" t="s">
        <v>95</v>
      </c>
      <c r="N370">
        <v>1100</v>
      </c>
      <c r="O370">
        <v>8</v>
      </c>
      <c r="P370">
        <v>8</v>
      </c>
      <c r="Q370">
        <v>177</v>
      </c>
      <c r="R370">
        <v>196</v>
      </c>
      <c r="S370">
        <v>186</v>
      </c>
      <c r="T370">
        <v>4000</v>
      </c>
      <c r="V370" t="s">
        <v>30</v>
      </c>
      <c r="W370" t="s">
        <v>558</v>
      </c>
      <c r="X370" t="s">
        <v>524</v>
      </c>
    </row>
    <row r="371" spans="1:24" x14ac:dyDescent="0.25">
      <c r="A371">
        <v>2025</v>
      </c>
      <c r="B371" t="s">
        <v>210</v>
      </c>
      <c r="C371" t="s">
        <v>210</v>
      </c>
      <c r="D371" t="s">
        <v>979</v>
      </c>
      <c r="E371">
        <v>2</v>
      </c>
      <c r="F371">
        <v>4</v>
      </c>
      <c r="G371" t="s">
        <v>546</v>
      </c>
      <c r="H371">
        <v>6</v>
      </c>
      <c r="I371" t="s">
        <v>128</v>
      </c>
      <c r="J371">
        <v>22</v>
      </c>
      <c r="K371">
        <v>28</v>
      </c>
      <c r="L371">
        <v>24</v>
      </c>
      <c r="M371" t="s">
        <v>95</v>
      </c>
      <c r="N371">
        <v>2650</v>
      </c>
      <c r="O371">
        <v>5</v>
      </c>
      <c r="P371">
        <v>5</v>
      </c>
      <c r="Q371">
        <v>404</v>
      </c>
      <c r="R371">
        <v>314</v>
      </c>
      <c r="S371">
        <v>364</v>
      </c>
      <c r="U371">
        <v>3750</v>
      </c>
      <c r="V371" t="s">
        <v>30</v>
      </c>
      <c r="W371" t="s">
        <v>528</v>
      </c>
      <c r="X371" t="s">
        <v>565</v>
      </c>
    </row>
    <row r="372" spans="1:24" x14ac:dyDescent="0.25">
      <c r="A372">
        <v>2025</v>
      </c>
      <c r="B372" t="s">
        <v>210</v>
      </c>
      <c r="C372" t="s">
        <v>210</v>
      </c>
      <c r="D372" t="s">
        <v>978</v>
      </c>
      <c r="E372">
        <v>1.5</v>
      </c>
      <c r="F372">
        <v>4</v>
      </c>
      <c r="G372" t="s">
        <v>562</v>
      </c>
      <c r="H372">
        <v>1</v>
      </c>
      <c r="I372" t="s">
        <v>28</v>
      </c>
      <c r="J372">
        <v>26</v>
      </c>
      <c r="K372">
        <v>31</v>
      </c>
      <c r="L372">
        <v>28</v>
      </c>
      <c r="M372" t="s">
        <v>118</v>
      </c>
      <c r="N372">
        <v>1900</v>
      </c>
      <c r="O372">
        <v>6</v>
      </c>
      <c r="P372">
        <v>6</v>
      </c>
      <c r="Q372">
        <v>336</v>
      </c>
      <c r="R372">
        <v>282</v>
      </c>
      <c r="S372">
        <v>312</v>
      </c>
      <c r="T372">
        <v>0</v>
      </c>
      <c r="V372" t="s">
        <v>30</v>
      </c>
      <c r="W372" t="s">
        <v>528</v>
      </c>
      <c r="X372" t="s">
        <v>524</v>
      </c>
    </row>
    <row r="373" spans="1:24" x14ac:dyDescent="0.25">
      <c r="A373">
        <v>2025</v>
      </c>
      <c r="B373" t="s">
        <v>210</v>
      </c>
      <c r="C373" t="s">
        <v>210</v>
      </c>
      <c r="D373" t="s">
        <v>978</v>
      </c>
      <c r="E373">
        <v>2</v>
      </c>
      <c r="F373">
        <v>4</v>
      </c>
      <c r="G373" t="s">
        <v>562</v>
      </c>
      <c r="H373">
        <v>1</v>
      </c>
      <c r="I373" t="s">
        <v>28</v>
      </c>
      <c r="J373">
        <v>40</v>
      </c>
      <c r="K373">
        <v>34</v>
      </c>
      <c r="L373">
        <v>37</v>
      </c>
      <c r="M373" t="s">
        <v>118</v>
      </c>
      <c r="N373">
        <v>1400</v>
      </c>
      <c r="O373">
        <v>7</v>
      </c>
      <c r="P373">
        <v>7</v>
      </c>
      <c r="Q373">
        <v>218</v>
      </c>
      <c r="R373">
        <v>259</v>
      </c>
      <c r="S373">
        <v>237</v>
      </c>
      <c r="T373">
        <v>2500</v>
      </c>
      <c r="V373" t="s">
        <v>30</v>
      </c>
      <c r="W373" t="s">
        <v>558</v>
      </c>
      <c r="X373" t="s">
        <v>524</v>
      </c>
    </row>
    <row r="374" spans="1:24" x14ac:dyDescent="0.25">
      <c r="A374">
        <v>2025</v>
      </c>
      <c r="B374" t="s">
        <v>210</v>
      </c>
      <c r="C374" t="s">
        <v>210</v>
      </c>
      <c r="D374" t="s">
        <v>977</v>
      </c>
      <c r="E374">
        <v>1.5</v>
      </c>
      <c r="F374">
        <v>4</v>
      </c>
      <c r="G374" t="s">
        <v>562</v>
      </c>
      <c r="H374">
        <v>1</v>
      </c>
      <c r="I374" t="s">
        <v>128</v>
      </c>
      <c r="J374">
        <v>28</v>
      </c>
      <c r="K374">
        <v>34</v>
      </c>
      <c r="L374">
        <v>30</v>
      </c>
      <c r="M374" t="s">
        <v>115</v>
      </c>
      <c r="N374">
        <v>1750</v>
      </c>
      <c r="O374">
        <v>6</v>
      </c>
      <c r="P374">
        <v>6</v>
      </c>
      <c r="Q374">
        <v>314</v>
      </c>
      <c r="R374">
        <v>260</v>
      </c>
      <c r="S374">
        <v>290</v>
      </c>
      <c r="T374">
        <v>750</v>
      </c>
      <c r="V374" t="s">
        <v>30</v>
      </c>
      <c r="W374" t="s">
        <v>528</v>
      </c>
      <c r="X374" t="s">
        <v>524</v>
      </c>
    </row>
    <row r="375" spans="1:24" x14ac:dyDescent="0.25">
      <c r="A375">
        <v>2025</v>
      </c>
      <c r="B375" t="s">
        <v>210</v>
      </c>
      <c r="C375" t="s">
        <v>210</v>
      </c>
      <c r="D375" t="s">
        <v>977</v>
      </c>
      <c r="E375">
        <v>2</v>
      </c>
      <c r="F375">
        <v>4</v>
      </c>
      <c r="G375" t="s">
        <v>562</v>
      </c>
      <c r="H375">
        <v>1</v>
      </c>
      <c r="I375" t="s">
        <v>128</v>
      </c>
      <c r="J375">
        <v>43</v>
      </c>
      <c r="K375">
        <v>36</v>
      </c>
      <c r="L375">
        <v>40</v>
      </c>
      <c r="M375" t="s">
        <v>115</v>
      </c>
      <c r="N375">
        <v>1300</v>
      </c>
      <c r="O375">
        <v>7</v>
      </c>
      <c r="P375">
        <v>7</v>
      </c>
      <c r="Q375">
        <v>205</v>
      </c>
      <c r="R375">
        <v>246</v>
      </c>
      <c r="S375">
        <v>223</v>
      </c>
      <c r="T375">
        <v>3000</v>
      </c>
      <c r="V375" t="s">
        <v>30</v>
      </c>
      <c r="W375" t="s">
        <v>558</v>
      </c>
      <c r="X375" t="s">
        <v>524</v>
      </c>
    </row>
    <row r="376" spans="1:24" x14ac:dyDescent="0.25">
      <c r="A376">
        <v>2025</v>
      </c>
      <c r="B376" t="s">
        <v>210</v>
      </c>
      <c r="C376" t="s">
        <v>210</v>
      </c>
      <c r="D376" t="s">
        <v>976</v>
      </c>
      <c r="E376">
        <v>2</v>
      </c>
      <c r="F376">
        <v>4</v>
      </c>
      <c r="G376" t="s">
        <v>562</v>
      </c>
      <c r="H376">
        <v>1</v>
      </c>
      <c r="I376" t="s">
        <v>28</v>
      </c>
      <c r="J376">
        <v>25</v>
      </c>
      <c r="K376">
        <v>30</v>
      </c>
      <c r="L376">
        <v>27</v>
      </c>
      <c r="M376" t="s">
        <v>122</v>
      </c>
      <c r="N376">
        <v>1950</v>
      </c>
      <c r="O376">
        <v>5</v>
      </c>
      <c r="P376">
        <v>5</v>
      </c>
      <c r="Q376">
        <v>354</v>
      </c>
      <c r="R376">
        <v>292</v>
      </c>
      <c r="S376">
        <v>326</v>
      </c>
      <c r="U376">
        <v>250</v>
      </c>
      <c r="V376" t="s">
        <v>30</v>
      </c>
      <c r="W376" t="s">
        <v>558</v>
      </c>
      <c r="X376" t="s">
        <v>565</v>
      </c>
    </row>
    <row r="377" spans="1:24" x14ac:dyDescent="0.25">
      <c r="A377">
        <v>2025</v>
      </c>
      <c r="B377" t="s">
        <v>210</v>
      </c>
      <c r="C377" t="s">
        <v>210</v>
      </c>
      <c r="D377" t="s">
        <v>975</v>
      </c>
      <c r="E377">
        <v>2</v>
      </c>
      <c r="F377">
        <v>4</v>
      </c>
      <c r="G377" t="s">
        <v>562</v>
      </c>
      <c r="H377">
        <v>1</v>
      </c>
      <c r="I377" t="s">
        <v>128</v>
      </c>
      <c r="J377">
        <v>26</v>
      </c>
      <c r="K377">
        <v>32</v>
      </c>
      <c r="L377">
        <v>28</v>
      </c>
      <c r="M377" t="s">
        <v>122</v>
      </c>
      <c r="N377">
        <v>1900</v>
      </c>
      <c r="O377">
        <v>6</v>
      </c>
      <c r="P377">
        <v>6</v>
      </c>
      <c r="Q377">
        <v>338</v>
      </c>
      <c r="R377">
        <v>278</v>
      </c>
      <c r="S377">
        <v>311</v>
      </c>
      <c r="T377">
        <v>0</v>
      </c>
      <c r="V377" t="s">
        <v>30</v>
      </c>
      <c r="W377" t="s">
        <v>558</v>
      </c>
      <c r="X377" t="s">
        <v>565</v>
      </c>
    </row>
    <row r="378" spans="1:24" x14ac:dyDescent="0.25">
      <c r="A378">
        <v>2025</v>
      </c>
      <c r="B378" t="s">
        <v>210</v>
      </c>
      <c r="C378" t="s">
        <v>210</v>
      </c>
      <c r="D378" t="s">
        <v>974</v>
      </c>
      <c r="E378">
        <v>3.5</v>
      </c>
      <c r="F378">
        <v>6</v>
      </c>
      <c r="G378" t="s">
        <v>554</v>
      </c>
      <c r="H378">
        <v>10</v>
      </c>
      <c r="I378" t="s">
        <v>128</v>
      </c>
      <c r="J378">
        <v>19</v>
      </c>
      <c r="K378">
        <v>28</v>
      </c>
      <c r="L378">
        <v>22</v>
      </c>
      <c r="M378" t="s">
        <v>503</v>
      </c>
      <c r="N378">
        <v>2400</v>
      </c>
      <c r="O378">
        <v>5</v>
      </c>
      <c r="P378">
        <v>5</v>
      </c>
      <c r="Q378">
        <v>457</v>
      </c>
      <c r="R378">
        <v>319</v>
      </c>
      <c r="S378">
        <v>395</v>
      </c>
      <c r="U378">
        <v>2500</v>
      </c>
      <c r="V378" t="s">
        <v>30</v>
      </c>
      <c r="W378" t="s">
        <v>558</v>
      </c>
      <c r="X378" t="s">
        <v>524</v>
      </c>
    </row>
    <row r="379" spans="1:24" x14ac:dyDescent="0.25">
      <c r="A379">
        <v>2025</v>
      </c>
      <c r="B379" t="s">
        <v>210</v>
      </c>
      <c r="C379" t="s">
        <v>210</v>
      </c>
      <c r="D379" t="s">
        <v>973</v>
      </c>
      <c r="E379">
        <v>3.5</v>
      </c>
      <c r="F379">
        <v>6</v>
      </c>
      <c r="G379" t="s">
        <v>686</v>
      </c>
      <c r="H379">
        <v>9</v>
      </c>
      <c r="I379" t="s">
        <v>28</v>
      </c>
      <c r="J379">
        <v>19</v>
      </c>
      <c r="K379">
        <v>24</v>
      </c>
      <c r="L379">
        <v>21</v>
      </c>
      <c r="M379" t="s">
        <v>118</v>
      </c>
      <c r="N379">
        <v>2500</v>
      </c>
      <c r="O379">
        <v>4</v>
      </c>
      <c r="P379">
        <v>4</v>
      </c>
      <c r="Q379">
        <v>459</v>
      </c>
      <c r="R379">
        <v>364</v>
      </c>
      <c r="S379">
        <v>416</v>
      </c>
      <c r="U379">
        <v>3000</v>
      </c>
      <c r="V379" t="s">
        <v>30</v>
      </c>
      <c r="W379" t="s">
        <v>558</v>
      </c>
      <c r="X379" t="s">
        <v>524</v>
      </c>
    </row>
    <row r="380" spans="1:24" x14ac:dyDescent="0.25">
      <c r="A380">
        <v>2025</v>
      </c>
      <c r="B380" t="s">
        <v>210</v>
      </c>
      <c r="C380" t="s">
        <v>210</v>
      </c>
      <c r="D380" t="s">
        <v>972</v>
      </c>
      <c r="E380">
        <v>3.5</v>
      </c>
      <c r="F380">
        <v>6</v>
      </c>
      <c r="G380" t="s">
        <v>554</v>
      </c>
      <c r="H380">
        <v>10</v>
      </c>
      <c r="I380" t="s">
        <v>28</v>
      </c>
      <c r="J380">
        <v>19</v>
      </c>
      <c r="K380">
        <v>25</v>
      </c>
      <c r="L380">
        <v>21</v>
      </c>
      <c r="M380" t="s">
        <v>29</v>
      </c>
      <c r="N380">
        <v>2500</v>
      </c>
      <c r="O380">
        <v>4</v>
      </c>
      <c r="P380">
        <v>4</v>
      </c>
      <c r="Q380">
        <v>467</v>
      </c>
      <c r="R380">
        <v>351</v>
      </c>
      <c r="S380">
        <v>415</v>
      </c>
      <c r="U380">
        <v>3000</v>
      </c>
      <c r="V380" t="s">
        <v>30</v>
      </c>
      <c r="W380" t="s">
        <v>558</v>
      </c>
      <c r="X380" t="s">
        <v>524</v>
      </c>
    </row>
    <row r="381" spans="1:24" x14ac:dyDescent="0.25">
      <c r="A381">
        <v>2025</v>
      </c>
      <c r="B381" t="s">
        <v>210</v>
      </c>
      <c r="C381" t="s">
        <v>210</v>
      </c>
      <c r="D381" t="s">
        <v>971</v>
      </c>
      <c r="E381">
        <v>3.5</v>
      </c>
      <c r="F381">
        <v>6</v>
      </c>
      <c r="G381" t="s">
        <v>554</v>
      </c>
      <c r="H381">
        <v>10</v>
      </c>
      <c r="I381" t="s">
        <v>28</v>
      </c>
      <c r="J381">
        <v>19</v>
      </c>
      <c r="K381">
        <v>25</v>
      </c>
      <c r="L381">
        <v>21</v>
      </c>
      <c r="M381" t="s">
        <v>29</v>
      </c>
      <c r="N381">
        <v>2500</v>
      </c>
      <c r="O381">
        <v>4</v>
      </c>
      <c r="P381">
        <v>4</v>
      </c>
      <c r="Q381">
        <v>476</v>
      </c>
      <c r="R381">
        <v>356</v>
      </c>
      <c r="S381">
        <v>422</v>
      </c>
      <c r="U381">
        <v>3000</v>
      </c>
      <c r="V381" t="s">
        <v>30</v>
      </c>
      <c r="W381" t="s">
        <v>558</v>
      </c>
      <c r="X381" t="s">
        <v>524</v>
      </c>
    </row>
    <row r="382" spans="1:24" x14ac:dyDescent="0.25">
      <c r="A382">
        <v>2025</v>
      </c>
      <c r="B382" t="s">
        <v>210</v>
      </c>
      <c r="C382" t="s">
        <v>210</v>
      </c>
      <c r="D382" t="s">
        <v>970</v>
      </c>
      <c r="E382">
        <v>3.5</v>
      </c>
      <c r="F382">
        <v>6</v>
      </c>
      <c r="G382" t="s">
        <v>554</v>
      </c>
      <c r="H382">
        <v>10</v>
      </c>
      <c r="I382" t="s">
        <v>28</v>
      </c>
      <c r="J382">
        <v>18</v>
      </c>
      <c r="K382">
        <v>23</v>
      </c>
      <c r="L382">
        <v>20</v>
      </c>
      <c r="M382" t="s">
        <v>29</v>
      </c>
      <c r="N382">
        <v>2600</v>
      </c>
      <c r="O382">
        <v>4</v>
      </c>
      <c r="P382">
        <v>4</v>
      </c>
      <c r="Q382">
        <v>496</v>
      </c>
      <c r="R382">
        <v>382</v>
      </c>
      <c r="S382">
        <v>444</v>
      </c>
      <c r="U382">
        <v>3500</v>
      </c>
      <c r="V382" t="s">
        <v>30</v>
      </c>
      <c r="W382" t="s">
        <v>558</v>
      </c>
      <c r="X382" t="s">
        <v>524</v>
      </c>
    </row>
    <row r="383" spans="1:24" x14ac:dyDescent="0.25">
      <c r="A383">
        <v>2025</v>
      </c>
      <c r="B383" t="s">
        <v>210</v>
      </c>
      <c r="C383" t="s">
        <v>210</v>
      </c>
      <c r="D383" t="s">
        <v>969</v>
      </c>
      <c r="E383">
        <v>3.5</v>
      </c>
      <c r="F383">
        <v>6</v>
      </c>
      <c r="G383" t="s">
        <v>554</v>
      </c>
      <c r="H383">
        <v>10</v>
      </c>
      <c r="I383" t="s">
        <v>128</v>
      </c>
      <c r="J383">
        <v>19</v>
      </c>
      <c r="K383">
        <v>27</v>
      </c>
      <c r="L383">
        <v>22</v>
      </c>
      <c r="M383" t="s">
        <v>115</v>
      </c>
      <c r="N383">
        <v>2400</v>
      </c>
      <c r="O383">
        <v>5</v>
      </c>
      <c r="P383">
        <v>5</v>
      </c>
      <c r="Q383">
        <v>465</v>
      </c>
      <c r="R383">
        <v>326</v>
      </c>
      <c r="S383">
        <v>402</v>
      </c>
      <c r="U383">
        <v>2500</v>
      </c>
      <c r="V383" t="s">
        <v>30</v>
      </c>
      <c r="W383" t="s">
        <v>558</v>
      </c>
      <c r="X383" t="s">
        <v>524</v>
      </c>
    </row>
    <row r="384" spans="1:24" x14ac:dyDescent="0.25">
      <c r="A384">
        <v>2025</v>
      </c>
      <c r="B384" t="s">
        <v>210</v>
      </c>
      <c r="C384" t="s">
        <v>210</v>
      </c>
      <c r="D384" t="s">
        <v>968</v>
      </c>
      <c r="E384">
        <v>3.5</v>
      </c>
      <c r="F384">
        <v>6</v>
      </c>
      <c r="G384" t="s">
        <v>686</v>
      </c>
      <c r="H384">
        <v>9</v>
      </c>
      <c r="I384" t="s">
        <v>28</v>
      </c>
      <c r="J384">
        <v>18</v>
      </c>
      <c r="K384">
        <v>24</v>
      </c>
      <c r="L384">
        <v>21</v>
      </c>
      <c r="M384" t="s">
        <v>135</v>
      </c>
      <c r="N384">
        <v>2500</v>
      </c>
      <c r="O384">
        <v>4</v>
      </c>
      <c r="P384">
        <v>4</v>
      </c>
      <c r="Q384">
        <v>474</v>
      </c>
      <c r="R384">
        <v>375</v>
      </c>
      <c r="S384">
        <v>429</v>
      </c>
      <c r="U384">
        <v>3000</v>
      </c>
      <c r="V384" t="s">
        <v>30</v>
      </c>
      <c r="W384" t="s">
        <v>558</v>
      </c>
      <c r="X384" t="s">
        <v>524</v>
      </c>
    </row>
    <row r="385" spans="1:24" x14ac:dyDescent="0.25">
      <c r="A385">
        <v>2025</v>
      </c>
      <c r="B385" t="s">
        <v>210</v>
      </c>
      <c r="C385" t="s">
        <v>210</v>
      </c>
      <c r="D385" t="s">
        <v>967</v>
      </c>
      <c r="E385">
        <v>3.5</v>
      </c>
      <c r="F385">
        <v>6</v>
      </c>
      <c r="G385" t="s">
        <v>686</v>
      </c>
      <c r="H385">
        <v>9</v>
      </c>
      <c r="I385" t="s">
        <v>28</v>
      </c>
      <c r="J385">
        <v>18</v>
      </c>
      <c r="K385">
        <v>23</v>
      </c>
      <c r="L385">
        <v>20</v>
      </c>
      <c r="M385" t="s">
        <v>135</v>
      </c>
      <c r="N385">
        <v>2600</v>
      </c>
      <c r="O385">
        <v>4</v>
      </c>
      <c r="P385">
        <v>4</v>
      </c>
      <c r="Q385">
        <v>496</v>
      </c>
      <c r="R385">
        <v>386</v>
      </c>
      <c r="S385">
        <v>446</v>
      </c>
      <c r="U385">
        <v>3500</v>
      </c>
      <c r="V385" t="s">
        <v>30</v>
      </c>
      <c r="W385" t="s">
        <v>558</v>
      </c>
      <c r="X385" t="s">
        <v>524</v>
      </c>
    </row>
    <row r="386" spans="1:24" x14ac:dyDescent="0.25">
      <c r="A386">
        <v>2025</v>
      </c>
      <c r="B386" t="s">
        <v>177</v>
      </c>
      <c r="C386" t="s">
        <v>214</v>
      </c>
      <c r="D386" t="s">
        <v>966</v>
      </c>
      <c r="E386">
        <v>2</v>
      </c>
      <c r="F386">
        <v>4</v>
      </c>
      <c r="G386" t="s">
        <v>911</v>
      </c>
      <c r="H386">
        <v>1</v>
      </c>
      <c r="I386" t="s">
        <v>128</v>
      </c>
      <c r="J386">
        <v>30</v>
      </c>
      <c r="K386">
        <v>39</v>
      </c>
      <c r="L386">
        <v>34</v>
      </c>
      <c r="M386" t="s">
        <v>186</v>
      </c>
      <c r="N386">
        <v>1550</v>
      </c>
      <c r="O386">
        <v>7</v>
      </c>
      <c r="P386">
        <v>7</v>
      </c>
      <c r="Q386">
        <v>292</v>
      </c>
      <c r="R386">
        <v>228</v>
      </c>
      <c r="S386">
        <v>263</v>
      </c>
      <c r="T386">
        <v>1750</v>
      </c>
      <c r="V386" t="s">
        <v>30</v>
      </c>
      <c r="W386" t="s">
        <v>558</v>
      </c>
      <c r="X386" t="s">
        <v>565</v>
      </c>
    </row>
    <row r="387" spans="1:24" x14ac:dyDescent="0.25">
      <c r="A387">
        <v>2025</v>
      </c>
      <c r="B387" t="s">
        <v>177</v>
      </c>
      <c r="C387" t="s">
        <v>214</v>
      </c>
      <c r="D387" t="s">
        <v>966</v>
      </c>
      <c r="E387">
        <v>2</v>
      </c>
      <c r="F387">
        <v>4</v>
      </c>
      <c r="G387" t="s">
        <v>911</v>
      </c>
      <c r="H387">
        <v>1</v>
      </c>
      <c r="I387" t="s">
        <v>128</v>
      </c>
      <c r="J387">
        <v>32</v>
      </c>
      <c r="K387">
        <v>41</v>
      </c>
      <c r="L387">
        <v>36</v>
      </c>
      <c r="M387" t="s">
        <v>186</v>
      </c>
      <c r="N387">
        <v>1450</v>
      </c>
      <c r="O387">
        <v>7</v>
      </c>
      <c r="P387">
        <v>7</v>
      </c>
      <c r="Q387">
        <v>272</v>
      </c>
      <c r="R387">
        <v>214</v>
      </c>
      <c r="S387">
        <v>246</v>
      </c>
      <c r="T387">
        <v>2250</v>
      </c>
      <c r="V387" t="s">
        <v>30</v>
      </c>
      <c r="W387" t="s">
        <v>558</v>
      </c>
      <c r="X387" t="s">
        <v>524</v>
      </c>
    </row>
    <row r="388" spans="1:24" x14ac:dyDescent="0.25">
      <c r="A388">
        <v>2025</v>
      </c>
      <c r="B388" t="s">
        <v>177</v>
      </c>
      <c r="C388" t="s">
        <v>214</v>
      </c>
      <c r="D388" t="s">
        <v>966</v>
      </c>
      <c r="E388">
        <v>1.6</v>
      </c>
      <c r="F388">
        <v>4</v>
      </c>
      <c r="G388" t="s">
        <v>543</v>
      </c>
      <c r="H388">
        <v>7</v>
      </c>
      <c r="I388" t="s">
        <v>128</v>
      </c>
      <c r="J388">
        <v>28</v>
      </c>
      <c r="K388">
        <v>35</v>
      </c>
      <c r="L388">
        <v>31</v>
      </c>
      <c r="M388" t="s">
        <v>186</v>
      </c>
      <c r="N388">
        <v>1700</v>
      </c>
      <c r="O388">
        <v>6</v>
      </c>
      <c r="P388">
        <v>6</v>
      </c>
      <c r="Q388">
        <v>313</v>
      </c>
      <c r="R388">
        <v>257</v>
      </c>
      <c r="S388">
        <v>288</v>
      </c>
      <c r="T388">
        <v>1000</v>
      </c>
      <c r="V388" t="s">
        <v>30</v>
      </c>
      <c r="W388" t="s">
        <v>528</v>
      </c>
      <c r="X388" t="s">
        <v>565</v>
      </c>
    </row>
    <row r="389" spans="1:24" x14ac:dyDescent="0.25">
      <c r="A389">
        <v>2025</v>
      </c>
      <c r="B389" t="s">
        <v>177</v>
      </c>
      <c r="C389" t="s">
        <v>214</v>
      </c>
      <c r="D389" t="s">
        <v>965</v>
      </c>
      <c r="E389">
        <v>1.6</v>
      </c>
      <c r="F389">
        <v>4</v>
      </c>
      <c r="G389" t="s">
        <v>893</v>
      </c>
      <c r="H389">
        <v>6</v>
      </c>
      <c r="I389" t="s">
        <v>128</v>
      </c>
      <c r="J389">
        <v>49</v>
      </c>
      <c r="K389">
        <v>52</v>
      </c>
      <c r="L389">
        <v>50</v>
      </c>
      <c r="M389" t="s">
        <v>186</v>
      </c>
      <c r="N389">
        <v>1050</v>
      </c>
      <c r="O389">
        <v>8</v>
      </c>
      <c r="P389">
        <v>8</v>
      </c>
      <c r="Q389">
        <v>180</v>
      </c>
      <c r="R389">
        <v>172</v>
      </c>
      <c r="S389">
        <v>177</v>
      </c>
      <c r="T389">
        <v>4250</v>
      </c>
      <c r="V389" t="s">
        <v>30</v>
      </c>
      <c r="W389" t="s">
        <v>558</v>
      </c>
      <c r="X389" t="s">
        <v>524</v>
      </c>
    </row>
    <row r="390" spans="1:24" x14ac:dyDescent="0.25">
      <c r="A390">
        <v>2025</v>
      </c>
      <c r="B390" t="s">
        <v>177</v>
      </c>
      <c r="C390" t="s">
        <v>214</v>
      </c>
      <c r="D390" t="s">
        <v>964</v>
      </c>
      <c r="E390">
        <v>1.6</v>
      </c>
      <c r="F390">
        <v>4</v>
      </c>
      <c r="G390" t="s">
        <v>893</v>
      </c>
      <c r="H390">
        <v>6</v>
      </c>
      <c r="I390" t="s">
        <v>128</v>
      </c>
      <c r="J390">
        <v>51</v>
      </c>
      <c r="K390">
        <v>58</v>
      </c>
      <c r="L390">
        <v>54</v>
      </c>
      <c r="M390" t="s">
        <v>186</v>
      </c>
      <c r="N390">
        <v>950</v>
      </c>
      <c r="O390">
        <v>8</v>
      </c>
      <c r="P390">
        <v>8</v>
      </c>
      <c r="Q390">
        <v>174</v>
      </c>
      <c r="R390">
        <v>154</v>
      </c>
      <c r="S390">
        <v>165</v>
      </c>
      <c r="T390">
        <v>4750</v>
      </c>
      <c r="V390" t="s">
        <v>30</v>
      </c>
      <c r="W390" t="s">
        <v>558</v>
      </c>
      <c r="X390" t="s">
        <v>524</v>
      </c>
    </row>
    <row r="391" spans="1:24" x14ac:dyDescent="0.25">
      <c r="A391">
        <v>2025</v>
      </c>
      <c r="B391" t="s">
        <v>177</v>
      </c>
      <c r="C391" t="s">
        <v>214</v>
      </c>
      <c r="D391" t="s">
        <v>963</v>
      </c>
      <c r="E391">
        <v>2</v>
      </c>
      <c r="F391">
        <v>4</v>
      </c>
      <c r="G391" t="s">
        <v>648</v>
      </c>
      <c r="H391">
        <v>8</v>
      </c>
      <c r="I391" t="s">
        <v>128</v>
      </c>
      <c r="J391">
        <v>20</v>
      </c>
      <c r="K391">
        <v>27</v>
      </c>
      <c r="L391">
        <v>23</v>
      </c>
      <c r="M391" t="s">
        <v>186</v>
      </c>
      <c r="N391">
        <v>2750</v>
      </c>
      <c r="O391">
        <v>5</v>
      </c>
      <c r="P391">
        <v>5</v>
      </c>
      <c r="Q391">
        <v>446</v>
      </c>
      <c r="R391">
        <v>326</v>
      </c>
      <c r="S391">
        <v>392</v>
      </c>
      <c r="U391">
        <v>4250</v>
      </c>
      <c r="V391" t="s">
        <v>30</v>
      </c>
      <c r="W391" t="s">
        <v>528</v>
      </c>
      <c r="X391" t="s">
        <v>565</v>
      </c>
    </row>
    <row r="392" spans="1:24" x14ac:dyDescent="0.25">
      <c r="A392">
        <v>2025</v>
      </c>
      <c r="B392" t="s">
        <v>177</v>
      </c>
      <c r="C392" t="s">
        <v>214</v>
      </c>
      <c r="D392" t="s">
        <v>963</v>
      </c>
      <c r="E392">
        <v>2</v>
      </c>
      <c r="F392">
        <v>4</v>
      </c>
      <c r="G392" t="s">
        <v>546</v>
      </c>
      <c r="H392">
        <v>6</v>
      </c>
      <c r="I392" t="s">
        <v>128</v>
      </c>
      <c r="J392">
        <v>21</v>
      </c>
      <c r="K392">
        <v>29</v>
      </c>
      <c r="L392">
        <v>24</v>
      </c>
      <c r="M392" t="s">
        <v>186</v>
      </c>
      <c r="N392">
        <v>2650</v>
      </c>
      <c r="O392">
        <v>5</v>
      </c>
      <c r="P392">
        <v>5</v>
      </c>
      <c r="Q392">
        <v>414</v>
      </c>
      <c r="R392">
        <v>307</v>
      </c>
      <c r="S392">
        <v>366</v>
      </c>
      <c r="U392">
        <v>3750</v>
      </c>
      <c r="V392" t="s">
        <v>30</v>
      </c>
      <c r="W392" t="s">
        <v>528</v>
      </c>
      <c r="X392" t="s">
        <v>565</v>
      </c>
    </row>
    <row r="393" spans="1:24" x14ac:dyDescent="0.25">
      <c r="A393">
        <v>2025</v>
      </c>
      <c r="B393" t="s">
        <v>177</v>
      </c>
      <c r="C393" t="s">
        <v>214</v>
      </c>
      <c r="D393" t="s">
        <v>962</v>
      </c>
      <c r="E393">
        <v>1.6</v>
      </c>
      <c r="F393">
        <v>4</v>
      </c>
      <c r="G393" t="s">
        <v>526</v>
      </c>
      <c r="H393">
        <v>8</v>
      </c>
      <c r="I393" t="s">
        <v>28</v>
      </c>
      <c r="J393">
        <v>24</v>
      </c>
      <c r="K393">
        <v>29</v>
      </c>
      <c r="L393">
        <v>26</v>
      </c>
      <c r="M393" t="s">
        <v>118</v>
      </c>
      <c r="N393">
        <v>2000</v>
      </c>
      <c r="O393">
        <v>5</v>
      </c>
      <c r="P393">
        <v>5</v>
      </c>
      <c r="Q393">
        <v>365</v>
      </c>
      <c r="R393">
        <v>309</v>
      </c>
      <c r="S393">
        <v>339</v>
      </c>
      <c r="U393">
        <v>500</v>
      </c>
      <c r="V393" t="s">
        <v>30</v>
      </c>
      <c r="W393" t="s">
        <v>528</v>
      </c>
      <c r="X393" t="s">
        <v>565</v>
      </c>
    </row>
    <row r="394" spans="1:24" x14ac:dyDescent="0.25">
      <c r="A394">
        <v>2025</v>
      </c>
      <c r="B394" t="s">
        <v>177</v>
      </c>
      <c r="C394" t="s">
        <v>214</v>
      </c>
      <c r="D394" t="s">
        <v>962</v>
      </c>
      <c r="E394">
        <v>2</v>
      </c>
      <c r="F394">
        <v>4</v>
      </c>
      <c r="G394" t="s">
        <v>911</v>
      </c>
      <c r="H394">
        <v>1</v>
      </c>
      <c r="I394" t="s">
        <v>28</v>
      </c>
      <c r="J394">
        <v>26</v>
      </c>
      <c r="K394">
        <v>29</v>
      </c>
      <c r="L394">
        <v>27</v>
      </c>
      <c r="M394" t="s">
        <v>118</v>
      </c>
      <c r="N394">
        <v>1950</v>
      </c>
      <c r="O394">
        <v>5</v>
      </c>
      <c r="P394">
        <v>5</v>
      </c>
      <c r="Q394">
        <v>341</v>
      </c>
      <c r="R394">
        <v>300</v>
      </c>
      <c r="S394">
        <v>323</v>
      </c>
      <c r="U394">
        <v>250</v>
      </c>
      <c r="V394" t="s">
        <v>30</v>
      </c>
      <c r="W394" t="s">
        <v>558</v>
      </c>
      <c r="X394" t="s">
        <v>565</v>
      </c>
    </row>
    <row r="395" spans="1:24" x14ac:dyDescent="0.25">
      <c r="A395">
        <v>2025</v>
      </c>
      <c r="B395" t="s">
        <v>177</v>
      </c>
      <c r="C395" t="s">
        <v>214</v>
      </c>
      <c r="D395" t="s">
        <v>962</v>
      </c>
      <c r="E395">
        <v>2</v>
      </c>
      <c r="F395">
        <v>4</v>
      </c>
      <c r="G395" t="s">
        <v>911</v>
      </c>
      <c r="H395">
        <v>1</v>
      </c>
      <c r="I395" t="s">
        <v>28</v>
      </c>
      <c r="J395">
        <v>27</v>
      </c>
      <c r="K395">
        <v>29</v>
      </c>
      <c r="L395">
        <v>28</v>
      </c>
      <c r="M395" t="s">
        <v>118</v>
      </c>
      <c r="N395">
        <v>1900</v>
      </c>
      <c r="O395">
        <v>6</v>
      </c>
      <c r="P395">
        <v>6</v>
      </c>
      <c r="Q395">
        <v>332</v>
      </c>
      <c r="R395">
        <v>302</v>
      </c>
      <c r="S395">
        <v>319</v>
      </c>
      <c r="T395">
        <v>0</v>
      </c>
      <c r="V395" t="s">
        <v>30</v>
      </c>
      <c r="W395" t="s">
        <v>558</v>
      </c>
      <c r="X395" t="s">
        <v>524</v>
      </c>
    </row>
    <row r="396" spans="1:24" x14ac:dyDescent="0.25">
      <c r="A396">
        <v>2025</v>
      </c>
      <c r="B396" t="s">
        <v>177</v>
      </c>
      <c r="C396" t="s">
        <v>214</v>
      </c>
      <c r="D396" t="s">
        <v>961</v>
      </c>
      <c r="E396">
        <v>1.6</v>
      </c>
      <c r="F396">
        <v>4</v>
      </c>
      <c r="G396" t="s">
        <v>526</v>
      </c>
      <c r="H396">
        <v>8</v>
      </c>
      <c r="I396" t="s">
        <v>128</v>
      </c>
      <c r="J396">
        <v>26</v>
      </c>
      <c r="K396">
        <v>32</v>
      </c>
      <c r="L396">
        <v>28</v>
      </c>
      <c r="M396" t="s">
        <v>115</v>
      </c>
      <c r="N396">
        <v>1900</v>
      </c>
      <c r="O396">
        <v>6</v>
      </c>
      <c r="P396">
        <v>6</v>
      </c>
      <c r="Q396">
        <v>345</v>
      </c>
      <c r="R396">
        <v>279</v>
      </c>
      <c r="S396">
        <v>315</v>
      </c>
      <c r="T396">
        <v>0</v>
      </c>
      <c r="V396" t="s">
        <v>30</v>
      </c>
      <c r="W396" t="s">
        <v>528</v>
      </c>
      <c r="X396" t="s">
        <v>565</v>
      </c>
    </row>
    <row r="397" spans="1:24" x14ac:dyDescent="0.25">
      <c r="A397">
        <v>2025</v>
      </c>
      <c r="B397" t="s">
        <v>177</v>
      </c>
      <c r="C397" t="s">
        <v>214</v>
      </c>
      <c r="D397" t="s">
        <v>961</v>
      </c>
      <c r="E397">
        <v>2</v>
      </c>
      <c r="F397">
        <v>4</v>
      </c>
      <c r="G397" t="s">
        <v>911</v>
      </c>
      <c r="H397">
        <v>1</v>
      </c>
      <c r="I397" t="s">
        <v>128</v>
      </c>
      <c r="J397">
        <v>28</v>
      </c>
      <c r="K397">
        <v>35</v>
      </c>
      <c r="L397">
        <v>31</v>
      </c>
      <c r="M397" t="s">
        <v>115</v>
      </c>
      <c r="N397">
        <v>1700</v>
      </c>
      <c r="O397">
        <v>6</v>
      </c>
      <c r="P397">
        <v>6</v>
      </c>
      <c r="Q397">
        <v>316</v>
      </c>
      <c r="R397">
        <v>255</v>
      </c>
      <c r="S397">
        <v>288</v>
      </c>
      <c r="T397">
        <v>1000</v>
      </c>
      <c r="V397" t="s">
        <v>30</v>
      </c>
      <c r="W397" t="s">
        <v>558</v>
      </c>
      <c r="X397" t="s">
        <v>565</v>
      </c>
    </row>
    <row r="398" spans="1:24" x14ac:dyDescent="0.25">
      <c r="A398">
        <v>2025</v>
      </c>
      <c r="B398" t="s">
        <v>177</v>
      </c>
      <c r="C398" t="s">
        <v>214</v>
      </c>
      <c r="D398" t="s">
        <v>961</v>
      </c>
      <c r="E398">
        <v>2</v>
      </c>
      <c r="F398">
        <v>4</v>
      </c>
      <c r="G398" t="s">
        <v>911</v>
      </c>
      <c r="H398">
        <v>1</v>
      </c>
      <c r="I398" t="s">
        <v>128</v>
      </c>
      <c r="J398">
        <v>29</v>
      </c>
      <c r="K398">
        <v>34</v>
      </c>
      <c r="L398">
        <v>31</v>
      </c>
      <c r="M398" t="s">
        <v>115</v>
      </c>
      <c r="N398">
        <v>1700</v>
      </c>
      <c r="O398">
        <v>6</v>
      </c>
      <c r="P398">
        <v>6</v>
      </c>
      <c r="Q398">
        <v>305</v>
      </c>
      <c r="R398">
        <v>258</v>
      </c>
      <c r="S398">
        <v>284</v>
      </c>
      <c r="T398">
        <v>1000</v>
      </c>
      <c r="V398" t="s">
        <v>30</v>
      </c>
      <c r="W398" t="s">
        <v>558</v>
      </c>
      <c r="X398" t="s">
        <v>524</v>
      </c>
    </row>
    <row r="399" spans="1:24" x14ac:dyDescent="0.25">
      <c r="A399">
        <v>2025</v>
      </c>
      <c r="B399" t="s">
        <v>177</v>
      </c>
      <c r="C399" t="s">
        <v>214</v>
      </c>
      <c r="D399" t="s">
        <v>960</v>
      </c>
      <c r="E399">
        <v>3.8</v>
      </c>
      <c r="F399">
        <v>6</v>
      </c>
      <c r="G399" t="s">
        <v>526</v>
      </c>
      <c r="H399">
        <v>8</v>
      </c>
      <c r="I399" t="s">
        <v>28</v>
      </c>
      <c r="J399">
        <v>19</v>
      </c>
      <c r="K399">
        <v>24</v>
      </c>
      <c r="L399">
        <v>21</v>
      </c>
      <c r="M399" t="s">
        <v>118</v>
      </c>
      <c r="N399">
        <v>2500</v>
      </c>
      <c r="O399">
        <v>4</v>
      </c>
      <c r="P399">
        <v>4</v>
      </c>
      <c r="Q399">
        <v>462</v>
      </c>
      <c r="R399">
        <v>367</v>
      </c>
      <c r="S399">
        <v>420</v>
      </c>
      <c r="U399">
        <v>3000</v>
      </c>
      <c r="V399" t="s">
        <v>30</v>
      </c>
      <c r="W399" t="s">
        <v>558</v>
      </c>
      <c r="X399" t="s">
        <v>524</v>
      </c>
    </row>
    <row r="400" spans="1:24" x14ac:dyDescent="0.25">
      <c r="A400">
        <v>2025</v>
      </c>
      <c r="B400" t="s">
        <v>177</v>
      </c>
      <c r="C400" t="s">
        <v>214</v>
      </c>
      <c r="D400" t="s">
        <v>959</v>
      </c>
      <c r="E400">
        <v>3.8</v>
      </c>
      <c r="F400">
        <v>6</v>
      </c>
      <c r="G400" t="s">
        <v>526</v>
      </c>
      <c r="H400">
        <v>8</v>
      </c>
      <c r="I400" t="s">
        <v>128</v>
      </c>
      <c r="J400">
        <v>19</v>
      </c>
      <c r="K400">
        <v>26</v>
      </c>
      <c r="L400">
        <v>22</v>
      </c>
      <c r="M400" t="s">
        <v>115</v>
      </c>
      <c r="N400">
        <v>2400</v>
      </c>
      <c r="O400">
        <v>5</v>
      </c>
      <c r="P400">
        <v>5</v>
      </c>
      <c r="Q400">
        <v>458</v>
      </c>
      <c r="R400">
        <v>336</v>
      </c>
      <c r="S400">
        <v>403</v>
      </c>
      <c r="U400">
        <v>2500</v>
      </c>
      <c r="V400" t="s">
        <v>30</v>
      </c>
      <c r="W400" t="s">
        <v>558</v>
      </c>
      <c r="X400" t="s">
        <v>524</v>
      </c>
    </row>
    <row r="401" spans="1:24" x14ac:dyDescent="0.25">
      <c r="A401">
        <v>2025</v>
      </c>
      <c r="B401" t="s">
        <v>177</v>
      </c>
      <c r="C401" t="s">
        <v>214</v>
      </c>
      <c r="D401" t="s">
        <v>958</v>
      </c>
      <c r="E401">
        <v>2.5</v>
      </c>
      <c r="F401">
        <v>4</v>
      </c>
      <c r="G401" t="s">
        <v>526</v>
      </c>
      <c r="H401">
        <v>8</v>
      </c>
      <c r="I401" t="s">
        <v>28</v>
      </c>
      <c r="J401">
        <v>21</v>
      </c>
      <c r="K401">
        <v>29</v>
      </c>
      <c r="L401">
        <v>24</v>
      </c>
      <c r="M401" t="s">
        <v>118</v>
      </c>
      <c r="N401">
        <v>2200</v>
      </c>
      <c r="O401">
        <v>5</v>
      </c>
      <c r="P401">
        <v>5</v>
      </c>
      <c r="Q401">
        <v>415</v>
      </c>
      <c r="R401">
        <v>309</v>
      </c>
      <c r="S401">
        <v>367</v>
      </c>
      <c r="U401">
        <v>1500</v>
      </c>
      <c r="V401" t="s">
        <v>30</v>
      </c>
      <c r="W401" t="s">
        <v>558</v>
      </c>
      <c r="X401" t="s">
        <v>565</v>
      </c>
    </row>
    <row r="402" spans="1:24" x14ac:dyDescent="0.25">
      <c r="A402">
        <v>2025</v>
      </c>
      <c r="B402" t="s">
        <v>177</v>
      </c>
      <c r="C402" t="s">
        <v>214</v>
      </c>
      <c r="D402" t="s">
        <v>958</v>
      </c>
      <c r="E402">
        <v>2.5</v>
      </c>
      <c r="F402">
        <v>4</v>
      </c>
      <c r="G402" t="s">
        <v>648</v>
      </c>
      <c r="H402">
        <v>8</v>
      </c>
      <c r="I402" t="s">
        <v>28</v>
      </c>
      <c r="J402">
        <v>19</v>
      </c>
      <c r="K402">
        <v>27</v>
      </c>
      <c r="L402">
        <v>22</v>
      </c>
      <c r="M402" t="s">
        <v>118</v>
      </c>
      <c r="N402">
        <v>2400</v>
      </c>
      <c r="O402">
        <v>5</v>
      </c>
      <c r="P402">
        <v>5</v>
      </c>
      <c r="Q402">
        <v>470</v>
      </c>
      <c r="R402">
        <v>327</v>
      </c>
      <c r="S402">
        <v>406</v>
      </c>
      <c r="U402">
        <v>2500</v>
      </c>
      <c r="V402" t="s">
        <v>30</v>
      </c>
      <c r="W402" t="s">
        <v>528</v>
      </c>
      <c r="X402" t="s">
        <v>565</v>
      </c>
    </row>
    <row r="403" spans="1:24" x14ac:dyDescent="0.25">
      <c r="A403">
        <v>2025</v>
      </c>
      <c r="B403" t="s">
        <v>177</v>
      </c>
      <c r="C403" t="s">
        <v>214</v>
      </c>
      <c r="D403" t="s">
        <v>957</v>
      </c>
      <c r="E403">
        <v>2.5</v>
      </c>
      <c r="F403">
        <v>4</v>
      </c>
      <c r="G403" t="s">
        <v>526</v>
      </c>
      <c r="H403">
        <v>8</v>
      </c>
      <c r="I403" t="s">
        <v>128</v>
      </c>
      <c r="J403">
        <v>22</v>
      </c>
      <c r="K403">
        <v>30</v>
      </c>
      <c r="L403">
        <v>25</v>
      </c>
      <c r="M403" t="s">
        <v>115</v>
      </c>
      <c r="N403">
        <v>2100</v>
      </c>
      <c r="O403">
        <v>5</v>
      </c>
      <c r="P403">
        <v>5</v>
      </c>
      <c r="Q403">
        <v>405</v>
      </c>
      <c r="R403">
        <v>296</v>
      </c>
      <c r="S403">
        <v>356</v>
      </c>
      <c r="U403">
        <v>1000</v>
      </c>
      <c r="V403" t="s">
        <v>30</v>
      </c>
      <c r="W403" t="s">
        <v>558</v>
      </c>
      <c r="X403" t="s">
        <v>565</v>
      </c>
    </row>
    <row r="404" spans="1:24" x14ac:dyDescent="0.25">
      <c r="A404">
        <v>2025</v>
      </c>
      <c r="B404" t="s">
        <v>177</v>
      </c>
      <c r="C404" t="s">
        <v>214</v>
      </c>
      <c r="D404" t="s">
        <v>956</v>
      </c>
      <c r="E404">
        <v>2.5</v>
      </c>
      <c r="F404">
        <v>4</v>
      </c>
      <c r="G404" t="s">
        <v>648</v>
      </c>
      <c r="H404">
        <v>8</v>
      </c>
      <c r="I404" t="s">
        <v>28</v>
      </c>
      <c r="J404">
        <v>18</v>
      </c>
      <c r="K404">
        <v>26</v>
      </c>
      <c r="L404">
        <v>21</v>
      </c>
      <c r="M404" t="s">
        <v>118</v>
      </c>
      <c r="N404">
        <v>2500</v>
      </c>
      <c r="O404">
        <v>4</v>
      </c>
      <c r="P404">
        <v>4</v>
      </c>
      <c r="Q404">
        <v>485</v>
      </c>
      <c r="R404">
        <v>338</v>
      </c>
      <c r="S404">
        <v>419</v>
      </c>
      <c r="U404">
        <v>3000</v>
      </c>
      <c r="V404" t="s">
        <v>30</v>
      </c>
      <c r="W404" t="s">
        <v>528</v>
      </c>
      <c r="X404" t="s">
        <v>565</v>
      </c>
    </row>
    <row r="405" spans="1:24" x14ac:dyDescent="0.25">
      <c r="A405">
        <v>2025</v>
      </c>
      <c r="B405" t="s">
        <v>177</v>
      </c>
      <c r="C405" t="s">
        <v>214</v>
      </c>
      <c r="D405" t="s">
        <v>955</v>
      </c>
      <c r="E405">
        <v>2.5</v>
      </c>
      <c r="F405">
        <v>4</v>
      </c>
      <c r="G405" t="s">
        <v>648</v>
      </c>
      <c r="H405">
        <v>8</v>
      </c>
      <c r="I405" t="s">
        <v>28</v>
      </c>
      <c r="J405">
        <v>20</v>
      </c>
      <c r="K405">
        <v>28</v>
      </c>
      <c r="L405">
        <v>23</v>
      </c>
      <c r="M405" t="s">
        <v>118</v>
      </c>
      <c r="N405">
        <v>2300</v>
      </c>
      <c r="O405">
        <v>5</v>
      </c>
      <c r="P405">
        <v>5</v>
      </c>
      <c r="Q405">
        <v>449</v>
      </c>
      <c r="R405">
        <v>319</v>
      </c>
      <c r="S405">
        <v>390</v>
      </c>
      <c r="U405">
        <v>2000</v>
      </c>
      <c r="V405" t="s">
        <v>30</v>
      </c>
      <c r="W405" t="s">
        <v>528</v>
      </c>
      <c r="X405" t="s">
        <v>524</v>
      </c>
    </row>
    <row r="406" spans="1:24" x14ac:dyDescent="0.25">
      <c r="A406">
        <v>2025</v>
      </c>
      <c r="B406" t="s">
        <v>177</v>
      </c>
      <c r="C406" t="s">
        <v>214</v>
      </c>
      <c r="D406" t="s">
        <v>954</v>
      </c>
      <c r="E406">
        <v>2.5</v>
      </c>
      <c r="F406">
        <v>4</v>
      </c>
      <c r="G406" t="s">
        <v>648</v>
      </c>
      <c r="H406">
        <v>8</v>
      </c>
      <c r="I406" t="s">
        <v>28</v>
      </c>
      <c r="J406">
        <v>19</v>
      </c>
      <c r="K406">
        <v>26</v>
      </c>
      <c r="L406">
        <v>22</v>
      </c>
      <c r="M406" t="s">
        <v>118</v>
      </c>
      <c r="N406">
        <v>2400</v>
      </c>
      <c r="O406">
        <v>5</v>
      </c>
      <c r="P406">
        <v>5</v>
      </c>
      <c r="Q406">
        <v>461</v>
      </c>
      <c r="R406">
        <v>346</v>
      </c>
      <c r="S406">
        <v>409</v>
      </c>
      <c r="U406">
        <v>2500</v>
      </c>
      <c r="V406" t="s">
        <v>30</v>
      </c>
      <c r="W406" t="s">
        <v>528</v>
      </c>
      <c r="X406" t="s">
        <v>524</v>
      </c>
    </row>
    <row r="407" spans="1:24" x14ac:dyDescent="0.25">
      <c r="A407">
        <v>2025</v>
      </c>
      <c r="B407" t="s">
        <v>177</v>
      </c>
      <c r="C407" t="s">
        <v>214</v>
      </c>
      <c r="D407" t="s">
        <v>953</v>
      </c>
      <c r="E407">
        <v>2.5</v>
      </c>
      <c r="F407">
        <v>4</v>
      </c>
      <c r="G407" t="s">
        <v>648</v>
      </c>
      <c r="H407">
        <v>8</v>
      </c>
      <c r="I407" t="s">
        <v>128</v>
      </c>
      <c r="J407">
        <v>20</v>
      </c>
      <c r="K407">
        <v>29</v>
      </c>
      <c r="L407">
        <v>24</v>
      </c>
      <c r="M407" t="s">
        <v>115</v>
      </c>
      <c r="N407">
        <v>2200</v>
      </c>
      <c r="O407">
        <v>5</v>
      </c>
      <c r="P407">
        <v>5</v>
      </c>
      <c r="Q407">
        <v>435</v>
      </c>
      <c r="R407">
        <v>303</v>
      </c>
      <c r="S407">
        <v>376</v>
      </c>
      <c r="U407">
        <v>1500</v>
      </c>
      <c r="V407" t="s">
        <v>30</v>
      </c>
      <c r="W407" t="s">
        <v>528</v>
      </c>
      <c r="X407" t="s">
        <v>524</v>
      </c>
    </row>
    <row r="408" spans="1:24" x14ac:dyDescent="0.25">
      <c r="A408">
        <v>2025</v>
      </c>
      <c r="B408" t="s">
        <v>177</v>
      </c>
      <c r="C408" t="s">
        <v>214</v>
      </c>
      <c r="D408" t="s">
        <v>952</v>
      </c>
      <c r="E408">
        <v>1.6</v>
      </c>
      <c r="F408">
        <v>4</v>
      </c>
      <c r="G408" t="s">
        <v>893</v>
      </c>
      <c r="H408">
        <v>6</v>
      </c>
      <c r="I408" t="s">
        <v>28</v>
      </c>
      <c r="J408">
        <v>35</v>
      </c>
      <c r="K408">
        <v>34</v>
      </c>
      <c r="L408">
        <v>34</v>
      </c>
      <c r="M408" t="s">
        <v>118</v>
      </c>
      <c r="N408">
        <v>1550</v>
      </c>
      <c r="O408">
        <v>7</v>
      </c>
      <c r="P408">
        <v>7</v>
      </c>
      <c r="Q408">
        <v>255</v>
      </c>
      <c r="R408">
        <v>262</v>
      </c>
      <c r="S408">
        <v>258</v>
      </c>
      <c r="T408">
        <v>1750</v>
      </c>
      <c r="V408" t="s">
        <v>30</v>
      </c>
      <c r="W408" t="s">
        <v>528</v>
      </c>
      <c r="X408" t="s">
        <v>524</v>
      </c>
    </row>
    <row r="409" spans="1:24" x14ac:dyDescent="0.25">
      <c r="A409">
        <v>2025</v>
      </c>
      <c r="B409" t="s">
        <v>177</v>
      </c>
      <c r="C409" t="s">
        <v>214</v>
      </c>
      <c r="D409" t="s">
        <v>951</v>
      </c>
      <c r="E409">
        <v>1.6</v>
      </c>
      <c r="F409">
        <v>4</v>
      </c>
      <c r="G409" t="s">
        <v>893</v>
      </c>
      <c r="H409">
        <v>6</v>
      </c>
      <c r="I409" t="s">
        <v>128</v>
      </c>
      <c r="J409">
        <v>36</v>
      </c>
      <c r="K409">
        <v>35</v>
      </c>
      <c r="L409">
        <v>36</v>
      </c>
      <c r="M409" t="s">
        <v>115</v>
      </c>
      <c r="N409">
        <v>1450</v>
      </c>
      <c r="O409">
        <v>7</v>
      </c>
      <c r="P409">
        <v>7</v>
      </c>
      <c r="Q409">
        <v>246</v>
      </c>
      <c r="R409">
        <v>252</v>
      </c>
      <c r="S409">
        <v>249</v>
      </c>
      <c r="T409">
        <v>2250</v>
      </c>
      <c r="V409" t="s">
        <v>30</v>
      </c>
      <c r="W409" t="s">
        <v>528</v>
      </c>
      <c r="X409" t="s">
        <v>524</v>
      </c>
    </row>
    <row r="410" spans="1:24" x14ac:dyDescent="0.25">
      <c r="A410">
        <v>2025</v>
      </c>
      <c r="B410" t="s">
        <v>177</v>
      </c>
      <c r="C410" t="s">
        <v>214</v>
      </c>
      <c r="D410" t="s">
        <v>950</v>
      </c>
      <c r="E410">
        <v>2.5</v>
      </c>
      <c r="F410">
        <v>4</v>
      </c>
      <c r="G410" t="s">
        <v>526</v>
      </c>
      <c r="H410">
        <v>8</v>
      </c>
      <c r="I410" t="s">
        <v>28</v>
      </c>
      <c r="J410">
        <v>25</v>
      </c>
      <c r="K410">
        <v>34</v>
      </c>
      <c r="L410">
        <v>28</v>
      </c>
      <c r="M410" t="s">
        <v>95</v>
      </c>
      <c r="N410">
        <v>1900</v>
      </c>
      <c r="O410">
        <v>6</v>
      </c>
      <c r="P410">
        <v>6</v>
      </c>
      <c r="Q410">
        <v>361</v>
      </c>
      <c r="R410">
        <v>260</v>
      </c>
      <c r="S410">
        <v>316</v>
      </c>
      <c r="T410">
        <v>0</v>
      </c>
      <c r="V410" t="s">
        <v>30</v>
      </c>
      <c r="W410" t="s">
        <v>558</v>
      </c>
      <c r="X410" t="s">
        <v>565</v>
      </c>
    </row>
    <row r="411" spans="1:24" x14ac:dyDescent="0.25">
      <c r="A411">
        <v>2025</v>
      </c>
      <c r="B411" t="s">
        <v>177</v>
      </c>
      <c r="C411" t="s">
        <v>214</v>
      </c>
      <c r="D411" t="s">
        <v>949</v>
      </c>
      <c r="E411">
        <v>2.5</v>
      </c>
      <c r="F411">
        <v>4</v>
      </c>
      <c r="G411" t="s">
        <v>526</v>
      </c>
      <c r="H411">
        <v>8</v>
      </c>
      <c r="I411" t="s">
        <v>128</v>
      </c>
      <c r="J411">
        <v>25</v>
      </c>
      <c r="K411">
        <v>36</v>
      </c>
      <c r="L411">
        <v>29</v>
      </c>
      <c r="M411" t="s">
        <v>95</v>
      </c>
      <c r="N411">
        <v>1800</v>
      </c>
      <c r="O411">
        <v>6</v>
      </c>
      <c r="P411">
        <v>6</v>
      </c>
      <c r="Q411">
        <v>354</v>
      </c>
      <c r="R411">
        <v>245</v>
      </c>
      <c r="S411">
        <v>305</v>
      </c>
      <c r="T411">
        <v>500</v>
      </c>
      <c r="V411" t="s">
        <v>30</v>
      </c>
      <c r="W411" t="s">
        <v>558</v>
      </c>
      <c r="X411" t="s">
        <v>565</v>
      </c>
    </row>
    <row r="412" spans="1:24" x14ac:dyDescent="0.25">
      <c r="A412">
        <v>2025</v>
      </c>
      <c r="B412" t="s">
        <v>177</v>
      </c>
      <c r="C412" t="s">
        <v>214</v>
      </c>
      <c r="D412" t="s">
        <v>949</v>
      </c>
      <c r="E412">
        <v>2.5</v>
      </c>
      <c r="F412">
        <v>4</v>
      </c>
      <c r="G412" t="s">
        <v>526</v>
      </c>
      <c r="H412">
        <v>8</v>
      </c>
      <c r="I412" t="s">
        <v>128</v>
      </c>
      <c r="J412">
        <v>28</v>
      </c>
      <c r="K412">
        <v>38</v>
      </c>
      <c r="L412">
        <v>32</v>
      </c>
      <c r="M412" t="s">
        <v>95</v>
      </c>
      <c r="N412">
        <v>1650</v>
      </c>
      <c r="O412">
        <v>6</v>
      </c>
      <c r="P412">
        <v>6</v>
      </c>
      <c r="Q412">
        <v>322</v>
      </c>
      <c r="R412">
        <v>232</v>
      </c>
      <c r="S412">
        <v>281</v>
      </c>
      <c r="T412">
        <v>1250</v>
      </c>
      <c r="V412" t="s">
        <v>30</v>
      </c>
      <c r="W412" t="s">
        <v>558</v>
      </c>
      <c r="X412" t="s">
        <v>524</v>
      </c>
    </row>
    <row r="413" spans="1:24" x14ac:dyDescent="0.25">
      <c r="A413">
        <v>2025</v>
      </c>
      <c r="B413" t="s">
        <v>177</v>
      </c>
      <c r="C413" t="s">
        <v>214</v>
      </c>
      <c r="D413" t="s">
        <v>949</v>
      </c>
      <c r="E413">
        <v>2.5</v>
      </c>
      <c r="F413">
        <v>4</v>
      </c>
      <c r="G413" t="s">
        <v>648</v>
      </c>
      <c r="H413">
        <v>8</v>
      </c>
      <c r="I413" t="s">
        <v>128</v>
      </c>
      <c r="J413">
        <v>23</v>
      </c>
      <c r="K413">
        <v>32</v>
      </c>
      <c r="L413">
        <v>27</v>
      </c>
      <c r="M413" t="s">
        <v>95</v>
      </c>
      <c r="N413">
        <v>1950</v>
      </c>
      <c r="O413">
        <v>5</v>
      </c>
      <c r="P413">
        <v>5</v>
      </c>
      <c r="Q413">
        <v>378</v>
      </c>
      <c r="R413">
        <v>277</v>
      </c>
      <c r="S413">
        <v>333</v>
      </c>
      <c r="U413">
        <v>250</v>
      </c>
      <c r="V413" t="s">
        <v>30</v>
      </c>
      <c r="W413" t="s">
        <v>528</v>
      </c>
      <c r="X413" t="s">
        <v>565</v>
      </c>
    </row>
    <row r="414" spans="1:24" x14ac:dyDescent="0.25">
      <c r="A414">
        <v>2025</v>
      </c>
      <c r="B414" t="s">
        <v>177</v>
      </c>
      <c r="C414" t="s">
        <v>214</v>
      </c>
      <c r="D414" t="s">
        <v>948</v>
      </c>
      <c r="E414">
        <v>2</v>
      </c>
      <c r="F414">
        <v>4</v>
      </c>
      <c r="G414" t="s">
        <v>893</v>
      </c>
      <c r="H414">
        <v>6</v>
      </c>
      <c r="I414" t="s">
        <v>128</v>
      </c>
      <c r="J414">
        <v>44</v>
      </c>
      <c r="K414">
        <v>51</v>
      </c>
      <c r="L414">
        <v>47</v>
      </c>
      <c r="M414" t="s">
        <v>95</v>
      </c>
      <c r="N414">
        <v>1100</v>
      </c>
      <c r="O414">
        <v>8</v>
      </c>
      <c r="P414">
        <v>8</v>
      </c>
      <c r="Q414">
        <v>199</v>
      </c>
      <c r="R414">
        <v>174</v>
      </c>
      <c r="S414">
        <v>188</v>
      </c>
      <c r="T414">
        <v>4000</v>
      </c>
      <c r="V414" t="s">
        <v>30</v>
      </c>
      <c r="W414" t="s">
        <v>558</v>
      </c>
      <c r="X414" t="s">
        <v>524</v>
      </c>
    </row>
    <row r="415" spans="1:24" x14ac:dyDescent="0.25">
      <c r="A415">
        <v>2025</v>
      </c>
      <c r="B415" t="s">
        <v>177</v>
      </c>
      <c r="C415" t="s">
        <v>214</v>
      </c>
      <c r="D415" t="s">
        <v>947</v>
      </c>
      <c r="E415">
        <v>2.5</v>
      </c>
      <c r="F415">
        <v>4</v>
      </c>
      <c r="G415" t="s">
        <v>526</v>
      </c>
      <c r="H415">
        <v>8</v>
      </c>
      <c r="I415" t="s">
        <v>28</v>
      </c>
      <c r="J415">
        <v>24</v>
      </c>
      <c r="K415">
        <v>30</v>
      </c>
      <c r="L415">
        <v>26</v>
      </c>
      <c r="M415" t="s">
        <v>118</v>
      </c>
      <c r="N415">
        <v>2000</v>
      </c>
      <c r="O415">
        <v>5</v>
      </c>
      <c r="P415">
        <v>5</v>
      </c>
      <c r="Q415">
        <v>372</v>
      </c>
      <c r="R415">
        <v>299</v>
      </c>
      <c r="S415">
        <v>339</v>
      </c>
      <c r="U415">
        <v>500</v>
      </c>
      <c r="V415" t="s">
        <v>30</v>
      </c>
      <c r="W415" t="s">
        <v>558</v>
      </c>
      <c r="X415" t="s">
        <v>524</v>
      </c>
    </row>
    <row r="416" spans="1:24" x14ac:dyDescent="0.25">
      <c r="A416">
        <v>2025</v>
      </c>
      <c r="B416" t="s">
        <v>177</v>
      </c>
      <c r="C416" t="s">
        <v>214</v>
      </c>
      <c r="D416" t="s">
        <v>946</v>
      </c>
      <c r="E416">
        <v>2.5</v>
      </c>
      <c r="F416">
        <v>4</v>
      </c>
      <c r="G416" t="s">
        <v>526</v>
      </c>
      <c r="H416">
        <v>8</v>
      </c>
      <c r="I416" t="s">
        <v>128</v>
      </c>
      <c r="J416">
        <v>25</v>
      </c>
      <c r="K416">
        <v>33</v>
      </c>
      <c r="L416">
        <v>28</v>
      </c>
      <c r="M416" t="s">
        <v>115</v>
      </c>
      <c r="N416">
        <v>1900</v>
      </c>
      <c r="O416">
        <v>6</v>
      </c>
      <c r="P416">
        <v>6</v>
      </c>
      <c r="Q416">
        <v>362</v>
      </c>
      <c r="R416">
        <v>273</v>
      </c>
      <c r="S416">
        <v>322</v>
      </c>
      <c r="T416">
        <v>0</v>
      </c>
      <c r="V416" t="s">
        <v>30</v>
      </c>
      <c r="W416" t="s">
        <v>558</v>
      </c>
      <c r="X416" t="s">
        <v>524</v>
      </c>
    </row>
    <row r="417" spans="1:24" x14ac:dyDescent="0.25">
      <c r="A417">
        <v>2025</v>
      </c>
      <c r="B417" t="s">
        <v>177</v>
      </c>
      <c r="C417" t="s">
        <v>214</v>
      </c>
      <c r="D417" t="s">
        <v>945</v>
      </c>
      <c r="E417">
        <v>1.6</v>
      </c>
      <c r="F417">
        <v>4</v>
      </c>
      <c r="G417" t="s">
        <v>893</v>
      </c>
      <c r="H417">
        <v>6</v>
      </c>
      <c r="I417" t="s">
        <v>28</v>
      </c>
      <c r="J417">
        <v>35</v>
      </c>
      <c r="K417">
        <v>35</v>
      </c>
      <c r="L417">
        <v>35</v>
      </c>
      <c r="M417" t="s">
        <v>118</v>
      </c>
      <c r="N417">
        <v>1500</v>
      </c>
      <c r="O417">
        <v>7</v>
      </c>
      <c r="P417">
        <v>7</v>
      </c>
      <c r="Q417">
        <v>252</v>
      </c>
      <c r="R417">
        <v>254</v>
      </c>
      <c r="S417">
        <v>253</v>
      </c>
      <c r="T417">
        <v>2000</v>
      </c>
      <c r="V417" t="s">
        <v>30</v>
      </c>
      <c r="W417" t="s">
        <v>528</v>
      </c>
      <c r="X417" t="s">
        <v>524</v>
      </c>
    </row>
    <row r="418" spans="1:24" x14ac:dyDescent="0.25">
      <c r="A418">
        <v>2025</v>
      </c>
      <c r="B418" t="s">
        <v>177</v>
      </c>
      <c r="C418" t="s">
        <v>214</v>
      </c>
      <c r="D418" t="s">
        <v>944</v>
      </c>
      <c r="E418">
        <v>1.6</v>
      </c>
      <c r="F418">
        <v>4</v>
      </c>
      <c r="G418" t="s">
        <v>893</v>
      </c>
      <c r="H418">
        <v>6</v>
      </c>
      <c r="I418" t="s">
        <v>28</v>
      </c>
      <c r="J418">
        <v>38</v>
      </c>
      <c r="K418">
        <v>38</v>
      </c>
      <c r="L418">
        <v>38</v>
      </c>
      <c r="M418" t="s">
        <v>118</v>
      </c>
      <c r="N418">
        <v>1400</v>
      </c>
      <c r="O418">
        <v>7</v>
      </c>
      <c r="P418">
        <v>7</v>
      </c>
      <c r="Q418">
        <v>232</v>
      </c>
      <c r="R418">
        <v>235</v>
      </c>
      <c r="S418">
        <v>234</v>
      </c>
      <c r="T418">
        <v>2500</v>
      </c>
      <c r="V418" t="s">
        <v>30</v>
      </c>
      <c r="W418" t="s">
        <v>528</v>
      </c>
      <c r="X418" t="s">
        <v>524</v>
      </c>
    </row>
    <row r="419" spans="1:24" x14ac:dyDescent="0.25">
      <c r="A419">
        <v>2025</v>
      </c>
      <c r="B419" t="s">
        <v>177</v>
      </c>
      <c r="C419" t="s">
        <v>214</v>
      </c>
      <c r="D419" t="s">
        <v>943</v>
      </c>
      <c r="E419">
        <v>1.6</v>
      </c>
      <c r="F419">
        <v>4</v>
      </c>
      <c r="G419" t="s">
        <v>911</v>
      </c>
      <c r="H419">
        <v>1</v>
      </c>
      <c r="I419" t="s">
        <v>128</v>
      </c>
      <c r="J419">
        <v>29</v>
      </c>
      <c r="K419">
        <v>32</v>
      </c>
      <c r="L419">
        <v>31</v>
      </c>
      <c r="M419" t="s">
        <v>115</v>
      </c>
      <c r="N419">
        <v>1700</v>
      </c>
      <c r="O419">
        <v>6</v>
      </c>
      <c r="P419">
        <v>6</v>
      </c>
      <c r="Q419">
        <v>304</v>
      </c>
      <c r="R419">
        <v>275</v>
      </c>
      <c r="S419">
        <v>291</v>
      </c>
      <c r="T419">
        <v>1000</v>
      </c>
      <c r="V419" t="s">
        <v>30</v>
      </c>
      <c r="W419" t="s">
        <v>558</v>
      </c>
      <c r="X419" t="s">
        <v>565</v>
      </c>
    </row>
    <row r="420" spans="1:24" x14ac:dyDescent="0.25">
      <c r="A420">
        <v>2025</v>
      </c>
      <c r="B420" t="s">
        <v>941</v>
      </c>
      <c r="C420" t="s">
        <v>940</v>
      </c>
      <c r="D420" t="s">
        <v>942</v>
      </c>
      <c r="E420">
        <v>3</v>
      </c>
      <c r="F420">
        <v>6</v>
      </c>
      <c r="G420" t="s">
        <v>526</v>
      </c>
      <c r="H420">
        <v>8</v>
      </c>
      <c r="I420" t="s">
        <v>107</v>
      </c>
      <c r="J420">
        <v>15</v>
      </c>
      <c r="K420">
        <v>15</v>
      </c>
      <c r="L420">
        <v>15</v>
      </c>
      <c r="M420" t="s">
        <v>29</v>
      </c>
      <c r="N420">
        <v>4250</v>
      </c>
      <c r="O420">
        <v>2</v>
      </c>
      <c r="P420">
        <v>2</v>
      </c>
      <c r="Q420">
        <v>605</v>
      </c>
      <c r="R420">
        <v>575</v>
      </c>
      <c r="S420">
        <v>592</v>
      </c>
      <c r="U420">
        <v>11750</v>
      </c>
      <c r="V420" t="s">
        <v>30</v>
      </c>
      <c r="W420" t="s">
        <v>528</v>
      </c>
      <c r="X420" t="s">
        <v>524</v>
      </c>
    </row>
    <row r="421" spans="1:24" x14ac:dyDescent="0.25">
      <c r="A421">
        <v>2025</v>
      </c>
      <c r="B421" t="s">
        <v>941</v>
      </c>
      <c r="C421" t="s">
        <v>940</v>
      </c>
      <c r="D421" t="s">
        <v>939</v>
      </c>
      <c r="E421">
        <v>3</v>
      </c>
      <c r="F421">
        <v>6</v>
      </c>
      <c r="G421" t="s">
        <v>526</v>
      </c>
      <c r="H421">
        <v>8</v>
      </c>
      <c r="I421" t="s">
        <v>107</v>
      </c>
      <c r="J421">
        <v>14</v>
      </c>
      <c r="K421">
        <v>14</v>
      </c>
      <c r="L421">
        <v>14</v>
      </c>
      <c r="M421" t="s">
        <v>29</v>
      </c>
      <c r="N421">
        <v>4550</v>
      </c>
      <c r="O421">
        <v>2</v>
      </c>
      <c r="P421">
        <v>2</v>
      </c>
      <c r="Q421">
        <v>635</v>
      </c>
      <c r="R421">
        <v>630</v>
      </c>
      <c r="S421">
        <v>633</v>
      </c>
      <c r="U421">
        <v>13250</v>
      </c>
      <c r="V421" t="s">
        <v>30</v>
      </c>
      <c r="W421" t="s">
        <v>528</v>
      </c>
      <c r="X421" t="s">
        <v>524</v>
      </c>
    </row>
    <row r="422" spans="1:24" x14ac:dyDescent="0.25">
      <c r="A422">
        <v>2025</v>
      </c>
      <c r="B422" t="s">
        <v>323</v>
      </c>
      <c r="C422" t="s">
        <v>933</v>
      </c>
      <c r="D422" t="s">
        <v>938</v>
      </c>
      <c r="E422">
        <v>2</v>
      </c>
      <c r="F422">
        <v>4</v>
      </c>
      <c r="G422" t="s">
        <v>618</v>
      </c>
      <c r="H422">
        <v>8</v>
      </c>
      <c r="I422" t="s">
        <v>128</v>
      </c>
      <c r="J422">
        <v>23</v>
      </c>
      <c r="K422">
        <v>29</v>
      </c>
      <c r="L422">
        <v>26</v>
      </c>
      <c r="M422" t="s">
        <v>115</v>
      </c>
      <c r="N422">
        <v>2450</v>
      </c>
      <c r="O422">
        <v>5</v>
      </c>
      <c r="P422">
        <v>5</v>
      </c>
      <c r="Q422">
        <v>388</v>
      </c>
      <c r="R422">
        <v>308</v>
      </c>
      <c r="S422">
        <v>343</v>
      </c>
      <c r="U422">
        <v>2750</v>
      </c>
      <c r="V422" t="s">
        <v>30</v>
      </c>
      <c r="W422" t="s">
        <v>528</v>
      </c>
      <c r="X422" t="s">
        <v>565</v>
      </c>
    </row>
    <row r="423" spans="1:24" x14ac:dyDescent="0.25">
      <c r="A423">
        <v>2025</v>
      </c>
      <c r="B423" t="s">
        <v>323</v>
      </c>
      <c r="C423" t="s">
        <v>933</v>
      </c>
      <c r="D423" t="s">
        <v>937</v>
      </c>
      <c r="E423">
        <v>2</v>
      </c>
      <c r="F423">
        <v>4</v>
      </c>
      <c r="G423" t="s">
        <v>618</v>
      </c>
      <c r="H423">
        <v>8</v>
      </c>
      <c r="I423" t="s">
        <v>28</v>
      </c>
      <c r="J423">
        <v>22</v>
      </c>
      <c r="K423">
        <v>28</v>
      </c>
      <c r="L423">
        <v>25</v>
      </c>
      <c r="M423" t="s">
        <v>118</v>
      </c>
      <c r="N423">
        <v>2550</v>
      </c>
      <c r="O423">
        <v>5</v>
      </c>
      <c r="P423">
        <v>5</v>
      </c>
      <c r="Q423">
        <v>406</v>
      </c>
      <c r="R423">
        <v>319</v>
      </c>
      <c r="S423">
        <v>357</v>
      </c>
      <c r="U423">
        <v>3250</v>
      </c>
      <c r="V423" t="s">
        <v>30</v>
      </c>
      <c r="W423" t="s">
        <v>528</v>
      </c>
      <c r="X423" t="s">
        <v>565</v>
      </c>
    </row>
    <row r="424" spans="1:24" x14ac:dyDescent="0.25">
      <c r="A424">
        <v>2025</v>
      </c>
      <c r="B424" t="s">
        <v>323</v>
      </c>
      <c r="C424" t="s">
        <v>933</v>
      </c>
      <c r="D424" t="s">
        <v>936</v>
      </c>
      <c r="E424">
        <v>2</v>
      </c>
      <c r="F424">
        <v>4</v>
      </c>
      <c r="G424" t="s">
        <v>686</v>
      </c>
      <c r="H424">
        <v>9</v>
      </c>
      <c r="I424" t="s">
        <v>28</v>
      </c>
      <c r="J424">
        <v>22</v>
      </c>
      <c r="K424">
        <v>27</v>
      </c>
      <c r="L424">
        <v>24</v>
      </c>
      <c r="M424" t="s">
        <v>29</v>
      </c>
      <c r="N424">
        <v>2650</v>
      </c>
      <c r="O424">
        <v>5</v>
      </c>
      <c r="P424">
        <v>5</v>
      </c>
      <c r="Q424">
        <v>413</v>
      </c>
      <c r="R424">
        <v>333</v>
      </c>
      <c r="S424">
        <v>377</v>
      </c>
      <c r="U424">
        <v>3750</v>
      </c>
      <c r="V424" t="s">
        <v>30</v>
      </c>
      <c r="W424" t="s">
        <v>528</v>
      </c>
      <c r="X424" t="s">
        <v>524</v>
      </c>
    </row>
    <row r="425" spans="1:24" x14ac:dyDescent="0.25">
      <c r="A425">
        <v>2025</v>
      </c>
      <c r="B425" t="s">
        <v>323</v>
      </c>
      <c r="C425" t="s">
        <v>933</v>
      </c>
      <c r="D425" t="s">
        <v>935</v>
      </c>
      <c r="E425">
        <v>2</v>
      </c>
      <c r="F425">
        <v>4</v>
      </c>
      <c r="G425" t="s">
        <v>686</v>
      </c>
      <c r="H425">
        <v>9</v>
      </c>
      <c r="I425" t="s">
        <v>128</v>
      </c>
      <c r="J425">
        <v>22</v>
      </c>
      <c r="K425">
        <v>28</v>
      </c>
      <c r="L425">
        <v>24</v>
      </c>
      <c r="M425" t="s">
        <v>47</v>
      </c>
      <c r="N425">
        <v>2650</v>
      </c>
      <c r="O425">
        <v>5</v>
      </c>
      <c r="P425">
        <v>5</v>
      </c>
      <c r="Q425">
        <v>404</v>
      </c>
      <c r="R425">
        <v>318</v>
      </c>
      <c r="S425">
        <v>371</v>
      </c>
      <c r="U425">
        <v>3750</v>
      </c>
      <c r="V425" t="s">
        <v>30</v>
      </c>
      <c r="W425" t="s">
        <v>528</v>
      </c>
      <c r="X425" t="s">
        <v>524</v>
      </c>
    </row>
    <row r="426" spans="1:24" x14ac:dyDescent="0.25">
      <c r="A426">
        <v>2025</v>
      </c>
      <c r="B426" t="s">
        <v>323</v>
      </c>
      <c r="C426" t="s">
        <v>933</v>
      </c>
      <c r="D426" t="s">
        <v>934</v>
      </c>
      <c r="E426">
        <v>3.5</v>
      </c>
      <c r="F426">
        <v>6</v>
      </c>
      <c r="G426" t="s">
        <v>686</v>
      </c>
      <c r="H426">
        <v>9</v>
      </c>
      <c r="I426" t="s">
        <v>46</v>
      </c>
      <c r="J426">
        <v>16</v>
      </c>
      <c r="K426">
        <v>20</v>
      </c>
      <c r="L426">
        <v>18</v>
      </c>
      <c r="M426" t="s">
        <v>47</v>
      </c>
      <c r="N426">
        <v>3550</v>
      </c>
      <c r="O426">
        <v>4</v>
      </c>
      <c r="P426">
        <v>4</v>
      </c>
      <c r="Q426">
        <v>557</v>
      </c>
      <c r="R426">
        <v>440</v>
      </c>
      <c r="S426">
        <v>504</v>
      </c>
      <c r="U426">
        <v>8250</v>
      </c>
      <c r="V426" t="s">
        <v>30</v>
      </c>
      <c r="W426" t="s">
        <v>528</v>
      </c>
      <c r="X426" t="s">
        <v>524</v>
      </c>
    </row>
    <row r="427" spans="1:24" x14ac:dyDescent="0.25">
      <c r="A427">
        <v>2025</v>
      </c>
      <c r="B427" t="s">
        <v>323</v>
      </c>
      <c r="C427" t="s">
        <v>933</v>
      </c>
      <c r="D427" t="s">
        <v>932</v>
      </c>
      <c r="E427">
        <v>3.5</v>
      </c>
      <c r="F427">
        <v>6</v>
      </c>
      <c r="G427" t="s">
        <v>686</v>
      </c>
      <c r="H427">
        <v>9</v>
      </c>
      <c r="I427" t="s">
        <v>107</v>
      </c>
      <c r="J427">
        <v>16</v>
      </c>
      <c r="K427">
        <v>19</v>
      </c>
      <c r="L427">
        <v>17</v>
      </c>
      <c r="M427" t="s">
        <v>29</v>
      </c>
      <c r="N427">
        <v>3750</v>
      </c>
      <c r="O427">
        <v>3</v>
      </c>
      <c r="P427">
        <v>3</v>
      </c>
      <c r="Q427">
        <v>572</v>
      </c>
      <c r="R427">
        <v>460</v>
      </c>
      <c r="S427">
        <v>522</v>
      </c>
      <c r="U427">
        <v>9250</v>
      </c>
      <c r="V427" t="s">
        <v>30</v>
      </c>
      <c r="W427" t="s">
        <v>528</v>
      </c>
      <c r="X427" t="s">
        <v>524</v>
      </c>
    </row>
    <row r="428" spans="1:24" x14ac:dyDescent="0.25">
      <c r="A428">
        <v>2025</v>
      </c>
      <c r="B428" t="s">
        <v>866</v>
      </c>
      <c r="C428" t="s">
        <v>929</v>
      </c>
      <c r="D428" t="s">
        <v>931</v>
      </c>
      <c r="E428">
        <v>2</v>
      </c>
      <c r="F428">
        <v>4</v>
      </c>
      <c r="G428" t="s">
        <v>526</v>
      </c>
      <c r="H428">
        <v>8</v>
      </c>
      <c r="I428" t="s">
        <v>28</v>
      </c>
      <c r="J428">
        <v>22</v>
      </c>
      <c r="K428">
        <v>27</v>
      </c>
      <c r="L428">
        <v>24</v>
      </c>
      <c r="M428" t="s">
        <v>118</v>
      </c>
      <c r="N428">
        <v>2650</v>
      </c>
      <c r="O428">
        <v>5</v>
      </c>
      <c r="P428">
        <v>5</v>
      </c>
      <c r="Q428">
        <v>409</v>
      </c>
      <c r="R428">
        <v>335</v>
      </c>
      <c r="S428">
        <v>376</v>
      </c>
      <c r="U428">
        <v>3750</v>
      </c>
      <c r="V428" t="s">
        <v>30</v>
      </c>
      <c r="W428" t="s">
        <v>528</v>
      </c>
      <c r="X428" t="s">
        <v>524</v>
      </c>
    </row>
    <row r="429" spans="1:24" x14ac:dyDescent="0.25">
      <c r="A429">
        <v>2025</v>
      </c>
      <c r="B429" t="s">
        <v>866</v>
      </c>
      <c r="C429" t="s">
        <v>929</v>
      </c>
      <c r="D429" t="s">
        <v>930</v>
      </c>
      <c r="E429">
        <v>3</v>
      </c>
      <c r="F429">
        <v>6</v>
      </c>
      <c r="G429" t="s">
        <v>526</v>
      </c>
      <c r="H429">
        <v>8</v>
      </c>
      <c r="I429" t="s">
        <v>107</v>
      </c>
      <c r="J429">
        <v>19</v>
      </c>
      <c r="K429">
        <v>25</v>
      </c>
      <c r="L429">
        <v>21</v>
      </c>
      <c r="M429" t="s">
        <v>118</v>
      </c>
      <c r="N429">
        <v>3050</v>
      </c>
      <c r="O429">
        <v>4</v>
      </c>
      <c r="P429">
        <v>4</v>
      </c>
      <c r="Q429">
        <v>473</v>
      </c>
      <c r="R429">
        <v>354</v>
      </c>
      <c r="S429">
        <v>420</v>
      </c>
      <c r="U429">
        <v>5750</v>
      </c>
      <c r="V429" t="s">
        <v>30</v>
      </c>
      <c r="W429" t="s">
        <v>525</v>
      </c>
      <c r="X429" t="s">
        <v>524</v>
      </c>
    </row>
    <row r="430" spans="1:24" x14ac:dyDescent="0.25">
      <c r="A430">
        <v>2025</v>
      </c>
      <c r="B430" t="s">
        <v>866</v>
      </c>
      <c r="C430" t="s">
        <v>929</v>
      </c>
      <c r="D430" t="s">
        <v>928</v>
      </c>
      <c r="E430">
        <v>5</v>
      </c>
      <c r="F430">
        <v>8</v>
      </c>
      <c r="G430" t="s">
        <v>526</v>
      </c>
      <c r="H430">
        <v>8</v>
      </c>
      <c r="I430" t="s">
        <v>28</v>
      </c>
      <c r="J430">
        <v>15</v>
      </c>
      <c r="K430">
        <v>21</v>
      </c>
      <c r="L430">
        <v>17</v>
      </c>
      <c r="M430" t="s">
        <v>118</v>
      </c>
      <c r="N430">
        <v>3750</v>
      </c>
      <c r="O430">
        <v>3</v>
      </c>
      <c r="P430">
        <v>3</v>
      </c>
      <c r="Q430">
        <v>592</v>
      </c>
      <c r="R430">
        <v>430</v>
      </c>
      <c r="S430">
        <v>519</v>
      </c>
      <c r="U430">
        <v>9250</v>
      </c>
      <c r="V430" t="s">
        <v>30</v>
      </c>
      <c r="W430" t="s">
        <v>815</v>
      </c>
      <c r="X430" t="s">
        <v>524</v>
      </c>
    </row>
    <row r="431" spans="1:24" x14ac:dyDescent="0.25">
      <c r="A431">
        <v>2025</v>
      </c>
      <c r="B431" t="s">
        <v>143</v>
      </c>
      <c r="C431" t="s">
        <v>235</v>
      </c>
      <c r="D431" t="s">
        <v>927</v>
      </c>
      <c r="E431">
        <v>2</v>
      </c>
      <c r="F431">
        <v>4</v>
      </c>
      <c r="G431" t="s">
        <v>641</v>
      </c>
      <c r="H431">
        <v>8</v>
      </c>
      <c r="I431" t="s">
        <v>28</v>
      </c>
      <c r="J431">
        <v>24</v>
      </c>
      <c r="K431">
        <v>32</v>
      </c>
      <c r="L431">
        <v>27</v>
      </c>
      <c r="M431" t="s">
        <v>118</v>
      </c>
      <c r="N431">
        <v>1950</v>
      </c>
      <c r="O431">
        <v>5</v>
      </c>
      <c r="P431">
        <v>5</v>
      </c>
      <c r="Q431">
        <v>373</v>
      </c>
      <c r="R431">
        <v>278</v>
      </c>
      <c r="S431">
        <v>330</v>
      </c>
      <c r="U431">
        <v>250</v>
      </c>
      <c r="V431" t="s">
        <v>30</v>
      </c>
      <c r="W431" t="s">
        <v>528</v>
      </c>
      <c r="X431" t="s">
        <v>524</v>
      </c>
    </row>
    <row r="432" spans="1:24" x14ac:dyDescent="0.25">
      <c r="A432">
        <v>2025</v>
      </c>
      <c r="B432" t="s">
        <v>143</v>
      </c>
      <c r="C432" t="s">
        <v>235</v>
      </c>
      <c r="D432" t="s">
        <v>926</v>
      </c>
      <c r="E432">
        <v>3.6</v>
      </c>
      <c r="F432">
        <v>6</v>
      </c>
      <c r="G432" t="s">
        <v>641</v>
      </c>
      <c r="H432">
        <v>8</v>
      </c>
      <c r="I432" t="s">
        <v>107</v>
      </c>
      <c r="J432">
        <v>17</v>
      </c>
      <c r="K432">
        <v>22</v>
      </c>
      <c r="L432">
        <v>19</v>
      </c>
      <c r="M432" t="s">
        <v>135</v>
      </c>
      <c r="N432">
        <v>2750</v>
      </c>
      <c r="O432">
        <v>4</v>
      </c>
      <c r="P432">
        <v>4</v>
      </c>
      <c r="Q432">
        <v>517</v>
      </c>
      <c r="R432">
        <v>405</v>
      </c>
      <c r="S432">
        <v>466</v>
      </c>
      <c r="U432">
        <v>4250</v>
      </c>
      <c r="V432" t="s">
        <v>30</v>
      </c>
      <c r="W432" t="s">
        <v>558</v>
      </c>
      <c r="X432" t="s">
        <v>524</v>
      </c>
    </row>
    <row r="433" spans="1:24" x14ac:dyDescent="0.25">
      <c r="A433">
        <v>2025</v>
      </c>
      <c r="B433" t="s">
        <v>143</v>
      </c>
      <c r="C433" t="s">
        <v>235</v>
      </c>
      <c r="D433" t="s">
        <v>925</v>
      </c>
      <c r="E433">
        <v>3.6</v>
      </c>
      <c r="F433">
        <v>6</v>
      </c>
      <c r="G433" t="s">
        <v>641</v>
      </c>
      <c r="H433">
        <v>8</v>
      </c>
      <c r="I433" t="s">
        <v>46</v>
      </c>
      <c r="J433">
        <v>19</v>
      </c>
      <c r="K433">
        <v>26</v>
      </c>
      <c r="L433">
        <v>22</v>
      </c>
      <c r="M433" t="s">
        <v>47</v>
      </c>
      <c r="N433">
        <v>2400</v>
      </c>
      <c r="O433">
        <v>5</v>
      </c>
      <c r="P433">
        <v>5</v>
      </c>
      <c r="Q433">
        <v>461</v>
      </c>
      <c r="R433">
        <v>340</v>
      </c>
      <c r="S433">
        <v>407</v>
      </c>
      <c r="U433">
        <v>2500</v>
      </c>
      <c r="V433" t="s">
        <v>30</v>
      </c>
      <c r="W433" t="s">
        <v>558</v>
      </c>
      <c r="X433" t="s">
        <v>524</v>
      </c>
    </row>
    <row r="434" spans="1:24" x14ac:dyDescent="0.25">
      <c r="A434">
        <v>2025</v>
      </c>
      <c r="B434" t="s">
        <v>143</v>
      </c>
      <c r="C434" t="s">
        <v>235</v>
      </c>
      <c r="D434" t="s">
        <v>924</v>
      </c>
      <c r="E434">
        <v>3.6</v>
      </c>
      <c r="F434">
        <v>6</v>
      </c>
      <c r="G434" t="s">
        <v>641</v>
      </c>
      <c r="H434">
        <v>8</v>
      </c>
      <c r="I434" t="s">
        <v>107</v>
      </c>
      <c r="J434">
        <v>19</v>
      </c>
      <c r="K434">
        <v>26</v>
      </c>
      <c r="L434">
        <v>22</v>
      </c>
      <c r="M434" t="s">
        <v>29</v>
      </c>
      <c r="N434">
        <v>2400</v>
      </c>
      <c r="O434">
        <v>5</v>
      </c>
      <c r="P434">
        <v>5</v>
      </c>
      <c r="Q434">
        <v>466</v>
      </c>
      <c r="R434">
        <v>348</v>
      </c>
      <c r="S434">
        <v>413</v>
      </c>
      <c r="U434">
        <v>2500</v>
      </c>
      <c r="V434" t="s">
        <v>30</v>
      </c>
      <c r="W434" t="s">
        <v>558</v>
      </c>
      <c r="X434" t="s">
        <v>524</v>
      </c>
    </row>
    <row r="435" spans="1:24" x14ac:dyDescent="0.25">
      <c r="A435">
        <v>2025</v>
      </c>
      <c r="B435" t="s">
        <v>143</v>
      </c>
      <c r="C435" t="s">
        <v>235</v>
      </c>
      <c r="D435" t="s">
        <v>923</v>
      </c>
      <c r="E435">
        <v>3.6</v>
      </c>
      <c r="F435">
        <v>6</v>
      </c>
      <c r="G435" t="s">
        <v>641</v>
      </c>
      <c r="H435">
        <v>8</v>
      </c>
      <c r="I435" t="s">
        <v>46</v>
      </c>
      <c r="J435">
        <v>19</v>
      </c>
      <c r="K435">
        <v>26</v>
      </c>
      <c r="L435">
        <v>21</v>
      </c>
      <c r="M435" t="s">
        <v>47</v>
      </c>
      <c r="N435">
        <v>2500</v>
      </c>
      <c r="O435">
        <v>4</v>
      </c>
      <c r="P435">
        <v>4</v>
      </c>
      <c r="Q435">
        <v>471</v>
      </c>
      <c r="R435">
        <v>348</v>
      </c>
      <c r="S435">
        <v>416</v>
      </c>
      <c r="U435">
        <v>3000</v>
      </c>
      <c r="V435" t="s">
        <v>30</v>
      </c>
      <c r="W435" t="s">
        <v>558</v>
      </c>
      <c r="X435" t="s">
        <v>524</v>
      </c>
    </row>
    <row r="436" spans="1:24" x14ac:dyDescent="0.25">
      <c r="A436">
        <v>2025</v>
      </c>
      <c r="B436" t="s">
        <v>143</v>
      </c>
      <c r="C436" t="s">
        <v>235</v>
      </c>
      <c r="D436" t="s">
        <v>922</v>
      </c>
      <c r="E436">
        <v>3.6</v>
      </c>
      <c r="F436">
        <v>6</v>
      </c>
      <c r="G436" t="s">
        <v>641</v>
      </c>
      <c r="H436">
        <v>8</v>
      </c>
      <c r="I436" t="s">
        <v>107</v>
      </c>
      <c r="J436">
        <v>18</v>
      </c>
      <c r="K436">
        <v>25</v>
      </c>
      <c r="L436">
        <v>21</v>
      </c>
      <c r="M436" t="s">
        <v>29</v>
      </c>
      <c r="N436">
        <v>2500</v>
      </c>
      <c r="O436">
        <v>4</v>
      </c>
      <c r="P436">
        <v>4</v>
      </c>
      <c r="Q436">
        <v>493</v>
      </c>
      <c r="R436">
        <v>353</v>
      </c>
      <c r="S436">
        <v>430</v>
      </c>
      <c r="U436">
        <v>3000</v>
      </c>
      <c r="V436" t="s">
        <v>30</v>
      </c>
      <c r="W436" t="s">
        <v>558</v>
      </c>
      <c r="X436" t="s">
        <v>524</v>
      </c>
    </row>
    <row r="437" spans="1:24" x14ac:dyDescent="0.25">
      <c r="A437">
        <v>2025</v>
      </c>
      <c r="B437" t="s">
        <v>143</v>
      </c>
      <c r="C437" t="s">
        <v>235</v>
      </c>
      <c r="D437" t="s">
        <v>921</v>
      </c>
      <c r="E437">
        <v>3</v>
      </c>
      <c r="F437">
        <v>6</v>
      </c>
      <c r="G437" t="s">
        <v>641</v>
      </c>
      <c r="H437">
        <v>8</v>
      </c>
      <c r="I437" t="s">
        <v>28</v>
      </c>
      <c r="J437">
        <v>14</v>
      </c>
      <c r="K437">
        <v>20</v>
      </c>
      <c r="L437">
        <v>17</v>
      </c>
      <c r="M437" t="s">
        <v>29</v>
      </c>
      <c r="N437">
        <v>3750</v>
      </c>
      <c r="O437">
        <v>3</v>
      </c>
      <c r="P437">
        <v>3</v>
      </c>
      <c r="Q437">
        <v>613</v>
      </c>
      <c r="R437">
        <v>444</v>
      </c>
      <c r="S437">
        <v>537</v>
      </c>
      <c r="U437">
        <v>9250</v>
      </c>
      <c r="V437" t="s">
        <v>30</v>
      </c>
      <c r="W437" t="s">
        <v>528</v>
      </c>
      <c r="X437" t="s">
        <v>524</v>
      </c>
    </row>
    <row r="438" spans="1:24" x14ac:dyDescent="0.25">
      <c r="A438">
        <v>2025</v>
      </c>
      <c r="B438" t="s">
        <v>143</v>
      </c>
      <c r="C438" t="s">
        <v>235</v>
      </c>
      <c r="D438" t="s">
        <v>920</v>
      </c>
      <c r="E438">
        <v>3</v>
      </c>
      <c r="F438">
        <v>6</v>
      </c>
      <c r="G438" t="s">
        <v>641</v>
      </c>
      <c r="H438">
        <v>8</v>
      </c>
      <c r="I438" t="s">
        <v>28</v>
      </c>
      <c r="J438">
        <v>14</v>
      </c>
      <c r="K438">
        <v>20</v>
      </c>
      <c r="L438">
        <v>17</v>
      </c>
      <c r="M438" t="s">
        <v>29</v>
      </c>
      <c r="N438">
        <v>3750</v>
      </c>
      <c r="O438">
        <v>3</v>
      </c>
      <c r="P438">
        <v>3</v>
      </c>
      <c r="Q438">
        <v>613</v>
      </c>
      <c r="R438">
        <v>444</v>
      </c>
      <c r="S438">
        <v>537</v>
      </c>
      <c r="U438">
        <v>9250</v>
      </c>
      <c r="V438" t="s">
        <v>30</v>
      </c>
      <c r="W438" t="s">
        <v>528</v>
      </c>
      <c r="X438" t="s">
        <v>524</v>
      </c>
    </row>
    <row r="439" spans="1:24" x14ac:dyDescent="0.25">
      <c r="A439">
        <v>2025</v>
      </c>
      <c r="B439" t="s">
        <v>143</v>
      </c>
      <c r="C439" t="s">
        <v>235</v>
      </c>
      <c r="D439" t="s">
        <v>919</v>
      </c>
      <c r="E439">
        <v>3</v>
      </c>
      <c r="F439">
        <v>6</v>
      </c>
      <c r="G439" t="s">
        <v>641</v>
      </c>
      <c r="H439">
        <v>8</v>
      </c>
      <c r="I439" t="s">
        <v>46</v>
      </c>
      <c r="J439">
        <v>17</v>
      </c>
      <c r="K439">
        <v>24</v>
      </c>
      <c r="L439">
        <v>20</v>
      </c>
      <c r="M439" t="s">
        <v>47</v>
      </c>
      <c r="N439">
        <v>2600</v>
      </c>
      <c r="O439">
        <v>4</v>
      </c>
      <c r="P439">
        <v>4</v>
      </c>
      <c r="Q439">
        <v>520</v>
      </c>
      <c r="R439">
        <v>370</v>
      </c>
      <c r="S439">
        <v>453</v>
      </c>
      <c r="U439">
        <v>3500</v>
      </c>
      <c r="V439" t="s">
        <v>30</v>
      </c>
      <c r="W439" t="s">
        <v>528</v>
      </c>
      <c r="X439" t="s">
        <v>524</v>
      </c>
    </row>
    <row r="440" spans="1:24" x14ac:dyDescent="0.25">
      <c r="A440">
        <v>2025</v>
      </c>
      <c r="B440" t="s">
        <v>143</v>
      </c>
      <c r="C440" t="s">
        <v>235</v>
      </c>
      <c r="D440" t="s">
        <v>918</v>
      </c>
      <c r="E440">
        <v>3</v>
      </c>
      <c r="F440">
        <v>6</v>
      </c>
      <c r="G440" t="s">
        <v>641</v>
      </c>
      <c r="H440">
        <v>8</v>
      </c>
      <c r="I440" t="s">
        <v>28</v>
      </c>
      <c r="J440">
        <v>16</v>
      </c>
      <c r="K440">
        <v>23</v>
      </c>
      <c r="L440">
        <v>19</v>
      </c>
      <c r="M440" t="s">
        <v>29</v>
      </c>
      <c r="N440">
        <v>2750</v>
      </c>
      <c r="O440">
        <v>4</v>
      </c>
      <c r="P440">
        <v>4</v>
      </c>
      <c r="Q440">
        <v>547</v>
      </c>
      <c r="R440">
        <v>380</v>
      </c>
      <c r="S440">
        <v>472</v>
      </c>
      <c r="U440">
        <v>4250</v>
      </c>
      <c r="V440" t="s">
        <v>30</v>
      </c>
      <c r="W440" t="s">
        <v>528</v>
      </c>
      <c r="X440" t="s">
        <v>524</v>
      </c>
    </row>
    <row r="441" spans="1:24" x14ac:dyDescent="0.25">
      <c r="A441">
        <v>2025</v>
      </c>
      <c r="B441" t="s">
        <v>143</v>
      </c>
      <c r="C441" t="s">
        <v>235</v>
      </c>
      <c r="D441" t="s">
        <v>917</v>
      </c>
      <c r="E441">
        <v>3</v>
      </c>
      <c r="F441">
        <v>6</v>
      </c>
      <c r="G441" t="s">
        <v>641</v>
      </c>
      <c r="H441">
        <v>8</v>
      </c>
      <c r="I441" t="s">
        <v>46</v>
      </c>
      <c r="J441">
        <v>17</v>
      </c>
      <c r="K441">
        <v>24</v>
      </c>
      <c r="L441">
        <v>20</v>
      </c>
      <c r="M441" t="s">
        <v>47</v>
      </c>
      <c r="N441">
        <v>2600</v>
      </c>
      <c r="O441">
        <v>4</v>
      </c>
      <c r="P441">
        <v>4</v>
      </c>
      <c r="Q441">
        <v>520</v>
      </c>
      <c r="R441">
        <v>370</v>
      </c>
      <c r="S441">
        <v>453</v>
      </c>
      <c r="U441">
        <v>3500</v>
      </c>
      <c r="V441" t="s">
        <v>30</v>
      </c>
      <c r="W441" t="s">
        <v>528</v>
      </c>
      <c r="X441" t="s">
        <v>524</v>
      </c>
    </row>
    <row r="442" spans="1:24" x14ac:dyDescent="0.25">
      <c r="A442">
        <v>2025</v>
      </c>
      <c r="B442" t="s">
        <v>143</v>
      </c>
      <c r="C442" t="s">
        <v>235</v>
      </c>
      <c r="D442" t="s">
        <v>916</v>
      </c>
      <c r="E442">
        <v>3</v>
      </c>
      <c r="F442">
        <v>6</v>
      </c>
      <c r="G442" t="s">
        <v>641</v>
      </c>
      <c r="H442">
        <v>8</v>
      </c>
      <c r="I442" t="s">
        <v>28</v>
      </c>
      <c r="J442">
        <v>16</v>
      </c>
      <c r="K442">
        <v>23</v>
      </c>
      <c r="L442">
        <v>19</v>
      </c>
      <c r="M442" t="s">
        <v>29</v>
      </c>
      <c r="N442">
        <v>2750</v>
      </c>
      <c r="O442">
        <v>4</v>
      </c>
      <c r="P442">
        <v>4</v>
      </c>
      <c r="Q442">
        <v>542</v>
      </c>
      <c r="R442">
        <v>395</v>
      </c>
      <c r="S442">
        <v>476</v>
      </c>
      <c r="U442">
        <v>4250</v>
      </c>
      <c r="V442" t="s">
        <v>30</v>
      </c>
      <c r="W442" t="s">
        <v>528</v>
      </c>
      <c r="X442" t="s">
        <v>524</v>
      </c>
    </row>
    <row r="443" spans="1:24" x14ac:dyDescent="0.25">
      <c r="A443">
        <v>2025</v>
      </c>
      <c r="B443" t="s">
        <v>143</v>
      </c>
      <c r="C443" t="s">
        <v>235</v>
      </c>
      <c r="D443" t="s">
        <v>915</v>
      </c>
      <c r="E443">
        <v>2</v>
      </c>
      <c r="F443">
        <v>4</v>
      </c>
      <c r="G443" t="s">
        <v>641</v>
      </c>
      <c r="H443">
        <v>8</v>
      </c>
      <c r="I443" t="s">
        <v>107</v>
      </c>
      <c r="J443">
        <v>20</v>
      </c>
      <c r="K443">
        <v>23</v>
      </c>
      <c r="L443">
        <v>21</v>
      </c>
      <c r="M443" t="s">
        <v>118</v>
      </c>
      <c r="N443">
        <v>2500</v>
      </c>
      <c r="O443">
        <v>4</v>
      </c>
      <c r="P443">
        <v>4</v>
      </c>
      <c r="Q443">
        <v>439</v>
      </c>
      <c r="R443">
        <v>387</v>
      </c>
      <c r="S443">
        <v>416</v>
      </c>
      <c r="U443">
        <v>3000</v>
      </c>
      <c r="V443" t="s">
        <v>30</v>
      </c>
      <c r="W443" t="s">
        <v>528</v>
      </c>
      <c r="X443" t="s">
        <v>524</v>
      </c>
    </row>
    <row r="444" spans="1:24" x14ac:dyDescent="0.25">
      <c r="A444">
        <v>2025</v>
      </c>
      <c r="B444" t="s">
        <v>143</v>
      </c>
      <c r="C444" t="s">
        <v>235</v>
      </c>
      <c r="D444" t="s">
        <v>915</v>
      </c>
      <c r="E444">
        <v>3.6</v>
      </c>
      <c r="F444">
        <v>6</v>
      </c>
      <c r="G444" t="s">
        <v>546</v>
      </c>
      <c r="H444">
        <v>6</v>
      </c>
      <c r="I444" t="s">
        <v>107</v>
      </c>
      <c r="J444">
        <v>17</v>
      </c>
      <c r="K444">
        <v>23</v>
      </c>
      <c r="L444">
        <v>19</v>
      </c>
      <c r="M444" t="s">
        <v>118</v>
      </c>
      <c r="N444">
        <v>2750</v>
      </c>
      <c r="O444">
        <v>4</v>
      </c>
      <c r="P444">
        <v>4</v>
      </c>
      <c r="Q444">
        <v>525</v>
      </c>
      <c r="R444">
        <v>386</v>
      </c>
      <c r="S444">
        <v>462</v>
      </c>
      <c r="U444">
        <v>4250</v>
      </c>
      <c r="V444" t="s">
        <v>30</v>
      </c>
      <c r="W444" t="s">
        <v>558</v>
      </c>
      <c r="X444" t="s">
        <v>524</v>
      </c>
    </row>
    <row r="445" spans="1:24" x14ac:dyDescent="0.25">
      <c r="A445">
        <v>2025</v>
      </c>
      <c r="B445" t="s">
        <v>143</v>
      </c>
      <c r="C445" t="s">
        <v>235</v>
      </c>
      <c r="D445" t="s">
        <v>914</v>
      </c>
      <c r="E445">
        <v>2</v>
      </c>
      <c r="F445">
        <v>4</v>
      </c>
      <c r="G445" t="s">
        <v>641</v>
      </c>
      <c r="H445">
        <v>8</v>
      </c>
      <c r="I445" t="s">
        <v>107</v>
      </c>
      <c r="J445">
        <v>20</v>
      </c>
      <c r="K445">
        <v>22</v>
      </c>
      <c r="L445">
        <v>21</v>
      </c>
      <c r="M445" t="s">
        <v>118</v>
      </c>
      <c r="N445">
        <v>2500</v>
      </c>
      <c r="O445">
        <v>4</v>
      </c>
      <c r="P445">
        <v>4</v>
      </c>
      <c r="Q445">
        <v>452</v>
      </c>
      <c r="R445">
        <v>394</v>
      </c>
      <c r="S445">
        <v>426</v>
      </c>
      <c r="U445">
        <v>3000</v>
      </c>
      <c r="V445" t="s">
        <v>30</v>
      </c>
      <c r="W445" t="s">
        <v>528</v>
      </c>
      <c r="X445" t="s">
        <v>524</v>
      </c>
    </row>
    <row r="446" spans="1:24" x14ac:dyDescent="0.25">
      <c r="A446">
        <v>2025</v>
      </c>
      <c r="B446" t="s">
        <v>143</v>
      </c>
      <c r="C446" t="s">
        <v>235</v>
      </c>
      <c r="D446" t="s">
        <v>914</v>
      </c>
      <c r="E446">
        <v>3.6</v>
      </c>
      <c r="F446">
        <v>6</v>
      </c>
      <c r="G446" t="s">
        <v>641</v>
      </c>
      <c r="H446">
        <v>8</v>
      </c>
      <c r="I446" t="s">
        <v>107</v>
      </c>
      <c r="J446">
        <v>18</v>
      </c>
      <c r="K446">
        <v>23</v>
      </c>
      <c r="L446">
        <v>20</v>
      </c>
      <c r="M446" t="s">
        <v>118</v>
      </c>
      <c r="N446">
        <v>2600</v>
      </c>
      <c r="O446">
        <v>4</v>
      </c>
      <c r="P446">
        <v>4</v>
      </c>
      <c r="Q446">
        <v>507</v>
      </c>
      <c r="R446">
        <v>382</v>
      </c>
      <c r="S446">
        <v>451</v>
      </c>
      <c r="U446">
        <v>3500</v>
      </c>
      <c r="V446" t="s">
        <v>30</v>
      </c>
      <c r="W446" t="s">
        <v>558</v>
      </c>
      <c r="X446" t="s">
        <v>524</v>
      </c>
    </row>
    <row r="447" spans="1:24" x14ac:dyDescent="0.25">
      <c r="A447">
        <v>2025</v>
      </c>
      <c r="B447" t="s">
        <v>143</v>
      </c>
      <c r="C447" t="s">
        <v>235</v>
      </c>
      <c r="D447" t="s">
        <v>914</v>
      </c>
      <c r="E447">
        <v>3.6</v>
      </c>
      <c r="F447">
        <v>6</v>
      </c>
      <c r="G447" t="s">
        <v>546</v>
      </c>
      <c r="H447">
        <v>6</v>
      </c>
      <c r="I447" t="s">
        <v>107</v>
      </c>
      <c r="J447">
        <v>16</v>
      </c>
      <c r="K447">
        <v>22</v>
      </c>
      <c r="L447">
        <v>19</v>
      </c>
      <c r="M447" t="s">
        <v>118</v>
      </c>
      <c r="N447">
        <v>2750</v>
      </c>
      <c r="O447">
        <v>4</v>
      </c>
      <c r="P447">
        <v>4</v>
      </c>
      <c r="Q447">
        <v>542</v>
      </c>
      <c r="R447">
        <v>396</v>
      </c>
      <c r="S447">
        <v>476</v>
      </c>
      <c r="U447">
        <v>4250</v>
      </c>
      <c r="V447" t="s">
        <v>30</v>
      </c>
      <c r="W447" t="s">
        <v>558</v>
      </c>
      <c r="X447" t="s">
        <v>524</v>
      </c>
    </row>
    <row r="448" spans="1:24" x14ac:dyDescent="0.25">
      <c r="A448">
        <v>2025</v>
      </c>
      <c r="B448" t="s">
        <v>143</v>
      </c>
      <c r="C448" t="s">
        <v>235</v>
      </c>
      <c r="D448" t="s">
        <v>914</v>
      </c>
      <c r="E448">
        <v>6.4</v>
      </c>
      <c r="F448">
        <v>8</v>
      </c>
      <c r="G448" t="s">
        <v>641</v>
      </c>
      <c r="H448">
        <v>8</v>
      </c>
      <c r="I448" t="s">
        <v>107</v>
      </c>
      <c r="J448">
        <v>13</v>
      </c>
      <c r="K448">
        <v>16</v>
      </c>
      <c r="L448">
        <v>14</v>
      </c>
      <c r="M448" t="s">
        <v>118</v>
      </c>
      <c r="N448">
        <v>4550</v>
      </c>
      <c r="O448">
        <v>2</v>
      </c>
      <c r="P448">
        <v>2</v>
      </c>
      <c r="Q448">
        <v>706</v>
      </c>
      <c r="R448">
        <v>549</v>
      </c>
      <c r="S448">
        <v>635</v>
      </c>
      <c r="U448">
        <v>13250</v>
      </c>
      <c r="V448" t="s">
        <v>30</v>
      </c>
      <c r="W448" t="s">
        <v>558</v>
      </c>
      <c r="X448" t="s">
        <v>565</v>
      </c>
    </row>
    <row r="449" spans="1:24" x14ac:dyDescent="0.25">
      <c r="A449">
        <v>2025</v>
      </c>
      <c r="B449" t="s">
        <v>238</v>
      </c>
      <c r="C449" t="s">
        <v>239</v>
      </c>
      <c r="D449" t="s">
        <v>913</v>
      </c>
      <c r="E449">
        <v>3.5</v>
      </c>
      <c r="F449">
        <v>6</v>
      </c>
      <c r="G449" t="s">
        <v>526</v>
      </c>
      <c r="H449">
        <v>8</v>
      </c>
      <c r="I449" t="s">
        <v>128</v>
      </c>
      <c r="J449">
        <v>18</v>
      </c>
      <c r="K449">
        <v>26</v>
      </c>
      <c r="L449">
        <v>21</v>
      </c>
      <c r="M449" t="s">
        <v>503</v>
      </c>
      <c r="N449">
        <v>2500</v>
      </c>
      <c r="O449">
        <v>4</v>
      </c>
      <c r="P449">
        <v>4</v>
      </c>
      <c r="Q449">
        <v>496</v>
      </c>
      <c r="R449">
        <v>341</v>
      </c>
      <c r="S449">
        <v>426</v>
      </c>
      <c r="U449">
        <v>3000</v>
      </c>
      <c r="V449" t="s">
        <v>30</v>
      </c>
      <c r="W449" t="s">
        <v>558</v>
      </c>
      <c r="X449" t="s">
        <v>565</v>
      </c>
    </row>
    <row r="450" spans="1:24" x14ac:dyDescent="0.25">
      <c r="A450">
        <v>2025</v>
      </c>
      <c r="B450" t="s">
        <v>238</v>
      </c>
      <c r="C450" t="s">
        <v>239</v>
      </c>
      <c r="D450" t="s">
        <v>912</v>
      </c>
      <c r="E450">
        <v>1.6</v>
      </c>
      <c r="F450">
        <v>4</v>
      </c>
      <c r="G450" t="s">
        <v>893</v>
      </c>
      <c r="H450">
        <v>6</v>
      </c>
      <c r="I450" t="s">
        <v>128</v>
      </c>
      <c r="J450">
        <v>34</v>
      </c>
      <c r="K450">
        <v>31</v>
      </c>
      <c r="L450">
        <v>33</v>
      </c>
      <c r="M450" t="s">
        <v>503</v>
      </c>
      <c r="N450">
        <v>1600</v>
      </c>
      <c r="O450">
        <v>6</v>
      </c>
      <c r="P450">
        <v>6</v>
      </c>
      <c r="Q450">
        <v>263</v>
      </c>
      <c r="R450">
        <v>287</v>
      </c>
      <c r="S450">
        <v>274</v>
      </c>
      <c r="T450">
        <v>1500</v>
      </c>
      <c r="V450" t="s">
        <v>30</v>
      </c>
      <c r="W450" t="s">
        <v>528</v>
      </c>
      <c r="X450" t="s">
        <v>524</v>
      </c>
    </row>
    <row r="451" spans="1:24" x14ac:dyDescent="0.25">
      <c r="A451">
        <v>2025</v>
      </c>
      <c r="B451" t="s">
        <v>238</v>
      </c>
      <c r="C451" t="s">
        <v>239</v>
      </c>
      <c r="D451" t="s">
        <v>910</v>
      </c>
      <c r="E451">
        <v>2</v>
      </c>
      <c r="F451">
        <v>4</v>
      </c>
      <c r="G451" t="s">
        <v>911</v>
      </c>
      <c r="H451">
        <v>1</v>
      </c>
      <c r="I451" t="s">
        <v>128</v>
      </c>
      <c r="J451">
        <v>29</v>
      </c>
      <c r="K451">
        <v>39</v>
      </c>
      <c r="L451">
        <v>33</v>
      </c>
      <c r="M451" t="s">
        <v>186</v>
      </c>
      <c r="N451">
        <v>1600</v>
      </c>
      <c r="O451">
        <v>6</v>
      </c>
      <c r="P451">
        <v>6</v>
      </c>
      <c r="Q451">
        <v>311</v>
      </c>
      <c r="R451">
        <v>227</v>
      </c>
      <c r="S451">
        <v>273</v>
      </c>
      <c r="T451">
        <v>1500</v>
      </c>
      <c r="V451" t="s">
        <v>30</v>
      </c>
      <c r="W451" t="s">
        <v>558</v>
      </c>
      <c r="X451" t="s">
        <v>565</v>
      </c>
    </row>
    <row r="452" spans="1:24" x14ac:dyDescent="0.25">
      <c r="A452">
        <v>2025</v>
      </c>
      <c r="B452" t="s">
        <v>238</v>
      </c>
      <c r="C452" t="s">
        <v>239</v>
      </c>
      <c r="D452" t="s">
        <v>910</v>
      </c>
      <c r="E452">
        <v>2</v>
      </c>
      <c r="F452">
        <v>4</v>
      </c>
      <c r="G452" t="s">
        <v>911</v>
      </c>
      <c r="H452">
        <v>1</v>
      </c>
      <c r="I452" t="s">
        <v>128</v>
      </c>
      <c r="J452">
        <v>30</v>
      </c>
      <c r="K452">
        <v>40</v>
      </c>
      <c r="L452">
        <v>34</v>
      </c>
      <c r="M452" t="s">
        <v>186</v>
      </c>
      <c r="N452">
        <v>1550</v>
      </c>
      <c r="O452">
        <v>7</v>
      </c>
      <c r="P452">
        <v>7</v>
      </c>
      <c r="Q452">
        <v>300</v>
      </c>
      <c r="R452">
        <v>220</v>
      </c>
      <c r="S452">
        <v>264</v>
      </c>
      <c r="T452">
        <v>1750</v>
      </c>
      <c r="V452" t="s">
        <v>30</v>
      </c>
      <c r="W452" t="s">
        <v>558</v>
      </c>
      <c r="X452" t="s">
        <v>565</v>
      </c>
    </row>
    <row r="453" spans="1:24" x14ac:dyDescent="0.25">
      <c r="A453">
        <v>2025</v>
      </c>
      <c r="B453" t="s">
        <v>238</v>
      </c>
      <c r="C453" t="s">
        <v>239</v>
      </c>
      <c r="D453" t="s">
        <v>910</v>
      </c>
      <c r="E453">
        <v>1.6</v>
      </c>
      <c r="F453">
        <v>4</v>
      </c>
      <c r="G453" t="s">
        <v>526</v>
      </c>
      <c r="H453">
        <v>8</v>
      </c>
      <c r="I453" t="s">
        <v>128</v>
      </c>
      <c r="J453">
        <v>26</v>
      </c>
      <c r="K453">
        <v>36</v>
      </c>
      <c r="L453">
        <v>29</v>
      </c>
      <c r="M453" t="s">
        <v>186</v>
      </c>
      <c r="N453">
        <v>1800</v>
      </c>
      <c r="O453">
        <v>6</v>
      </c>
      <c r="P453">
        <v>6</v>
      </c>
      <c r="Q453">
        <v>347</v>
      </c>
      <c r="R453">
        <v>248</v>
      </c>
      <c r="S453">
        <v>303</v>
      </c>
      <c r="T453">
        <v>500</v>
      </c>
      <c r="V453" t="s">
        <v>30</v>
      </c>
      <c r="W453" t="s">
        <v>528</v>
      </c>
      <c r="X453" t="s">
        <v>565</v>
      </c>
    </row>
    <row r="454" spans="1:24" x14ac:dyDescent="0.25">
      <c r="A454">
        <v>2025</v>
      </c>
      <c r="B454" t="s">
        <v>238</v>
      </c>
      <c r="C454" t="s">
        <v>239</v>
      </c>
      <c r="D454" t="s">
        <v>909</v>
      </c>
      <c r="E454">
        <v>2.5</v>
      </c>
      <c r="F454">
        <v>4</v>
      </c>
      <c r="G454" t="s">
        <v>526</v>
      </c>
      <c r="H454">
        <v>8</v>
      </c>
      <c r="I454" t="s">
        <v>128</v>
      </c>
      <c r="J454">
        <v>25</v>
      </c>
      <c r="K454">
        <v>36</v>
      </c>
      <c r="L454">
        <v>29</v>
      </c>
      <c r="M454" t="s">
        <v>95</v>
      </c>
      <c r="N454">
        <v>1800</v>
      </c>
      <c r="O454">
        <v>6</v>
      </c>
      <c r="P454">
        <v>6</v>
      </c>
      <c r="Q454">
        <v>361</v>
      </c>
      <c r="R454">
        <v>247</v>
      </c>
      <c r="S454">
        <v>310</v>
      </c>
      <c r="T454">
        <v>500</v>
      </c>
      <c r="V454" t="s">
        <v>30</v>
      </c>
      <c r="W454" t="s">
        <v>558</v>
      </c>
      <c r="X454" t="s">
        <v>565</v>
      </c>
    </row>
    <row r="455" spans="1:24" x14ac:dyDescent="0.25">
      <c r="A455">
        <v>2025</v>
      </c>
      <c r="B455" t="s">
        <v>238</v>
      </c>
      <c r="C455" t="s">
        <v>239</v>
      </c>
      <c r="D455" t="s">
        <v>909</v>
      </c>
      <c r="E455">
        <v>2.5</v>
      </c>
      <c r="F455">
        <v>4</v>
      </c>
      <c r="G455" t="s">
        <v>526</v>
      </c>
      <c r="H455">
        <v>8</v>
      </c>
      <c r="I455" t="s">
        <v>128</v>
      </c>
      <c r="J455">
        <v>26</v>
      </c>
      <c r="K455">
        <v>37</v>
      </c>
      <c r="L455">
        <v>30</v>
      </c>
      <c r="M455" t="s">
        <v>95</v>
      </c>
      <c r="N455">
        <v>1750</v>
      </c>
      <c r="O455">
        <v>6</v>
      </c>
      <c r="P455">
        <v>6</v>
      </c>
      <c r="Q455">
        <v>347</v>
      </c>
      <c r="R455">
        <v>238</v>
      </c>
      <c r="S455">
        <v>298</v>
      </c>
      <c r="T455">
        <v>750</v>
      </c>
      <c r="V455" t="s">
        <v>30</v>
      </c>
      <c r="W455" t="s">
        <v>558</v>
      </c>
      <c r="X455" t="s">
        <v>524</v>
      </c>
    </row>
    <row r="456" spans="1:24" x14ac:dyDescent="0.25">
      <c r="A456">
        <v>2025</v>
      </c>
      <c r="B456" t="s">
        <v>238</v>
      </c>
      <c r="C456" t="s">
        <v>239</v>
      </c>
      <c r="D456" t="s">
        <v>909</v>
      </c>
      <c r="E456">
        <v>2.5</v>
      </c>
      <c r="F456">
        <v>4</v>
      </c>
      <c r="G456" t="s">
        <v>648</v>
      </c>
      <c r="H456">
        <v>8</v>
      </c>
      <c r="I456" t="s">
        <v>128</v>
      </c>
      <c r="J456">
        <v>23</v>
      </c>
      <c r="K456">
        <v>33</v>
      </c>
      <c r="L456">
        <v>27</v>
      </c>
      <c r="M456" t="s">
        <v>95</v>
      </c>
      <c r="N456">
        <v>1950</v>
      </c>
      <c r="O456">
        <v>5</v>
      </c>
      <c r="P456">
        <v>5</v>
      </c>
      <c r="Q456">
        <v>380</v>
      </c>
      <c r="R456">
        <v>273</v>
      </c>
      <c r="S456">
        <v>331</v>
      </c>
      <c r="U456">
        <v>250</v>
      </c>
      <c r="V456" t="s">
        <v>30</v>
      </c>
      <c r="W456" t="s">
        <v>528</v>
      </c>
      <c r="X456" t="s">
        <v>565</v>
      </c>
    </row>
    <row r="457" spans="1:24" x14ac:dyDescent="0.25">
      <c r="A457">
        <v>2025</v>
      </c>
      <c r="B457" t="s">
        <v>238</v>
      </c>
      <c r="C457" t="s">
        <v>239</v>
      </c>
      <c r="D457" t="s">
        <v>908</v>
      </c>
      <c r="E457">
        <v>2.5</v>
      </c>
      <c r="F457">
        <v>4</v>
      </c>
      <c r="G457" t="s">
        <v>526</v>
      </c>
      <c r="H457">
        <v>8</v>
      </c>
      <c r="I457" t="s">
        <v>28</v>
      </c>
      <c r="J457">
        <v>24</v>
      </c>
      <c r="K457">
        <v>33</v>
      </c>
      <c r="L457">
        <v>27</v>
      </c>
      <c r="M457" t="s">
        <v>95</v>
      </c>
      <c r="N457">
        <v>1950</v>
      </c>
      <c r="O457">
        <v>5</v>
      </c>
      <c r="P457">
        <v>5</v>
      </c>
      <c r="Q457">
        <v>377</v>
      </c>
      <c r="R457">
        <v>270</v>
      </c>
      <c r="S457">
        <v>329</v>
      </c>
      <c r="U457">
        <v>250</v>
      </c>
      <c r="V457" t="s">
        <v>30</v>
      </c>
      <c r="W457" t="s">
        <v>558</v>
      </c>
      <c r="X457" t="s">
        <v>565</v>
      </c>
    </row>
    <row r="458" spans="1:24" x14ac:dyDescent="0.25">
      <c r="A458">
        <v>2025</v>
      </c>
      <c r="B458" t="s">
        <v>238</v>
      </c>
      <c r="C458" t="s">
        <v>239</v>
      </c>
      <c r="D458" t="s">
        <v>907</v>
      </c>
      <c r="E458">
        <v>1.6</v>
      </c>
      <c r="F458">
        <v>4</v>
      </c>
      <c r="G458" t="s">
        <v>893</v>
      </c>
      <c r="H458">
        <v>6</v>
      </c>
      <c r="I458" t="s">
        <v>128</v>
      </c>
      <c r="J458">
        <v>53</v>
      </c>
      <c r="K458">
        <v>45</v>
      </c>
      <c r="L458">
        <v>49</v>
      </c>
      <c r="M458" t="s">
        <v>115</v>
      </c>
      <c r="N458">
        <v>1050</v>
      </c>
      <c r="O458">
        <v>8</v>
      </c>
      <c r="P458">
        <v>8</v>
      </c>
      <c r="Q458">
        <v>168</v>
      </c>
      <c r="R458">
        <v>196</v>
      </c>
      <c r="S458">
        <v>181</v>
      </c>
      <c r="T458">
        <v>4250</v>
      </c>
      <c r="V458" t="s">
        <v>30</v>
      </c>
      <c r="W458" t="s">
        <v>558</v>
      </c>
      <c r="X458" t="s">
        <v>524</v>
      </c>
    </row>
    <row r="459" spans="1:24" x14ac:dyDescent="0.25">
      <c r="A459">
        <v>2025</v>
      </c>
      <c r="B459" t="s">
        <v>238</v>
      </c>
      <c r="C459" t="s">
        <v>239</v>
      </c>
      <c r="D459" t="s">
        <v>906</v>
      </c>
      <c r="E459">
        <v>1.6</v>
      </c>
      <c r="F459">
        <v>4</v>
      </c>
      <c r="G459" t="s">
        <v>893</v>
      </c>
      <c r="H459">
        <v>6</v>
      </c>
      <c r="I459" t="s">
        <v>128</v>
      </c>
      <c r="J459">
        <v>53</v>
      </c>
      <c r="K459">
        <v>54</v>
      </c>
      <c r="L459">
        <v>53</v>
      </c>
      <c r="M459" t="s">
        <v>115</v>
      </c>
      <c r="N459">
        <v>1000</v>
      </c>
      <c r="O459">
        <v>8</v>
      </c>
      <c r="P459">
        <v>8</v>
      </c>
      <c r="Q459">
        <v>168</v>
      </c>
      <c r="R459">
        <v>165</v>
      </c>
      <c r="S459">
        <v>167</v>
      </c>
      <c r="T459">
        <v>4500</v>
      </c>
      <c r="V459" t="s">
        <v>30</v>
      </c>
      <c r="W459" t="s">
        <v>558</v>
      </c>
      <c r="X459" t="s">
        <v>524</v>
      </c>
    </row>
    <row r="460" spans="1:24" x14ac:dyDescent="0.25">
      <c r="A460">
        <v>2025</v>
      </c>
      <c r="B460" t="s">
        <v>238</v>
      </c>
      <c r="C460" t="s">
        <v>239</v>
      </c>
      <c r="D460" t="s">
        <v>905</v>
      </c>
      <c r="E460">
        <v>1.6</v>
      </c>
      <c r="F460">
        <v>4</v>
      </c>
      <c r="G460" t="s">
        <v>526</v>
      </c>
      <c r="H460">
        <v>8</v>
      </c>
      <c r="I460" t="s">
        <v>28</v>
      </c>
      <c r="J460">
        <v>24</v>
      </c>
      <c r="K460">
        <v>27</v>
      </c>
      <c r="L460">
        <v>25</v>
      </c>
      <c r="M460" t="s">
        <v>118</v>
      </c>
      <c r="N460">
        <v>2100</v>
      </c>
      <c r="O460">
        <v>5</v>
      </c>
      <c r="P460">
        <v>5</v>
      </c>
      <c r="Q460">
        <v>368</v>
      </c>
      <c r="R460">
        <v>327</v>
      </c>
      <c r="S460">
        <v>350</v>
      </c>
      <c r="U460">
        <v>1000</v>
      </c>
      <c r="V460" t="s">
        <v>30</v>
      </c>
      <c r="W460" t="s">
        <v>528</v>
      </c>
      <c r="X460" t="s">
        <v>565</v>
      </c>
    </row>
    <row r="461" spans="1:24" x14ac:dyDescent="0.25">
      <c r="A461">
        <v>2025</v>
      </c>
      <c r="B461" t="s">
        <v>238</v>
      </c>
      <c r="C461" t="s">
        <v>239</v>
      </c>
      <c r="D461" t="s">
        <v>905</v>
      </c>
      <c r="E461">
        <v>2</v>
      </c>
      <c r="F461">
        <v>4</v>
      </c>
      <c r="G461" t="s">
        <v>618</v>
      </c>
      <c r="H461">
        <v>8</v>
      </c>
      <c r="I461" t="s">
        <v>28</v>
      </c>
      <c r="J461">
        <v>27</v>
      </c>
      <c r="K461">
        <v>31</v>
      </c>
      <c r="L461">
        <v>29</v>
      </c>
      <c r="M461" t="s">
        <v>118</v>
      </c>
      <c r="N461">
        <v>1800</v>
      </c>
      <c r="O461">
        <v>6</v>
      </c>
      <c r="P461">
        <v>6</v>
      </c>
      <c r="Q461">
        <v>331</v>
      </c>
      <c r="R461">
        <v>282</v>
      </c>
      <c r="S461">
        <v>309</v>
      </c>
      <c r="T461">
        <v>500</v>
      </c>
      <c r="V461" t="s">
        <v>30</v>
      </c>
      <c r="W461" t="s">
        <v>558</v>
      </c>
      <c r="X461" t="s">
        <v>524</v>
      </c>
    </row>
    <row r="462" spans="1:24" x14ac:dyDescent="0.25">
      <c r="A462">
        <v>2025</v>
      </c>
      <c r="B462" t="s">
        <v>238</v>
      </c>
      <c r="C462" t="s">
        <v>239</v>
      </c>
      <c r="D462" t="s">
        <v>904</v>
      </c>
      <c r="E462">
        <v>2</v>
      </c>
      <c r="F462">
        <v>4</v>
      </c>
      <c r="G462" t="s">
        <v>618</v>
      </c>
      <c r="H462">
        <v>8</v>
      </c>
      <c r="I462" t="s">
        <v>128</v>
      </c>
      <c r="J462">
        <v>28</v>
      </c>
      <c r="K462">
        <v>34</v>
      </c>
      <c r="L462">
        <v>31</v>
      </c>
      <c r="M462" t="s">
        <v>115</v>
      </c>
      <c r="N462">
        <v>1700</v>
      </c>
      <c r="O462">
        <v>6</v>
      </c>
      <c r="P462">
        <v>6</v>
      </c>
      <c r="Q462">
        <v>312</v>
      </c>
      <c r="R462">
        <v>259</v>
      </c>
      <c r="S462">
        <v>288</v>
      </c>
      <c r="T462">
        <v>1000</v>
      </c>
      <c r="V462" t="s">
        <v>30</v>
      </c>
      <c r="W462" t="s">
        <v>558</v>
      </c>
      <c r="X462" t="s">
        <v>524</v>
      </c>
    </row>
    <row r="463" spans="1:24" x14ac:dyDescent="0.25">
      <c r="A463">
        <v>2025</v>
      </c>
      <c r="B463" t="s">
        <v>238</v>
      </c>
      <c r="C463" t="s">
        <v>239</v>
      </c>
      <c r="D463" t="s">
        <v>903</v>
      </c>
      <c r="E463">
        <v>2.5</v>
      </c>
      <c r="F463">
        <v>4</v>
      </c>
      <c r="G463" t="s">
        <v>526</v>
      </c>
      <c r="H463">
        <v>8</v>
      </c>
      <c r="I463" t="s">
        <v>28</v>
      </c>
      <c r="J463">
        <v>23</v>
      </c>
      <c r="K463">
        <v>28</v>
      </c>
      <c r="L463">
        <v>25</v>
      </c>
      <c r="M463" t="s">
        <v>118</v>
      </c>
      <c r="N463">
        <v>2100</v>
      </c>
      <c r="O463">
        <v>5</v>
      </c>
      <c r="P463">
        <v>5</v>
      </c>
      <c r="Q463">
        <v>387</v>
      </c>
      <c r="R463">
        <v>321</v>
      </c>
      <c r="S463">
        <v>357</v>
      </c>
      <c r="U463">
        <v>1000</v>
      </c>
      <c r="V463" t="s">
        <v>30</v>
      </c>
      <c r="W463" t="s">
        <v>558</v>
      </c>
      <c r="X463" t="s">
        <v>524</v>
      </c>
    </row>
    <row r="464" spans="1:24" x14ac:dyDescent="0.25">
      <c r="A464">
        <v>2025</v>
      </c>
      <c r="B464" t="s">
        <v>238</v>
      </c>
      <c r="C464" t="s">
        <v>239</v>
      </c>
      <c r="D464" t="s">
        <v>903</v>
      </c>
      <c r="E464">
        <v>2.5</v>
      </c>
      <c r="F464">
        <v>4</v>
      </c>
      <c r="G464" t="s">
        <v>648</v>
      </c>
      <c r="H464">
        <v>8</v>
      </c>
      <c r="I464" t="s">
        <v>28</v>
      </c>
      <c r="J464">
        <v>20</v>
      </c>
      <c r="K464">
        <v>27</v>
      </c>
      <c r="L464">
        <v>23</v>
      </c>
      <c r="M464" t="s">
        <v>118</v>
      </c>
      <c r="N464">
        <v>2300</v>
      </c>
      <c r="O464">
        <v>5</v>
      </c>
      <c r="P464">
        <v>5</v>
      </c>
      <c r="Q464">
        <v>438</v>
      </c>
      <c r="R464">
        <v>329</v>
      </c>
      <c r="S464">
        <v>389</v>
      </c>
      <c r="U464">
        <v>2000</v>
      </c>
      <c r="V464" t="s">
        <v>30</v>
      </c>
      <c r="W464" t="s">
        <v>528</v>
      </c>
      <c r="X464" t="s">
        <v>524</v>
      </c>
    </row>
    <row r="465" spans="1:24" x14ac:dyDescent="0.25">
      <c r="A465">
        <v>2025</v>
      </c>
      <c r="B465" t="s">
        <v>238</v>
      </c>
      <c r="C465" t="s">
        <v>239</v>
      </c>
      <c r="D465" t="s">
        <v>902</v>
      </c>
      <c r="E465">
        <v>2.5</v>
      </c>
      <c r="F465">
        <v>4</v>
      </c>
      <c r="G465" t="s">
        <v>526</v>
      </c>
      <c r="H465">
        <v>8</v>
      </c>
      <c r="I465" t="s">
        <v>128</v>
      </c>
      <c r="J465">
        <v>23</v>
      </c>
      <c r="K465">
        <v>31</v>
      </c>
      <c r="L465">
        <v>26</v>
      </c>
      <c r="M465" t="s">
        <v>115</v>
      </c>
      <c r="N465">
        <v>2000</v>
      </c>
      <c r="O465">
        <v>5</v>
      </c>
      <c r="P465">
        <v>5</v>
      </c>
      <c r="Q465">
        <v>380</v>
      </c>
      <c r="R465">
        <v>289</v>
      </c>
      <c r="S465">
        <v>339</v>
      </c>
      <c r="U465">
        <v>500</v>
      </c>
      <c r="V465" t="s">
        <v>30</v>
      </c>
      <c r="W465" t="s">
        <v>558</v>
      </c>
      <c r="X465" t="s">
        <v>524</v>
      </c>
    </row>
    <row r="466" spans="1:24" x14ac:dyDescent="0.25">
      <c r="A466">
        <v>2025</v>
      </c>
      <c r="B466" t="s">
        <v>238</v>
      </c>
      <c r="C466" t="s">
        <v>239</v>
      </c>
      <c r="D466" t="s">
        <v>902</v>
      </c>
      <c r="E466">
        <v>2.5</v>
      </c>
      <c r="F466">
        <v>4</v>
      </c>
      <c r="G466" t="s">
        <v>648</v>
      </c>
      <c r="H466">
        <v>8</v>
      </c>
      <c r="I466" t="s">
        <v>128</v>
      </c>
      <c r="J466">
        <v>20</v>
      </c>
      <c r="K466">
        <v>29</v>
      </c>
      <c r="L466">
        <v>23</v>
      </c>
      <c r="M466" t="s">
        <v>115</v>
      </c>
      <c r="N466">
        <v>2300</v>
      </c>
      <c r="O466">
        <v>5</v>
      </c>
      <c r="P466">
        <v>5</v>
      </c>
      <c r="Q466">
        <v>441</v>
      </c>
      <c r="R466">
        <v>311</v>
      </c>
      <c r="S466">
        <v>382</v>
      </c>
      <c r="U466">
        <v>2000</v>
      </c>
      <c r="V466" t="s">
        <v>30</v>
      </c>
      <c r="W466" t="s">
        <v>528</v>
      </c>
      <c r="X466" t="s">
        <v>524</v>
      </c>
    </row>
    <row r="467" spans="1:24" x14ac:dyDescent="0.25">
      <c r="A467">
        <v>2025</v>
      </c>
      <c r="B467" t="s">
        <v>238</v>
      </c>
      <c r="C467" t="s">
        <v>239</v>
      </c>
      <c r="D467" t="s">
        <v>901</v>
      </c>
      <c r="E467">
        <v>1.6</v>
      </c>
      <c r="F467">
        <v>4</v>
      </c>
      <c r="G467" t="s">
        <v>893</v>
      </c>
      <c r="H467">
        <v>6</v>
      </c>
      <c r="I467" t="s">
        <v>28</v>
      </c>
      <c r="J467">
        <v>34</v>
      </c>
      <c r="K467">
        <v>34</v>
      </c>
      <c r="L467">
        <v>34</v>
      </c>
      <c r="M467" t="s">
        <v>118</v>
      </c>
      <c r="N467">
        <v>1550</v>
      </c>
      <c r="O467">
        <v>7</v>
      </c>
      <c r="P467">
        <v>7</v>
      </c>
      <c r="Q467">
        <v>262</v>
      </c>
      <c r="R467">
        <v>263</v>
      </c>
      <c r="S467">
        <v>263</v>
      </c>
      <c r="T467">
        <v>1750</v>
      </c>
      <c r="V467" t="s">
        <v>30</v>
      </c>
      <c r="W467" t="s">
        <v>528</v>
      </c>
      <c r="X467" t="s">
        <v>524</v>
      </c>
    </row>
    <row r="468" spans="1:24" x14ac:dyDescent="0.25">
      <c r="A468">
        <v>2025</v>
      </c>
      <c r="B468" t="s">
        <v>238</v>
      </c>
      <c r="C468" t="s">
        <v>239</v>
      </c>
      <c r="D468" t="s">
        <v>900</v>
      </c>
      <c r="E468">
        <v>1.6</v>
      </c>
      <c r="F468">
        <v>4</v>
      </c>
      <c r="G468" t="s">
        <v>893</v>
      </c>
      <c r="H468">
        <v>6</v>
      </c>
      <c r="I468" t="s">
        <v>128</v>
      </c>
      <c r="J468">
        <v>36</v>
      </c>
      <c r="K468">
        <v>36</v>
      </c>
      <c r="L468">
        <v>36</v>
      </c>
      <c r="M468" t="s">
        <v>115</v>
      </c>
      <c r="N468">
        <v>1450</v>
      </c>
      <c r="O468">
        <v>7</v>
      </c>
      <c r="P468">
        <v>7</v>
      </c>
      <c r="Q468">
        <v>246</v>
      </c>
      <c r="R468">
        <v>246</v>
      </c>
      <c r="S468">
        <v>246</v>
      </c>
      <c r="T468">
        <v>2250</v>
      </c>
      <c r="V468" t="s">
        <v>30</v>
      </c>
      <c r="W468" t="s">
        <v>528</v>
      </c>
      <c r="X468" t="s">
        <v>524</v>
      </c>
    </row>
    <row r="469" spans="1:24" x14ac:dyDescent="0.25">
      <c r="A469">
        <v>2025</v>
      </c>
      <c r="B469" t="s">
        <v>238</v>
      </c>
      <c r="C469" t="s">
        <v>239</v>
      </c>
      <c r="D469" t="s">
        <v>899</v>
      </c>
      <c r="E469">
        <v>2</v>
      </c>
      <c r="F469">
        <v>4</v>
      </c>
      <c r="G469" t="s">
        <v>562</v>
      </c>
      <c r="H469">
        <v>1</v>
      </c>
      <c r="I469" t="s">
        <v>128</v>
      </c>
      <c r="J469">
        <v>27</v>
      </c>
      <c r="K469">
        <v>33</v>
      </c>
      <c r="L469">
        <v>30</v>
      </c>
      <c r="M469" t="s">
        <v>122</v>
      </c>
      <c r="N469">
        <v>1750</v>
      </c>
      <c r="O469">
        <v>6</v>
      </c>
      <c r="P469">
        <v>6</v>
      </c>
      <c r="Q469">
        <v>328</v>
      </c>
      <c r="R469">
        <v>270</v>
      </c>
      <c r="S469">
        <v>302</v>
      </c>
      <c r="T469">
        <v>750</v>
      </c>
      <c r="V469" t="s">
        <v>30</v>
      </c>
      <c r="W469" t="s">
        <v>558</v>
      </c>
      <c r="X469" t="s">
        <v>524</v>
      </c>
    </row>
    <row r="470" spans="1:24" x14ac:dyDescent="0.25">
      <c r="A470">
        <v>2025</v>
      </c>
      <c r="B470" t="s">
        <v>238</v>
      </c>
      <c r="C470" t="s">
        <v>239</v>
      </c>
      <c r="D470" t="s">
        <v>898</v>
      </c>
      <c r="E470">
        <v>2</v>
      </c>
      <c r="F470">
        <v>4</v>
      </c>
      <c r="G470" t="s">
        <v>562</v>
      </c>
      <c r="H470">
        <v>1</v>
      </c>
      <c r="I470" t="s">
        <v>128</v>
      </c>
      <c r="J470">
        <v>29</v>
      </c>
      <c r="K470">
        <v>35</v>
      </c>
      <c r="L470">
        <v>31</v>
      </c>
      <c r="M470" t="s">
        <v>122</v>
      </c>
      <c r="N470">
        <v>1700</v>
      </c>
      <c r="O470">
        <v>6</v>
      </c>
      <c r="P470">
        <v>6</v>
      </c>
      <c r="Q470">
        <v>312</v>
      </c>
      <c r="R470">
        <v>256</v>
      </c>
      <c r="S470">
        <v>287</v>
      </c>
      <c r="T470">
        <v>1000</v>
      </c>
      <c r="V470" t="s">
        <v>30</v>
      </c>
      <c r="W470" t="s">
        <v>558</v>
      </c>
      <c r="X470" t="s">
        <v>524</v>
      </c>
    </row>
    <row r="471" spans="1:24" x14ac:dyDescent="0.25">
      <c r="A471">
        <v>2025</v>
      </c>
      <c r="B471" t="s">
        <v>238</v>
      </c>
      <c r="C471" t="s">
        <v>239</v>
      </c>
      <c r="D471" t="s">
        <v>897</v>
      </c>
      <c r="E471">
        <v>2.5</v>
      </c>
      <c r="F471">
        <v>4</v>
      </c>
      <c r="G471" t="s">
        <v>526</v>
      </c>
      <c r="H471">
        <v>8</v>
      </c>
      <c r="I471" t="s">
        <v>28</v>
      </c>
      <c r="J471">
        <v>23</v>
      </c>
      <c r="K471">
        <v>27</v>
      </c>
      <c r="L471">
        <v>25</v>
      </c>
      <c r="M471" t="s">
        <v>118</v>
      </c>
      <c r="N471">
        <v>2100</v>
      </c>
      <c r="O471">
        <v>5</v>
      </c>
      <c r="P471">
        <v>5</v>
      </c>
      <c r="Q471">
        <v>381</v>
      </c>
      <c r="R471">
        <v>336</v>
      </c>
      <c r="S471">
        <v>361</v>
      </c>
      <c r="U471">
        <v>1000</v>
      </c>
      <c r="V471" t="s">
        <v>30</v>
      </c>
      <c r="W471" t="s">
        <v>558</v>
      </c>
      <c r="X471" t="s">
        <v>524</v>
      </c>
    </row>
    <row r="472" spans="1:24" x14ac:dyDescent="0.25">
      <c r="A472">
        <v>2025</v>
      </c>
      <c r="B472" t="s">
        <v>238</v>
      </c>
      <c r="C472" t="s">
        <v>239</v>
      </c>
      <c r="D472" t="s">
        <v>896</v>
      </c>
      <c r="E472">
        <v>2.5</v>
      </c>
      <c r="F472">
        <v>4</v>
      </c>
      <c r="G472" t="s">
        <v>526</v>
      </c>
      <c r="H472">
        <v>8</v>
      </c>
      <c r="I472" t="s">
        <v>128</v>
      </c>
      <c r="J472">
        <v>25</v>
      </c>
      <c r="K472">
        <v>32</v>
      </c>
      <c r="L472">
        <v>28</v>
      </c>
      <c r="M472" t="s">
        <v>115</v>
      </c>
      <c r="N472">
        <v>1900</v>
      </c>
      <c r="O472">
        <v>6</v>
      </c>
      <c r="P472">
        <v>6</v>
      </c>
      <c r="Q472">
        <v>352</v>
      </c>
      <c r="R472">
        <v>274</v>
      </c>
      <c r="S472">
        <v>317</v>
      </c>
      <c r="T472">
        <v>0</v>
      </c>
      <c r="V472" t="s">
        <v>30</v>
      </c>
      <c r="W472" t="s">
        <v>558</v>
      </c>
      <c r="X472" t="s">
        <v>524</v>
      </c>
    </row>
    <row r="473" spans="1:24" x14ac:dyDescent="0.25">
      <c r="A473">
        <v>2025</v>
      </c>
      <c r="B473" t="s">
        <v>238</v>
      </c>
      <c r="C473" t="s">
        <v>239</v>
      </c>
      <c r="D473" t="s">
        <v>895</v>
      </c>
      <c r="E473">
        <v>1.6</v>
      </c>
      <c r="F473">
        <v>4</v>
      </c>
      <c r="G473" t="s">
        <v>893</v>
      </c>
      <c r="H473">
        <v>6</v>
      </c>
      <c r="I473" t="s">
        <v>28</v>
      </c>
      <c r="J473">
        <v>38</v>
      </c>
      <c r="K473">
        <v>38</v>
      </c>
      <c r="L473">
        <v>38</v>
      </c>
      <c r="M473" t="s">
        <v>118</v>
      </c>
      <c r="N473">
        <v>1400</v>
      </c>
      <c r="O473">
        <v>7</v>
      </c>
      <c r="P473">
        <v>7</v>
      </c>
      <c r="Q473">
        <v>235</v>
      </c>
      <c r="R473">
        <v>235</v>
      </c>
      <c r="S473">
        <v>235</v>
      </c>
      <c r="T473">
        <v>2500</v>
      </c>
      <c r="V473" t="s">
        <v>30</v>
      </c>
      <c r="W473" t="s">
        <v>528</v>
      </c>
      <c r="X473" t="s">
        <v>524</v>
      </c>
    </row>
    <row r="474" spans="1:24" x14ac:dyDescent="0.25">
      <c r="A474">
        <v>2025</v>
      </c>
      <c r="B474" t="s">
        <v>238</v>
      </c>
      <c r="C474" t="s">
        <v>239</v>
      </c>
      <c r="D474" t="s">
        <v>894</v>
      </c>
      <c r="E474">
        <v>1.6</v>
      </c>
      <c r="F474">
        <v>4</v>
      </c>
      <c r="G474" t="s">
        <v>893</v>
      </c>
      <c r="H474">
        <v>6</v>
      </c>
      <c r="I474" t="s">
        <v>128</v>
      </c>
      <c r="J474">
        <v>42</v>
      </c>
      <c r="K474">
        <v>44</v>
      </c>
      <c r="L474">
        <v>43</v>
      </c>
      <c r="M474" t="s">
        <v>118</v>
      </c>
      <c r="N474">
        <v>1200</v>
      </c>
      <c r="O474">
        <v>7</v>
      </c>
      <c r="P474">
        <v>7</v>
      </c>
      <c r="Q474">
        <v>210</v>
      </c>
      <c r="R474">
        <v>200</v>
      </c>
      <c r="S474">
        <v>206</v>
      </c>
      <c r="T474">
        <v>3500</v>
      </c>
      <c r="V474" t="s">
        <v>30</v>
      </c>
      <c r="W474" t="s">
        <v>528</v>
      </c>
      <c r="X474" t="s">
        <v>524</v>
      </c>
    </row>
    <row r="475" spans="1:24" x14ac:dyDescent="0.25">
      <c r="A475">
        <v>2025</v>
      </c>
      <c r="B475" t="s">
        <v>238</v>
      </c>
      <c r="C475" t="s">
        <v>239</v>
      </c>
      <c r="D475" t="s">
        <v>892</v>
      </c>
      <c r="E475">
        <v>2.5</v>
      </c>
      <c r="F475">
        <v>4</v>
      </c>
      <c r="G475" t="s">
        <v>526</v>
      </c>
      <c r="H475">
        <v>8</v>
      </c>
      <c r="I475" t="s">
        <v>28</v>
      </c>
      <c r="J475">
        <v>23</v>
      </c>
      <c r="K475">
        <v>30</v>
      </c>
      <c r="L475">
        <v>26</v>
      </c>
      <c r="M475" t="s">
        <v>118</v>
      </c>
      <c r="N475">
        <v>2000</v>
      </c>
      <c r="O475">
        <v>5</v>
      </c>
      <c r="P475">
        <v>5</v>
      </c>
      <c r="Q475">
        <v>384</v>
      </c>
      <c r="R475">
        <v>294</v>
      </c>
      <c r="S475">
        <v>344</v>
      </c>
      <c r="U475">
        <v>500</v>
      </c>
      <c r="V475" t="s">
        <v>30</v>
      </c>
      <c r="W475" t="s">
        <v>558</v>
      </c>
      <c r="X475" t="s">
        <v>524</v>
      </c>
    </row>
    <row r="476" spans="1:24" x14ac:dyDescent="0.25">
      <c r="A476">
        <v>2025</v>
      </c>
      <c r="B476" t="s">
        <v>238</v>
      </c>
      <c r="C476" t="s">
        <v>239</v>
      </c>
      <c r="D476" t="s">
        <v>891</v>
      </c>
      <c r="E476">
        <v>3.8</v>
      </c>
      <c r="F476">
        <v>6</v>
      </c>
      <c r="G476" t="s">
        <v>526</v>
      </c>
      <c r="H476">
        <v>8</v>
      </c>
      <c r="I476" t="s">
        <v>28</v>
      </c>
      <c r="J476">
        <v>18</v>
      </c>
      <c r="K476">
        <v>23</v>
      </c>
      <c r="L476">
        <v>20</v>
      </c>
      <c r="M476" t="s">
        <v>118</v>
      </c>
      <c r="N476">
        <v>2600</v>
      </c>
      <c r="O476">
        <v>4</v>
      </c>
      <c r="P476">
        <v>4</v>
      </c>
      <c r="Q476">
        <v>494</v>
      </c>
      <c r="R476">
        <v>379</v>
      </c>
      <c r="S476">
        <v>442</v>
      </c>
      <c r="U476">
        <v>3500</v>
      </c>
      <c r="V476" t="s">
        <v>30</v>
      </c>
      <c r="W476" t="s">
        <v>558</v>
      </c>
      <c r="X476" t="s">
        <v>524</v>
      </c>
    </row>
    <row r="477" spans="1:24" x14ac:dyDescent="0.25">
      <c r="A477">
        <v>2025</v>
      </c>
      <c r="B477" t="s">
        <v>238</v>
      </c>
      <c r="C477" t="s">
        <v>239</v>
      </c>
      <c r="D477" t="s">
        <v>890</v>
      </c>
      <c r="E477">
        <v>3.8</v>
      </c>
      <c r="F477">
        <v>6</v>
      </c>
      <c r="G477" t="s">
        <v>526</v>
      </c>
      <c r="H477">
        <v>8</v>
      </c>
      <c r="I477" t="s">
        <v>128</v>
      </c>
      <c r="J477">
        <v>20</v>
      </c>
      <c r="K477">
        <v>26</v>
      </c>
      <c r="L477">
        <v>22</v>
      </c>
      <c r="M477" t="s">
        <v>115</v>
      </c>
      <c r="N477">
        <v>2400</v>
      </c>
      <c r="O477">
        <v>5</v>
      </c>
      <c r="P477">
        <v>5</v>
      </c>
      <c r="Q477">
        <v>447</v>
      </c>
      <c r="R477">
        <v>339</v>
      </c>
      <c r="S477">
        <v>398</v>
      </c>
      <c r="U477">
        <v>2500</v>
      </c>
      <c r="V477" t="s">
        <v>30</v>
      </c>
      <c r="W477" t="s">
        <v>558</v>
      </c>
      <c r="X477" t="s">
        <v>524</v>
      </c>
    </row>
    <row r="478" spans="1:24" x14ac:dyDescent="0.25">
      <c r="A478">
        <v>2025</v>
      </c>
      <c r="B478" t="s">
        <v>866</v>
      </c>
      <c r="C478" t="s">
        <v>865</v>
      </c>
      <c r="D478" t="s">
        <v>889</v>
      </c>
      <c r="E478">
        <v>2</v>
      </c>
      <c r="F478">
        <v>4</v>
      </c>
      <c r="G478" t="s">
        <v>526</v>
      </c>
      <c r="H478">
        <v>8</v>
      </c>
      <c r="I478" t="s">
        <v>107</v>
      </c>
      <c r="J478">
        <v>18</v>
      </c>
      <c r="K478">
        <v>20</v>
      </c>
      <c r="L478">
        <v>19</v>
      </c>
      <c r="M478" t="s">
        <v>29</v>
      </c>
      <c r="N478">
        <v>3350</v>
      </c>
      <c r="O478">
        <v>4</v>
      </c>
      <c r="P478">
        <v>4</v>
      </c>
      <c r="Q478">
        <v>496</v>
      </c>
      <c r="R478">
        <v>447</v>
      </c>
      <c r="S478">
        <v>474</v>
      </c>
      <c r="U478">
        <v>7250</v>
      </c>
      <c r="V478" t="s">
        <v>30</v>
      </c>
      <c r="W478" t="s">
        <v>528</v>
      </c>
      <c r="X478" t="s">
        <v>524</v>
      </c>
    </row>
    <row r="479" spans="1:24" x14ac:dyDescent="0.25">
      <c r="A479">
        <v>2025</v>
      </c>
      <c r="B479" t="s">
        <v>866</v>
      </c>
      <c r="C479" t="s">
        <v>865</v>
      </c>
      <c r="D479" t="s">
        <v>889</v>
      </c>
      <c r="E479">
        <v>5</v>
      </c>
      <c r="F479">
        <v>8</v>
      </c>
      <c r="G479" t="s">
        <v>526</v>
      </c>
      <c r="H479">
        <v>8</v>
      </c>
      <c r="I479" t="s">
        <v>107</v>
      </c>
      <c r="J479">
        <v>14</v>
      </c>
      <c r="K479">
        <v>18</v>
      </c>
      <c r="L479">
        <v>16</v>
      </c>
      <c r="M479" t="s">
        <v>29</v>
      </c>
      <c r="N479">
        <v>4000</v>
      </c>
      <c r="O479">
        <v>3</v>
      </c>
      <c r="P479">
        <v>3</v>
      </c>
      <c r="Q479">
        <v>644</v>
      </c>
      <c r="R479">
        <v>489</v>
      </c>
      <c r="S479">
        <v>574</v>
      </c>
      <c r="U479">
        <v>10500</v>
      </c>
      <c r="V479" t="s">
        <v>30</v>
      </c>
      <c r="W479" t="s">
        <v>815</v>
      </c>
      <c r="X479" t="s">
        <v>524</v>
      </c>
    </row>
    <row r="480" spans="1:24" x14ac:dyDescent="0.25">
      <c r="A480">
        <v>2025</v>
      </c>
      <c r="B480" t="s">
        <v>866</v>
      </c>
      <c r="C480" t="s">
        <v>865</v>
      </c>
      <c r="D480" t="s">
        <v>888</v>
      </c>
      <c r="E480">
        <v>4.4000000000000004</v>
      </c>
      <c r="F480">
        <v>8</v>
      </c>
      <c r="G480" t="s">
        <v>526</v>
      </c>
      <c r="H480">
        <v>8</v>
      </c>
      <c r="I480" t="s">
        <v>107</v>
      </c>
      <c r="J480">
        <v>15</v>
      </c>
      <c r="K480">
        <v>19</v>
      </c>
      <c r="L480">
        <v>17</v>
      </c>
      <c r="M480" t="s">
        <v>29</v>
      </c>
      <c r="N480">
        <v>3750</v>
      </c>
      <c r="O480">
        <v>3</v>
      </c>
      <c r="P480">
        <v>3</v>
      </c>
      <c r="Q480">
        <v>597</v>
      </c>
      <c r="R480">
        <v>458</v>
      </c>
      <c r="S480">
        <v>534</v>
      </c>
      <c r="U480">
        <v>9250</v>
      </c>
      <c r="V480" t="s">
        <v>30</v>
      </c>
      <c r="W480" t="s">
        <v>528</v>
      </c>
      <c r="X480" t="s">
        <v>524</v>
      </c>
    </row>
    <row r="481" spans="1:24" x14ac:dyDescent="0.25">
      <c r="A481">
        <v>2025</v>
      </c>
      <c r="B481" t="s">
        <v>866</v>
      </c>
      <c r="C481" t="s">
        <v>865</v>
      </c>
      <c r="D481" t="s">
        <v>887</v>
      </c>
      <c r="E481">
        <v>5</v>
      </c>
      <c r="F481">
        <v>8</v>
      </c>
      <c r="G481" t="s">
        <v>526</v>
      </c>
      <c r="H481">
        <v>8</v>
      </c>
      <c r="I481" t="s">
        <v>107</v>
      </c>
      <c r="J481">
        <v>14</v>
      </c>
      <c r="K481">
        <v>19</v>
      </c>
      <c r="L481">
        <v>16</v>
      </c>
      <c r="M481" t="s">
        <v>29</v>
      </c>
      <c r="N481">
        <v>4000</v>
      </c>
      <c r="O481">
        <v>3</v>
      </c>
      <c r="P481">
        <v>3</v>
      </c>
      <c r="Q481">
        <v>644</v>
      </c>
      <c r="R481">
        <v>474</v>
      </c>
      <c r="S481">
        <v>567</v>
      </c>
      <c r="U481">
        <v>10500</v>
      </c>
      <c r="V481" t="s">
        <v>30</v>
      </c>
      <c r="W481" t="s">
        <v>815</v>
      </c>
      <c r="X481" t="s">
        <v>524</v>
      </c>
    </row>
    <row r="482" spans="1:24" x14ac:dyDescent="0.25">
      <c r="A482">
        <v>2025</v>
      </c>
      <c r="B482" t="s">
        <v>866</v>
      </c>
      <c r="C482" t="s">
        <v>865</v>
      </c>
      <c r="D482" t="s">
        <v>886</v>
      </c>
      <c r="E482">
        <v>3</v>
      </c>
      <c r="F482">
        <v>6</v>
      </c>
      <c r="G482" t="s">
        <v>526</v>
      </c>
      <c r="H482">
        <v>8</v>
      </c>
      <c r="I482" t="s">
        <v>107</v>
      </c>
      <c r="J482">
        <v>16</v>
      </c>
      <c r="K482">
        <v>19</v>
      </c>
      <c r="L482">
        <v>18</v>
      </c>
      <c r="M482" t="s">
        <v>29</v>
      </c>
      <c r="N482">
        <v>3550</v>
      </c>
      <c r="O482">
        <v>4</v>
      </c>
      <c r="P482">
        <v>4</v>
      </c>
      <c r="Q482">
        <v>547</v>
      </c>
      <c r="R482">
        <v>462</v>
      </c>
      <c r="S482">
        <v>509</v>
      </c>
      <c r="U482">
        <v>8250</v>
      </c>
      <c r="V482" t="s">
        <v>30</v>
      </c>
      <c r="W482" t="s">
        <v>525</v>
      </c>
      <c r="X482" t="s">
        <v>524</v>
      </c>
    </row>
    <row r="483" spans="1:24" x14ac:dyDescent="0.25">
      <c r="A483">
        <v>2025</v>
      </c>
      <c r="B483" t="s">
        <v>866</v>
      </c>
      <c r="C483" t="s">
        <v>865</v>
      </c>
      <c r="D483" t="s">
        <v>885</v>
      </c>
      <c r="E483">
        <v>3</v>
      </c>
      <c r="F483">
        <v>6</v>
      </c>
      <c r="G483" t="s">
        <v>526</v>
      </c>
      <c r="H483">
        <v>8</v>
      </c>
      <c r="I483" t="s">
        <v>107</v>
      </c>
      <c r="J483">
        <v>17</v>
      </c>
      <c r="K483">
        <v>20</v>
      </c>
      <c r="L483">
        <v>18</v>
      </c>
      <c r="M483" t="s">
        <v>29</v>
      </c>
      <c r="N483">
        <v>3550</v>
      </c>
      <c r="O483">
        <v>4</v>
      </c>
      <c r="P483">
        <v>4</v>
      </c>
      <c r="Q483">
        <v>531</v>
      </c>
      <c r="R483">
        <v>443</v>
      </c>
      <c r="S483">
        <v>491</v>
      </c>
      <c r="U483">
        <v>8250</v>
      </c>
      <c r="V483" t="s">
        <v>30</v>
      </c>
      <c r="W483" t="s">
        <v>525</v>
      </c>
      <c r="X483" t="s">
        <v>524</v>
      </c>
    </row>
    <row r="484" spans="1:24" x14ac:dyDescent="0.25">
      <c r="A484">
        <v>2025</v>
      </c>
      <c r="B484" t="s">
        <v>866</v>
      </c>
      <c r="C484" t="s">
        <v>865</v>
      </c>
      <c r="D484" t="s">
        <v>884</v>
      </c>
      <c r="E484">
        <v>3</v>
      </c>
      <c r="F484">
        <v>6</v>
      </c>
      <c r="G484" t="s">
        <v>526</v>
      </c>
      <c r="H484">
        <v>8</v>
      </c>
      <c r="I484" t="s">
        <v>107</v>
      </c>
      <c r="J484">
        <v>18</v>
      </c>
      <c r="K484">
        <v>20</v>
      </c>
      <c r="L484">
        <v>19</v>
      </c>
      <c r="M484" t="s">
        <v>29</v>
      </c>
      <c r="N484">
        <v>3350</v>
      </c>
      <c r="O484">
        <v>4</v>
      </c>
      <c r="P484">
        <v>4</v>
      </c>
      <c r="Q484">
        <v>506</v>
      </c>
      <c r="R484">
        <v>434</v>
      </c>
      <c r="S484">
        <v>474</v>
      </c>
      <c r="U484">
        <v>7250</v>
      </c>
      <c r="V484" t="s">
        <v>30</v>
      </c>
      <c r="W484" t="s">
        <v>525</v>
      </c>
      <c r="X484" t="s">
        <v>524</v>
      </c>
    </row>
    <row r="485" spans="1:24" x14ac:dyDescent="0.25">
      <c r="A485">
        <v>2025</v>
      </c>
      <c r="B485" t="s">
        <v>866</v>
      </c>
      <c r="C485" t="s">
        <v>865</v>
      </c>
      <c r="D485" t="s">
        <v>883</v>
      </c>
      <c r="E485">
        <v>2</v>
      </c>
      <c r="F485">
        <v>4</v>
      </c>
      <c r="G485" t="s">
        <v>526</v>
      </c>
      <c r="H485">
        <v>8</v>
      </c>
      <c r="I485" t="s">
        <v>107</v>
      </c>
      <c r="J485">
        <v>18</v>
      </c>
      <c r="K485">
        <v>21</v>
      </c>
      <c r="L485">
        <v>19</v>
      </c>
      <c r="M485" t="s">
        <v>29</v>
      </c>
      <c r="N485">
        <v>3350</v>
      </c>
      <c r="O485">
        <v>4</v>
      </c>
      <c r="P485">
        <v>4</v>
      </c>
      <c r="Q485">
        <v>493</v>
      </c>
      <c r="R485">
        <v>431</v>
      </c>
      <c r="S485">
        <v>465</v>
      </c>
      <c r="U485">
        <v>7250</v>
      </c>
      <c r="V485" t="s">
        <v>30</v>
      </c>
      <c r="W485" t="s">
        <v>528</v>
      </c>
      <c r="X485" t="s">
        <v>524</v>
      </c>
    </row>
    <row r="486" spans="1:24" x14ac:dyDescent="0.25">
      <c r="A486">
        <v>2025</v>
      </c>
      <c r="B486" t="s">
        <v>866</v>
      </c>
      <c r="C486" t="s">
        <v>865</v>
      </c>
      <c r="D486" t="s">
        <v>883</v>
      </c>
      <c r="E486">
        <v>5</v>
      </c>
      <c r="F486">
        <v>8</v>
      </c>
      <c r="G486" t="s">
        <v>526</v>
      </c>
      <c r="H486">
        <v>8</v>
      </c>
      <c r="I486" t="s">
        <v>107</v>
      </c>
      <c r="J486">
        <v>15</v>
      </c>
      <c r="K486">
        <v>19</v>
      </c>
      <c r="L486">
        <v>16</v>
      </c>
      <c r="M486" t="s">
        <v>29</v>
      </c>
      <c r="N486">
        <v>4000</v>
      </c>
      <c r="O486">
        <v>3</v>
      </c>
      <c r="P486">
        <v>3</v>
      </c>
      <c r="Q486">
        <v>615</v>
      </c>
      <c r="R486">
        <v>471</v>
      </c>
      <c r="S486">
        <v>550</v>
      </c>
      <c r="U486">
        <v>10500</v>
      </c>
      <c r="V486" t="s">
        <v>30</v>
      </c>
      <c r="W486" t="s">
        <v>815</v>
      </c>
      <c r="X486" t="s">
        <v>524</v>
      </c>
    </row>
    <row r="487" spans="1:24" x14ac:dyDescent="0.25">
      <c r="A487">
        <v>2025</v>
      </c>
      <c r="B487" t="s">
        <v>866</v>
      </c>
      <c r="C487" t="s">
        <v>865</v>
      </c>
      <c r="D487" t="s">
        <v>882</v>
      </c>
      <c r="E487">
        <v>3</v>
      </c>
      <c r="F487">
        <v>6</v>
      </c>
      <c r="G487" t="s">
        <v>526</v>
      </c>
      <c r="H487">
        <v>8</v>
      </c>
      <c r="I487" t="s">
        <v>107</v>
      </c>
      <c r="J487">
        <v>18</v>
      </c>
      <c r="K487">
        <v>21</v>
      </c>
      <c r="L487">
        <v>19</v>
      </c>
      <c r="M487" t="s">
        <v>29</v>
      </c>
      <c r="N487">
        <v>3350</v>
      </c>
      <c r="O487">
        <v>4</v>
      </c>
      <c r="P487">
        <v>4</v>
      </c>
      <c r="Q487">
        <v>497</v>
      </c>
      <c r="R487">
        <v>433</v>
      </c>
      <c r="S487">
        <v>468</v>
      </c>
      <c r="U487">
        <v>7250</v>
      </c>
      <c r="V487" t="s">
        <v>30</v>
      </c>
      <c r="W487" t="s">
        <v>525</v>
      </c>
      <c r="X487" t="s">
        <v>524</v>
      </c>
    </row>
    <row r="488" spans="1:24" x14ac:dyDescent="0.25">
      <c r="A488">
        <v>2025</v>
      </c>
      <c r="B488" t="s">
        <v>866</v>
      </c>
      <c r="C488" t="s">
        <v>865</v>
      </c>
      <c r="D488" t="s">
        <v>881</v>
      </c>
      <c r="E488">
        <v>2</v>
      </c>
      <c r="F488">
        <v>4</v>
      </c>
      <c r="G488" t="s">
        <v>526</v>
      </c>
      <c r="H488">
        <v>8</v>
      </c>
      <c r="I488" t="s">
        <v>107</v>
      </c>
      <c r="J488">
        <v>19</v>
      </c>
      <c r="K488">
        <v>24</v>
      </c>
      <c r="L488">
        <v>21</v>
      </c>
      <c r="M488" t="s">
        <v>29</v>
      </c>
      <c r="N488">
        <v>3050</v>
      </c>
      <c r="O488">
        <v>4</v>
      </c>
      <c r="P488">
        <v>4</v>
      </c>
      <c r="Q488">
        <v>462</v>
      </c>
      <c r="R488">
        <v>372</v>
      </c>
      <c r="S488">
        <v>421</v>
      </c>
      <c r="U488">
        <v>5750</v>
      </c>
      <c r="V488" t="s">
        <v>30</v>
      </c>
      <c r="W488" t="s">
        <v>528</v>
      </c>
      <c r="X488" t="s">
        <v>524</v>
      </c>
    </row>
    <row r="489" spans="1:24" x14ac:dyDescent="0.25">
      <c r="A489">
        <v>2025</v>
      </c>
      <c r="B489" t="s">
        <v>866</v>
      </c>
      <c r="C489" t="s">
        <v>865</v>
      </c>
      <c r="D489" t="s">
        <v>880</v>
      </c>
      <c r="E489">
        <v>2</v>
      </c>
      <c r="F489">
        <v>4</v>
      </c>
      <c r="G489" t="s">
        <v>686</v>
      </c>
      <c r="H489">
        <v>9</v>
      </c>
      <c r="I489" t="s">
        <v>28</v>
      </c>
      <c r="J489">
        <v>19</v>
      </c>
      <c r="K489">
        <v>23</v>
      </c>
      <c r="L489">
        <v>20</v>
      </c>
      <c r="M489" t="s">
        <v>118</v>
      </c>
      <c r="N489">
        <v>3200</v>
      </c>
      <c r="O489">
        <v>4</v>
      </c>
      <c r="P489">
        <v>4</v>
      </c>
      <c r="Q489">
        <v>482</v>
      </c>
      <c r="R489">
        <v>381</v>
      </c>
      <c r="S489">
        <v>437</v>
      </c>
      <c r="U489">
        <v>6500</v>
      </c>
      <c r="V489" t="s">
        <v>30</v>
      </c>
      <c r="W489" t="s">
        <v>528</v>
      </c>
      <c r="X489" t="s">
        <v>524</v>
      </c>
    </row>
    <row r="490" spans="1:24" x14ac:dyDescent="0.25">
      <c r="A490">
        <v>2025</v>
      </c>
      <c r="B490" t="s">
        <v>866</v>
      </c>
      <c r="C490" t="s">
        <v>865</v>
      </c>
      <c r="D490" t="s">
        <v>879</v>
      </c>
      <c r="E490">
        <v>2</v>
      </c>
      <c r="F490">
        <v>4</v>
      </c>
      <c r="G490" t="s">
        <v>686</v>
      </c>
      <c r="H490">
        <v>9</v>
      </c>
      <c r="I490" t="s">
        <v>28</v>
      </c>
      <c r="J490">
        <v>20</v>
      </c>
      <c r="K490">
        <v>27</v>
      </c>
      <c r="L490">
        <v>22</v>
      </c>
      <c r="M490" t="s">
        <v>118</v>
      </c>
      <c r="N490">
        <v>2900</v>
      </c>
      <c r="O490">
        <v>5</v>
      </c>
      <c r="P490">
        <v>5</v>
      </c>
      <c r="Q490">
        <v>451</v>
      </c>
      <c r="R490">
        <v>334</v>
      </c>
      <c r="S490">
        <v>398</v>
      </c>
      <c r="U490">
        <v>5000</v>
      </c>
      <c r="V490" t="s">
        <v>30</v>
      </c>
      <c r="W490" t="s">
        <v>528</v>
      </c>
      <c r="X490" t="s">
        <v>524</v>
      </c>
    </row>
    <row r="491" spans="1:24" x14ac:dyDescent="0.25">
      <c r="A491">
        <v>2025</v>
      </c>
      <c r="B491" t="s">
        <v>866</v>
      </c>
      <c r="C491" t="s">
        <v>865</v>
      </c>
      <c r="D491" t="s">
        <v>878</v>
      </c>
      <c r="E491">
        <v>4.4000000000000004</v>
      </c>
      <c r="F491">
        <v>8</v>
      </c>
      <c r="G491" t="s">
        <v>526</v>
      </c>
      <c r="H491">
        <v>8</v>
      </c>
      <c r="I491" t="s">
        <v>107</v>
      </c>
      <c r="J491">
        <v>16</v>
      </c>
      <c r="K491">
        <v>22</v>
      </c>
      <c r="L491">
        <v>18</v>
      </c>
      <c r="M491" t="s">
        <v>29</v>
      </c>
      <c r="N491">
        <v>3550</v>
      </c>
      <c r="O491">
        <v>4</v>
      </c>
      <c r="P491">
        <v>4</v>
      </c>
      <c r="Q491">
        <v>574</v>
      </c>
      <c r="R491">
        <v>411</v>
      </c>
      <c r="S491">
        <v>501</v>
      </c>
      <c r="U491">
        <v>8250</v>
      </c>
      <c r="V491" t="s">
        <v>30</v>
      </c>
      <c r="W491" t="s">
        <v>528</v>
      </c>
      <c r="X491" t="s">
        <v>524</v>
      </c>
    </row>
    <row r="492" spans="1:24" x14ac:dyDescent="0.25">
      <c r="A492">
        <v>2025</v>
      </c>
      <c r="B492" t="s">
        <v>866</v>
      </c>
      <c r="C492" t="s">
        <v>865</v>
      </c>
      <c r="D492" t="s">
        <v>877</v>
      </c>
      <c r="E492">
        <v>4.4000000000000004</v>
      </c>
      <c r="F492">
        <v>8</v>
      </c>
      <c r="G492" t="s">
        <v>526</v>
      </c>
      <c r="H492">
        <v>8</v>
      </c>
      <c r="I492" t="s">
        <v>107</v>
      </c>
      <c r="J492">
        <v>16</v>
      </c>
      <c r="K492">
        <v>23</v>
      </c>
      <c r="L492">
        <v>19</v>
      </c>
      <c r="M492" t="s">
        <v>29</v>
      </c>
      <c r="N492">
        <v>3350</v>
      </c>
      <c r="O492">
        <v>4</v>
      </c>
      <c r="P492">
        <v>4</v>
      </c>
      <c r="Q492">
        <v>549</v>
      </c>
      <c r="R492">
        <v>388</v>
      </c>
      <c r="S492">
        <v>477</v>
      </c>
      <c r="U492">
        <v>7250</v>
      </c>
      <c r="V492" t="s">
        <v>30</v>
      </c>
      <c r="W492" t="s">
        <v>528</v>
      </c>
      <c r="X492" t="s">
        <v>524</v>
      </c>
    </row>
    <row r="493" spans="1:24" x14ac:dyDescent="0.25">
      <c r="A493">
        <v>2025</v>
      </c>
      <c r="B493" t="s">
        <v>866</v>
      </c>
      <c r="C493" t="s">
        <v>865</v>
      </c>
      <c r="D493" t="s">
        <v>876</v>
      </c>
      <c r="E493">
        <v>3</v>
      </c>
      <c r="F493">
        <v>6</v>
      </c>
      <c r="G493" t="s">
        <v>526</v>
      </c>
      <c r="H493">
        <v>8</v>
      </c>
      <c r="I493" t="s">
        <v>107</v>
      </c>
      <c r="J493">
        <v>19</v>
      </c>
      <c r="K493">
        <v>24</v>
      </c>
      <c r="L493">
        <v>21</v>
      </c>
      <c r="M493" t="s">
        <v>29</v>
      </c>
      <c r="N493">
        <v>3050</v>
      </c>
      <c r="O493">
        <v>4</v>
      </c>
      <c r="P493">
        <v>4</v>
      </c>
      <c r="Q493">
        <v>471</v>
      </c>
      <c r="R493">
        <v>375</v>
      </c>
      <c r="S493">
        <v>428</v>
      </c>
      <c r="U493">
        <v>5750</v>
      </c>
      <c r="V493" t="s">
        <v>30</v>
      </c>
      <c r="W493" t="s">
        <v>525</v>
      </c>
      <c r="X493" t="s">
        <v>524</v>
      </c>
    </row>
    <row r="494" spans="1:24" x14ac:dyDescent="0.25">
      <c r="A494">
        <v>2025</v>
      </c>
      <c r="B494" t="s">
        <v>866</v>
      </c>
      <c r="C494" t="s">
        <v>865</v>
      </c>
      <c r="D494" t="s">
        <v>875</v>
      </c>
      <c r="E494">
        <v>3</v>
      </c>
      <c r="F494">
        <v>6</v>
      </c>
      <c r="G494" t="s">
        <v>526</v>
      </c>
      <c r="H494">
        <v>8</v>
      </c>
      <c r="I494" t="s">
        <v>107</v>
      </c>
      <c r="J494">
        <v>19</v>
      </c>
      <c r="K494">
        <v>24</v>
      </c>
      <c r="L494">
        <v>21</v>
      </c>
      <c r="M494" t="s">
        <v>29</v>
      </c>
      <c r="N494">
        <v>3050</v>
      </c>
      <c r="O494">
        <v>4</v>
      </c>
      <c r="P494">
        <v>4</v>
      </c>
      <c r="Q494">
        <v>471</v>
      </c>
      <c r="R494">
        <v>375</v>
      </c>
      <c r="S494">
        <v>428</v>
      </c>
      <c r="U494">
        <v>5750</v>
      </c>
      <c r="V494" t="s">
        <v>30</v>
      </c>
      <c r="W494" t="s">
        <v>525</v>
      </c>
      <c r="X494" t="s">
        <v>524</v>
      </c>
    </row>
    <row r="495" spans="1:24" x14ac:dyDescent="0.25">
      <c r="A495">
        <v>2025</v>
      </c>
      <c r="B495" t="s">
        <v>866</v>
      </c>
      <c r="C495" t="s">
        <v>865</v>
      </c>
      <c r="D495" t="s">
        <v>874</v>
      </c>
      <c r="E495">
        <v>4.4000000000000004</v>
      </c>
      <c r="F495">
        <v>8</v>
      </c>
      <c r="G495" t="s">
        <v>526</v>
      </c>
      <c r="H495">
        <v>8</v>
      </c>
      <c r="I495" t="s">
        <v>107</v>
      </c>
      <c r="J495">
        <v>16</v>
      </c>
      <c r="K495">
        <v>23</v>
      </c>
      <c r="L495">
        <v>19</v>
      </c>
      <c r="M495" t="s">
        <v>29</v>
      </c>
      <c r="N495">
        <v>3350</v>
      </c>
      <c r="O495">
        <v>4</v>
      </c>
      <c r="P495">
        <v>4</v>
      </c>
      <c r="Q495">
        <v>549</v>
      </c>
      <c r="R495">
        <v>388</v>
      </c>
      <c r="S495">
        <v>477</v>
      </c>
      <c r="U495">
        <v>7250</v>
      </c>
      <c r="V495" t="s">
        <v>30</v>
      </c>
      <c r="W495" t="s">
        <v>528</v>
      </c>
      <c r="X495" t="s">
        <v>524</v>
      </c>
    </row>
    <row r="496" spans="1:24" x14ac:dyDescent="0.25">
      <c r="A496">
        <v>2025</v>
      </c>
      <c r="B496" t="s">
        <v>866</v>
      </c>
      <c r="C496" t="s">
        <v>865</v>
      </c>
      <c r="D496" t="s">
        <v>873</v>
      </c>
      <c r="E496">
        <v>3</v>
      </c>
      <c r="F496">
        <v>6</v>
      </c>
      <c r="G496" t="s">
        <v>526</v>
      </c>
      <c r="H496">
        <v>8</v>
      </c>
      <c r="I496" t="s">
        <v>107</v>
      </c>
      <c r="J496">
        <v>20</v>
      </c>
      <c r="K496">
        <v>25</v>
      </c>
      <c r="L496">
        <v>22</v>
      </c>
      <c r="M496" t="s">
        <v>29</v>
      </c>
      <c r="N496">
        <v>2900</v>
      </c>
      <c r="O496">
        <v>5</v>
      </c>
      <c r="P496">
        <v>5</v>
      </c>
      <c r="Q496">
        <v>446</v>
      </c>
      <c r="R496">
        <v>342</v>
      </c>
      <c r="S496">
        <v>399</v>
      </c>
      <c r="U496">
        <v>5000</v>
      </c>
      <c r="V496" t="s">
        <v>30</v>
      </c>
      <c r="W496" t="s">
        <v>525</v>
      </c>
      <c r="X496" t="s">
        <v>524</v>
      </c>
    </row>
    <row r="497" spans="1:24" x14ac:dyDescent="0.25">
      <c r="A497">
        <v>2025</v>
      </c>
      <c r="B497" t="s">
        <v>866</v>
      </c>
      <c r="C497" t="s">
        <v>865</v>
      </c>
      <c r="D497" t="s">
        <v>872</v>
      </c>
      <c r="E497">
        <v>3</v>
      </c>
      <c r="F497">
        <v>6</v>
      </c>
      <c r="G497" t="s">
        <v>526</v>
      </c>
      <c r="H497">
        <v>8</v>
      </c>
      <c r="I497" t="s">
        <v>107</v>
      </c>
      <c r="J497">
        <v>20</v>
      </c>
      <c r="K497">
        <v>25</v>
      </c>
      <c r="L497">
        <v>22</v>
      </c>
      <c r="M497" t="s">
        <v>29</v>
      </c>
      <c r="N497">
        <v>2900</v>
      </c>
      <c r="O497">
        <v>5</v>
      </c>
      <c r="P497">
        <v>5</v>
      </c>
      <c r="Q497">
        <v>446</v>
      </c>
      <c r="R497">
        <v>342</v>
      </c>
      <c r="S497">
        <v>399</v>
      </c>
      <c r="U497">
        <v>5000</v>
      </c>
      <c r="V497" t="s">
        <v>30</v>
      </c>
      <c r="W497" t="s">
        <v>525</v>
      </c>
      <c r="X497" t="s">
        <v>524</v>
      </c>
    </row>
    <row r="498" spans="1:24" x14ac:dyDescent="0.25">
      <c r="A498">
        <v>2025</v>
      </c>
      <c r="B498" t="s">
        <v>866</v>
      </c>
      <c r="C498" t="s">
        <v>865</v>
      </c>
      <c r="D498" t="s">
        <v>871</v>
      </c>
      <c r="E498">
        <v>4.4000000000000004</v>
      </c>
      <c r="F498">
        <v>8</v>
      </c>
      <c r="G498" t="s">
        <v>526</v>
      </c>
      <c r="H498">
        <v>8</v>
      </c>
      <c r="I498" t="s">
        <v>107</v>
      </c>
      <c r="J498">
        <v>16</v>
      </c>
      <c r="K498">
        <v>22</v>
      </c>
      <c r="L498">
        <v>18</v>
      </c>
      <c r="M498" t="s">
        <v>29</v>
      </c>
      <c r="N498">
        <v>3550</v>
      </c>
      <c r="O498">
        <v>4</v>
      </c>
      <c r="P498">
        <v>4</v>
      </c>
      <c r="Q498">
        <v>568</v>
      </c>
      <c r="R498">
        <v>410</v>
      </c>
      <c r="S498">
        <v>497</v>
      </c>
      <c r="U498">
        <v>8250</v>
      </c>
      <c r="V498" t="s">
        <v>30</v>
      </c>
      <c r="W498" t="s">
        <v>528</v>
      </c>
      <c r="X498" t="s">
        <v>524</v>
      </c>
    </row>
    <row r="499" spans="1:24" x14ac:dyDescent="0.25">
      <c r="A499">
        <v>2025</v>
      </c>
      <c r="B499" t="s">
        <v>866</v>
      </c>
      <c r="C499" t="s">
        <v>865</v>
      </c>
      <c r="D499" t="s">
        <v>870</v>
      </c>
      <c r="E499">
        <v>4.4000000000000004</v>
      </c>
      <c r="F499">
        <v>8</v>
      </c>
      <c r="G499" t="s">
        <v>526</v>
      </c>
      <c r="H499">
        <v>8</v>
      </c>
      <c r="I499" t="s">
        <v>107</v>
      </c>
      <c r="J499">
        <v>16</v>
      </c>
      <c r="K499">
        <v>22</v>
      </c>
      <c r="L499">
        <v>18</v>
      </c>
      <c r="M499" t="s">
        <v>29</v>
      </c>
      <c r="N499">
        <v>3550</v>
      </c>
      <c r="O499">
        <v>4</v>
      </c>
      <c r="P499">
        <v>4</v>
      </c>
      <c r="Q499">
        <v>574</v>
      </c>
      <c r="R499">
        <v>411</v>
      </c>
      <c r="S499">
        <v>501</v>
      </c>
      <c r="U499">
        <v>8250</v>
      </c>
      <c r="V499" t="s">
        <v>30</v>
      </c>
      <c r="W499" t="s">
        <v>528</v>
      </c>
      <c r="X499" t="s">
        <v>524</v>
      </c>
    </row>
    <row r="500" spans="1:24" x14ac:dyDescent="0.25">
      <c r="A500">
        <v>2025</v>
      </c>
      <c r="B500" t="s">
        <v>866</v>
      </c>
      <c r="C500" t="s">
        <v>865</v>
      </c>
      <c r="D500" t="s">
        <v>869</v>
      </c>
      <c r="E500">
        <v>4.4000000000000004</v>
      </c>
      <c r="F500">
        <v>8</v>
      </c>
      <c r="G500" t="s">
        <v>526</v>
      </c>
      <c r="H500">
        <v>8</v>
      </c>
      <c r="I500" t="s">
        <v>107</v>
      </c>
      <c r="J500">
        <v>16</v>
      </c>
      <c r="K500">
        <v>22</v>
      </c>
      <c r="L500">
        <v>18</v>
      </c>
      <c r="M500" t="s">
        <v>29</v>
      </c>
      <c r="N500">
        <v>3550</v>
      </c>
      <c r="O500">
        <v>4</v>
      </c>
      <c r="P500">
        <v>4</v>
      </c>
      <c r="Q500">
        <v>574</v>
      </c>
      <c r="R500">
        <v>411</v>
      </c>
      <c r="S500">
        <v>501</v>
      </c>
      <c r="U500">
        <v>8250</v>
      </c>
      <c r="V500" t="s">
        <v>30</v>
      </c>
      <c r="W500" t="s">
        <v>528</v>
      </c>
      <c r="X500" t="s">
        <v>524</v>
      </c>
    </row>
    <row r="501" spans="1:24" x14ac:dyDescent="0.25">
      <c r="A501">
        <v>2025</v>
      </c>
      <c r="B501" t="s">
        <v>866</v>
      </c>
      <c r="C501" t="s">
        <v>865</v>
      </c>
      <c r="D501" t="s">
        <v>868</v>
      </c>
      <c r="E501">
        <v>2</v>
      </c>
      <c r="F501">
        <v>4</v>
      </c>
      <c r="G501" t="s">
        <v>526</v>
      </c>
      <c r="H501">
        <v>8</v>
      </c>
      <c r="I501" t="s">
        <v>28</v>
      </c>
      <c r="J501">
        <v>22</v>
      </c>
      <c r="K501">
        <v>26</v>
      </c>
      <c r="L501">
        <v>23</v>
      </c>
      <c r="M501" t="s">
        <v>118</v>
      </c>
      <c r="N501">
        <v>2750</v>
      </c>
      <c r="O501">
        <v>5</v>
      </c>
      <c r="P501">
        <v>5</v>
      </c>
      <c r="Q501">
        <v>415</v>
      </c>
      <c r="R501">
        <v>339</v>
      </c>
      <c r="S501">
        <v>381</v>
      </c>
      <c r="U501">
        <v>4250</v>
      </c>
      <c r="V501" t="s">
        <v>30</v>
      </c>
      <c r="W501" t="s">
        <v>528</v>
      </c>
      <c r="X501" t="s">
        <v>524</v>
      </c>
    </row>
    <row r="502" spans="1:24" x14ac:dyDescent="0.25">
      <c r="A502">
        <v>2025</v>
      </c>
      <c r="B502" t="s">
        <v>866</v>
      </c>
      <c r="C502" t="s">
        <v>865</v>
      </c>
      <c r="D502" t="s">
        <v>867</v>
      </c>
      <c r="E502">
        <v>3</v>
      </c>
      <c r="F502">
        <v>6</v>
      </c>
      <c r="G502" t="s">
        <v>526</v>
      </c>
      <c r="H502">
        <v>8</v>
      </c>
      <c r="I502" t="s">
        <v>107</v>
      </c>
      <c r="J502">
        <v>19</v>
      </c>
      <c r="K502">
        <v>26</v>
      </c>
      <c r="L502">
        <v>22</v>
      </c>
      <c r="M502" t="s">
        <v>118</v>
      </c>
      <c r="N502">
        <v>2900</v>
      </c>
      <c r="O502">
        <v>5</v>
      </c>
      <c r="P502">
        <v>5</v>
      </c>
      <c r="Q502">
        <v>460</v>
      </c>
      <c r="R502">
        <v>343</v>
      </c>
      <c r="S502">
        <v>407</v>
      </c>
      <c r="U502">
        <v>5000</v>
      </c>
      <c r="V502" t="s">
        <v>30</v>
      </c>
      <c r="W502" t="s">
        <v>525</v>
      </c>
      <c r="X502" t="s">
        <v>524</v>
      </c>
    </row>
    <row r="503" spans="1:24" x14ac:dyDescent="0.25">
      <c r="A503">
        <v>2025</v>
      </c>
      <c r="B503" t="s">
        <v>866</v>
      </c>
      <c r="C503" t="s">
        <v>865</v>
      </c>
      <c r="D503" t="s">
        <v>864</v>
      </c>
      <c r="E503">
        <v>3</v>
      </c>
      <c r="F503">
        <v>6</v>
      </c>
      <c r="G503" t="s">
        <v>526</v>
      </c>
      <c r="H503">
        <v>8</v>
      </c>
      <c r="I503" t="s">
        <v>107</v>
      </c>
      <c r="J503">
        <v>19</v>
      </c>
      <c r="K503">
        <v>25</v>
      </c>
      <c r="L503">
        <v>21</v>
      </c>
      <c r="M503" t="s">
        <v>118</v>
      </c>
      <c r="N503">
        <v>3050</v>
      </c>
      <c r="O503">
        <v>4</v>
      </c>
      <c r="P503">
        <v>4</v>
      </c>
      <c r="Q503">
        <v>473</v>
      </c>
      <c r="R503">
        <v>354</v>
      </c>
      <c r="S503">
        <v>420</v>
      </c>
      <c r="U503">
        <v>5750</v>
      </c>
      <c r="V503" t="s">
        <v>30</v>
      </c>
      <c r="W503" t="s">
        <v>525</v>
      </c>
      <c r="X503" t="s">
        <v>524</v>
      </c>
    </row>
    <row r="504" spans="1:24" x14ac:dyDescent="0.25">
      <c r="A504">
        <v>2025</v>
      </c>
      <c r="B504" t="s">
        <v>253</v>
      </c>
      <c r="C504" t="s">
        <v>254</v>
      </c>
      <c r="D504" t="s">
        <v>863</v>
      </c>
      <c r="E504">
        <v>2.5</v>
      </c>
      <c r="F504">
        <v>4</v>
      </c>
      <c r="G504" t="s">
        <v>526</v>
      </c>
      <c r="H504">
        <v>8</v>
      </c>
      <c r="I504" t="s">
        <v>28</v>
      </c>
      <c r="J504">
        <v>24</v>
      </c>
      <c r="K504">
        <v>33</v>
      </c>
      <c r="L504">
        <v>28</v>
      </c>
      <c r="M504" t="s">
        <v>186</v>
      </c>
      <c r="N504">
        <v>1900</v>
      </c>
      <c r="O504">
        <v>6</v>
      </c>
      <c r="P504">
        <v>6</v>
      </c>
      <c r="Q504">
        <v>365</v>
      </c>
      <c r="R504">
        <v>265</v>
      </c>
      <c r="S504">
        <v>320</v>
      </c>
      <c r="T504">
        <v>0</v>
      </c>
      <c r="V504" t="s">
        <v>30</v>
      </c>
      <c r="W504" t="s">
        <v>558</v>
      </c>
      <c r="X504" t="s">
        <v>565</v>
      </c>
    </row>
    <row r="505" spans="1:24" x14ac:dyDescent="0.25">
      <c r="A505">
        <v>2025</v>
      </c>
      <c r="B505" t="s">
        <v>253</v>
      </c>
      <c r="C505" t="s">
        <v>254</v>
      </c>
      <c r="D505" t="s">
        <v>862</v>
      </c>
      <c r="E505">
        <v>2.5</v>
      </c>
      <c r="F505">
        <v>4</v>
      </c>
      <c r="G505" t="s">
        <v>559</v>
      </c>
      <c r="H505">
        <v>6</v>
      </c>
      <c r="I505" t="s">
        <v>128</v>
      </c>
      <c r="J505">
        <v>43</v>
      </c>
      <c r="K505">
        <v>44</v>
      </c>
      <c r="L505">
        <v>44</v>
      </c>
      <c r="M505" t="s">
        <v>186</v>
      </c>
      <c r="N505">
        <v>1200</v>
      </c>
      <c r="O505">
        <v>7</v>
      </c>
      <c r="P505">
        <v>7</v>
      </c>
      <c r="Q505">
        <v>204</v>
      </c>
      <c r="R505">
        <v>200</v>
      </c>
      <c r="S505">
        <v>200</v>
      </c>
      <c r="T505">
        <v>3500</v>
      </c>
      <c r="V505" t="s">
        <v>30</v>
      </c>
      <c r="W505" t="s">
        <v>558</v>
      </c>
      <c r="X505" t="s">
        <v>524</v>
      </c>
    </row>
    <row r="506" spans="1:24" x14ac:dyDescent="0.25">
      <c r="A506">
        <v>2025</v>
      </c>
      <c r="B506" t="s">
        <v>253</v>
      </c>
      <c r="C506" t="s">
        <v>254</v>
      </c>
      <c r="D506" t="s">
        <v>861</v>
      </c>
      <c r="E506">
        <v>3.5</v>
      </c>
      <c r="F506">
        <v>6</v>
      </c>
      <c r="G506" t="s">
        <v>526</v>
      </c>
      <c r="H506">
        <v>8</v>
      </c>
      <c r="I506" t="s">
        <v>128</v>
      </c>
      <c r="J506">
        <v>22</v>
      </c>
      <c r="K506">
        <v>32</v>
      </c>
      <c r="L506">
        <v>25</v>
      </c>
      <c r="M506" t="s">
        <v>186</v>
      </c>
      <c r="N506">
        <v>2100</v>
      </c>
      <c r="O506">
        <v>5</v>
      </c>
      <c r="P506">
        <v>5</v>
      </c>
      <c r="Q506">
        <v>405</v>
      </c>
      <c r="R506">
        <v>276</v>
      </c>
      <c r="S506">
        <v>347</v>
      </c>
      <c r="U506">
        <v>1000</v>
      </c>
      <c r="V506" t="s">
        <v>30</v>
      </c>
      <c r="W506" t="s">
        <v>558</v>
      </c>
      <c r="X506" t="s">
        <v>565</v>
      </c>
    </row>
    <row r="507" spans="1:24" x14ac:dyDescent="0.25">
      <c r="A507">
        <v>2025</v>
      </c>
      <c r="B507" t="s">
        <v>253</v>
      </c>
      <c r="C507" t="s">
        <v>254</v>
      </c>
      <c r="D507" t="s">
        <v>860</v>
      </c>
      <c r="E507">
        <v>3.5</v>
      </c>
      <c r="F507">
        <v>6</v>
      </c>
      <c r="G507" t="s">
        <v>526</v>
      </c>
      <c r="H507">
        <v>8</v>
      </c>
      <c r="I507" t="s">
        <v>128</v>
      </c>
      <c r="J507">
        <v>22</v>
      </c>
      <c r="K507">
        <v>31</v>
      </c>
      <c r="L507">
        <v>25</v>
      </c>
      <c r="M507" t="s">
        <v>186</v>
      </c>
      <c r="N507">
        <v>2100</v>
      </c>
      <c r="O507">
        <v>5</v>
      </c>
      <c r="P507">
        <v>5</v>
      </c>
      <c r="Q507">
        <v>409</v>
      </c>
      <c r="R507">
        <v>283</v>
      </c>
      <c r="S507">
        <v>352</v>
      </c>
      <c r="U507">
        <v>1000</v>
      </c>
      <c r="V507" t="s">
        <v>30</v>
      </c>
      <c r="W507" t="s">
        <v>558</v>
      </c>
      <c r="X507" t="s">
        <v>565</v>
      </c>
    </row>
    <row r="508" spans="1:24" x14ac:dyDescent="0.25">
      <c r="A508">
        <v>2025</v>
      </c>
      <c r="B508" t="s">
        <v>253</v>
      </c>
      <c r="C508" t="s">
        <v>254</v>
      </c>
      <c r="D508" t="s">
        <v>859</v>
      </c>
      <c r="E508">
        <v>3.4</v>
      </c>
      <c r="F508">
        <v>6</v>
      </c>
      <c r="G508" t="s">
        <v>554</v>
      </c>
      <c r="H508">
        <v>10</v>
      </c>
      <c r="I508" t="s">
        <v>107</v>
      </c>
      <c r="J508">
        <v>15</v>
      </c>
      <c r="K508">
        <v>21</v>
      </c>
      <c r="L508">
        <v>17</v>
      </c>
      <c r="M508" t="s">
        <v>29</v>
      </c>
      <c r="N508">
        <v>3750</v>
      </c>
      <c r="O508">
        <v>3</v>
      </c>
      <c r="P508">
        <v>3</v>
      </c>
      <c r="Q508">
        <v>576</v>
      </c>
      <c r="R508">
        <v>420</v>
      </c>
      <c r="S508">
        <v>505</v>
      </c>
      <c r="U508">
        <v>9250</v>
      </c>
      <c r="V508" t="s">
        <v>30</v>
      </c>
      <c r="W508" t="s">
        <v>528</v>
      </c>
      <c r="X508" t="s">
        <v>565</v>
      </c>
    </row>
    <row r="509" spans="1:24" x14ac:dyDescent="0.25">
      <c r="A509">
        <v>2025</v>
      </c>
      <c r="B509" t="s">
        <v>253</v>
      </c>
      <c r="C509" t="s">
        <v>254</v>
      </c>
      <c r="D509" t="s">
        <v>858</v>
      </c>
      <c r="E509">
        <v>2</v>
      </c>
      <c r="F509">
        <v>4</v>
      </c>
      <c r="G509" t="s">
        <v>526</v>
      </c>
      <c r="H509">
        <v>8</v>
      </c>
      <c r="I509" t="s">
        <v>46</v>
      </c>
      <c r="J509">
        <v>21</v>
      </c>
      <c r="K509">
        <v>31</v>
      </c>
      <c r="L509">
        <v>25</v>
      </c>
      <c r="M509" t="s">
        <v>75</v>
      </c>
      <c r="N509">
        <v>2550</v>
      </c>
      <c r="O509">
        <v>5</v>
      </c>
      <c r="P509">
        <v>5</v>
      </c>
      <c r="Q509">
        <v>414</v>
      </c>
      <c r="R509">
        <v>284</v>
      </c>
      <c r="S509">
        <v>356</v>
      </c>
      <c r="U509">
        <v>3250</v>
      </c>
      <c r="V509" t="s">
        <v>30</v>
      </c>
      <c r="W509" t="s">
        <v>528</v>
      </c>
      <c r="X509" t="s">
        <v>565</v>
      </c>
    </row>
    <row r="510" spans="1:24" x14ac:dyDescent="0.25">
      <c r="A510">
        <v>2025</v>
      </c>
      <c r="B510" t="s">
        <v>253</v>
      </c>
      <c r="C510" t="s">
        <v>254</v>
      </c>
      <c r="D510" t="s">
        <v>857</v>
      </c>
      <c r="E510">
        <v>3.5</v>
      </c>
      <c r="F510">
        <v>6</v>
      </c>
      <c r="G510" t="s">
        <v>594</v>
      </c>
      <c r="H510">
        <v>6</v>
      </c>
      <c r="I510" t="s">
        <v>28</v>
      </c>
      <c r="J510">
        <v>19</v>
      </c>
      <c r="K510">
        <v>26</v>
      </c>
      <c r="L510">
        <v>22</v>
      </c>
      <c r="M510" t="s">
        <v>75</v>
      </c>
      <c r="N510">
        <v>2900</v>
      </c>
      <c r="O510">
        <v>5</v>
      </c>
      <c r="P510">
        <v>5</v>
      </c>
      <c r="Q510">
        <v>461</v>
      </c>
      <c r="R510">
        <v>340</v>
      </c>
      <c r="S510">
        <v>407</v>
      </c>
      <c r="U510">
        <v>5000</v>
      </c>
      <c r="V510" t="s">
        <v>30</v>
      </c>
      <c r="W510" t="s">
        <v>558</v>
      </c>
      <c r="X510" t="s">
        <v>565</v>
      </c>
    </row>
    <row r="511" spans="1:24" x14ac:dyDescent="0.25">
      <c r="A511">
        <v>2025</v>
      </c>
      <c r="B511" t="s">
        <v>253</v>
      </c>
      <c r="C511" t="s">
        <v>254</v>
      </c>
      <c r="D511" t="s">
        <v>856</v>
      </c>
      <c r="E511">
        <v>3.5</v>
      </c>
      <c r="F511">
        <v>6</v>
      </c>
      <c r="G511" t="s">
        <v>526</v>
      </c>
      <c r="H511">
        <v>8</v>
      </c>
      <c r="I511" t="s">
        <v>46</v>
      </c>
      <c r="J511">
        <v>20</v>
      </c>
      <c r="K511">
        <v>28</v>
      </c>
      <c r="L511">
        <v>23</v>
      </c>
      <c r="M511" t="s">
        <v>75</v>
      </c>
      <c r="N511">
        <v>2750</v>
      </c>
      <c r="O511">
        <v>5</v>
      </c>
      <c r="P511">
        <v>5</v>
      </c>
      <c r="Q511">
        <v>441</v>
      </c>
      <c r="R511">
        <v>317</v>
      </c>
      <c r="S511">
        <v>385</v>
      </c>
      <c r="U511">
        <v>4250</v>
      </c>
      <c r="V511" t="s">
        <v>30</v>
      </c>
      <c r="W511" t="s">
        <v>558</v>
      </c>
      <c r="X511" t="s">
        <v>565</v>
      </c>
    </row>
    <row r="512" spans="1:24" x14ac:dyDescent="0.25">
      <c r="A512">
        <v>2025</v>
      </c>
      <c r="B512" t="s">
        <v>253</v>
      </c>
      <c r="C512" t="s">
        <v>254</v>
      </c>
      <c r="D512" t="s">
        <v>855</v>
      </c>
      <c r="E512">
        <v>3.5</v>
      </c>
      <c r="F512">
        <v>6</v>
      </c>
      <c r="G512" t="s">
        <v>594</v>
      </c>
      <c r="H512">
        <v>6</v>
      </c>
      <c r="I512" t="s">
        <v>28</v>
      </c>
      <c r="J512">
        <v>19</v>
      </c>
      <c r="K512">
        <v>26</v>
      </c>
      <c r="L512">
        <v>22</v>
      </c>
      <c r="M512" t="s">
        <v>75</v>
      </c>
      <c r="N512">
        <v>2900</v>
      </c>
      <c r="O512">
        <v>5</v>
      </c>
      <c r="P512">
        <v>5</v>
      </c>
      <c r="Q512">
        <v>461</v>
      </c>
      <c r="R512">
        <v>340</v>
      </c>
      <c r="S512">
        <v>407</v>
      </c>
      <c r="U512">
        <v>5000</v>
      </c>
      <c r="V512" t="s">
        <v>30</v>
      </c>
      <c r="W512" t="s">
        <v>558</v>
      </c>
      <c r="X512" t="s">
        <v>565</v>
      </c>
    </row>
    <row r="513" spans="1:24" x14ac:dyDescent="0.25">
      <c r="A513">
        <v>2025</v>
      </c>
      <c r="B513" t="s">
        <v>253</v>
      </c>
      <c r="C513" t="s">
        <v>254</v>
      </c>
      <c r="D513" t="s">
        <v>854</v>
      </c>
      <c r="E513">
        <v>5</v>
      </c>
      <c r="F513">
        <v>8</v>
      </c>
      <c r="G513" t="s">
        <v>526</v>
      </c>
      <c r="H513">
        <v>8</v>
      </c>
      <c r="I513" t="s">
        <v>46</v>
      </c>
      <c r="J513">
        <v>17</v>
      </c>
      <c r="K513">
        <v>25</v>
      </c>
      <c r="L513">
        <v>20</v>
      </c>
      <c r="M513" t="s">
        <v>75</v>
      </c>
      <c r="N513">
        <v>3200</v>
      </c>
      <c r="O513">
        <v>4</v>
      </c>
      <c r="P513">
        <v>4</v>
      </c>
      <c r="Q513">
        <v>534</v>
      </c>
      <c r="R513">
        <v>350</v>
      </c>
      <c r="S513">
        <v>451</v>
      </c>
      <c r="U513">
        <v>6500</v>
      </c>
      <c r="V513" t="s">
        <v>30</v>
      </c>
      <c r="W513" t="s">
        <v>558</v>
      </c>
      <c r="X513" t="s">
        <v>565</v>
      </c>
    </row>
    <row r="514" spans="1:24" x14ac:dyDescent="0.25">
      <c r="A514">
        <v>2025</v>
      </c>
      <c r="B514" t="s">
        <v>253</v>
      </c>
      <c r="C514" t="s">
        <v>254</v>
      </c>
      <c r="D514" t="s">
        <v>853</v>
      </c>
      <c r="E514">
        <v>5</v>
      </c>
      <c r="F514">
        <v>8</v>
      </c>
      <c r="G514" t="s">
        <v>554</v>
      </c>
      <c r="H514">
        <v>10</v>
      </c>
      <c r="I514" t="s">
        <v>46</v>
      </c>
      <c r="J514">
        <v>16</v>
      </c>
      <c r="K514">
        <v>24</v>
      </c>
      <c r="L514">
        <v>18</v>
      </c>
      <c r="M514" t="s">
        <v>36</v>
      </c>
      <c r="N514">
        <v>3550</v>
      </c>
      <c r="O514">
        <v>4</v>
      </c>
      <c r="P514">
        <v>4</v>
      </c>
      <c r="Q514">
        <v>573</v>
      </c>
      <c r="R514">
        <v>368</v>
      </c>
      <c r="S514">
        <v>481</v>
      </c>
      <c r="U514">
        <v>8250</v>
      </c>
      <c r="V514" t="s">
        <v>30</v>
      </c>
      <c r="W514" t="s">
        <v>558</v>
      </c>
      <c r="X514" t="s">
        <v>565</v>
      </c>
    </row>
    <row r="515" spans="1:24" x14ac:dyDescent="0.25">
      <c r="A515">
        <v>2025</v>
      </c>
      <c r="B515" t="s">
        <v>253</v>
      </c>
      <c r="C515" t="s">
        <v>254</v>
      </c>
      <c r="D515" t="s">
        <v>852</v>
      </c>
      <c r="E515">
        <v>5</v>
      </c>
      <c r="F515">
        <v>8</v>
      </c>
      <c r="G515" t="s">
        <v>554</v>
      </c>
      <c r="H515">
        <v>10</v>
      </c>
      <c r="I515" t="s">
        <v>46</v>
      </c>
      <c r="J515">
        <v>15</v>
      </c>
      <c r="K515">
        <v>25</v>
      </c>
      <c r="L515">
        <v>18</v>
      </c>
      <c r="M515" t="s">
        <v>155</v>
      </c>
      <c r="N515">
        <v>3550</v>
      </c>
      <c r="O515">
        <v>4</v>
      </c>
      <c r="P515">
        <v>4</v>
      </c>
      <c r="Q515">
        <v>598</v>
      </c>
      <c r="R515">
        <v>356</v>
      </c>
      <c r="S515">
        <v>489</v>
      </c>
      <c r="U515">
        <v>8250</v>
      </c>
      <c r="V515" t="s">
        <v>30</v>
      </c>
      <c r="W515" t="s">
        <v>558</v>
      </c>
      <c r="X515" t="s">
        <v>565</v>
      </c>
    </row>
    <row r="516" spans="1:24" x14ac:dyDescent="0.25">
      <c r="A516">
        <v>2025</v>
      </c>
      <c r="B516" t="s">
        <v>253</v>
      </c>
      <c r="C516" t="s">
        <v>254</v>
      </c>
      <c r="D516" t="s">
        <v>851</v>
      </c>
      <c r="E516">
        <v>3.5</v>
      </c>
      <c r="F516">
        <v>6</v>
      </c>
      <c r="G516" t="s">
        <v>603</v>
      </c>
      <c r="H516">
        <v>10</v>
      </c>
      <c r="I516" t="s">
        <v>46</v>
      </c>
      <c r="J516">
        <v>26</v>
      </c>
      <c r="K516">
        <v>33</v>
      </c>
      <c r="L516">
        <v>29</v>
      </c>
      <c r="M516" t="s">
        <v>36</v>
      </c>
      <c r="N516">
        <v>2200</v>
      </c>
      <c r="O516">
        <v>6</v>
      </c>
      <c r="P516">
        <v>6</v>
      </c>
      <c r="Q516">
        <v>336</v>
      </c>
      <c r="R516">
        <v>264</v>
      </c>
      <c r="S516">
        <v>304</v>
      </c>
      <c r="U516">
        <v>1500</v>
      </c>
      <c r="V516" t="s">
        <v>30</v>
      </c>
      <c r="W516" t="s">
        <v>558</v>
      </c>
      <c r="X516" t="s">
        <v>524</v>
      </c>
    </row>
    <row r="517" spans="1:24" x14ac:dyDescent="0.25">
      <c r="A517">
        <v>2025</v>
      </c>
      <c r="B517" t="s">
        <v>253</v>
      </c>
      <c r="C517" t="s">
        <v>254</v>
      </c>
      <c r="D517" t="s">
        <v>850</v>
      </c>
      <c r="E517">
        <v>3.4</v>
      </c>
      <c r="F517">
        <v>6</v>
      </c>
      <c r="G517" t="s">
        <v>554</v>
      </c>
      <c r="H517">
        <v>10</v>
      </c>
      <c r="I517" t="s">
        <v>46</v>
      </c>
      <c r="J517">
        <v>18</v>
      </c>
      <c r="K517">
        <v>29</v>
      </c>
      <c r="L517">
        <v>22</v>
      </c>
      <c r="M517" t="s">
        <v>186</v>
      </c>
      <c r="N517">
        <v>2900</v>
      </c>
      <c r="O517">
        <v>5</v>
      </c>
      <c r="P517">
        <v>5</v>
      </c>
      <c r="Q517">
        <v>483</v>
      </c>
      <c r="R517">
        <v>309</v>
      </c>
      <c r="S517">
        <v>404</v>
      </c>
      <c r="U517">
        <v>5000</v>
      </c>
      <c r="V517" t="s">
        <v>30</v>
      </c>
      <c r="W517" t="s">
        <v>528</v>
      </c>
      <c r="X517" t="s">
        <v>565</v>
      </c>
    </row>
    <row r="518" spans="1:24" x14ac:dyDescent="0.25">
      <c r="A518">
        <v>2025</v>
      </c>
      <c r="B518" t="s">
        <v>253</v>
      </c>
      <c r="C518" t="s">
        <v>254</v>
      </c>
      <c r="D518" t="s">
        <v>849</v>
      </c>
      <c r="E518">
        <v>3.4</v>
      </c>
      <c r="F518">
        <v>6</v>
      </c>
      <c r="G518" t="s">
        <v>554</v>
      </c>
      <c r="H518">
        <v>10</v>
      </c>
      <c r="I518" t="s">
        <v>28</v>
      </c>
      <c r="J518">
        <v>17</v>
      </c>
      <c r="K518">
        <v>27</v>
      </c>
      <c r="L518">
        <v>21</v>
      </c>
      <c r="M518" t="s">
        <v>186</v>
      </c>
      <c r="N518">
        <v>3050</v>
      </c>
      <c r="O518">
        <v>4</v>
      </c>
      <c r="P518">
        <v>4</v>
      </c>
      <c r="Q518">
        <v>499</v>
      </c>
      <c r="R518">
        <v>318</v>
      </c>
      <c r="S518">
        <v>418</v>
      </c>
      <c r="U518">
        <v>5750</v>
      </c>
      <c r="V518" t="s">
        <v>30</v>
      </c>
      <c r="W518" t="s">
        <v>528</v>
      </c>
      <c r="X518" t="s">
        <v>565</v>
      </c>
    </row>
    <row r="519" spans="1:24" x14ac:dyDescent="0.25">
      <c r="A519">
        <v>2025</v>
      </c>
      <c r="B519" t="s">
        <v>253</v>
      </c>
      <c r="C519" t="s">
        <v>254</v>
      </c>
      <c r="D519" t="s">
        <v>848</v>
      </c>
      <c r="E519">
        <v>3.5</v>
      </c>
      <c r="F519">
        <v>6</v>
      </c>
      <c r="G519" t="s">
        <v>603</v>
      </c>
      <c r="H519">
        <v>10</v>
      </c>
      <c r="I519" t="s">
        <v>28</v>
      </c>
      <c r="J519">
        <v>22</v>
      </c>
      <c r="K519">
        <v>29</v>
      </c>
      <c r="L519">
        <v>25</v>
      </c>
      <c r="M519" t="s">
        <v>186</v>
      </c>
      <c r="N519">
        <v>2550</v>
      </c>
      <c r="O519">
        <v>5</v>
      </c>
      <c r="P519">
        <v>5</v>
      </c>
      <c r="Q519">
        <v>391</v>
      </c>
      <c r="R519">
        <v>307</v>
      </c>
      <c r="S519">
        <v>353</v>
      </c>
      <c r="U519">
        <v>3250</v>
      </c>
      <c r="V519" t="s">
        <v>30</v>
      </c>
      <c r="W519" t="s">
        <v>558</v>
      </c>
      <c r="X519" t="s">
        <v>524</v>
      </c>
    </row>
    <row r="520" spans="1:24" x14ac:dyDescent="0.25">
      <c r="A520">
        <v>2025</v>
      </c>
      <c r="B520" t="s">
        <v>253</v>
      </c>
      <c r="C520" t="s">
        <v>254</v>
      </c>
      <c r="D520" t="s">
        <v>848</v>
      </c>
      <c r="E520">
        <v>3.5</v>
      </c>
      <c r="F520">
        <v>6</v>
      </c>
      <c r="G520" t="s">
        <v>603</v>
      </c>
      <c r="H520">
        <v>10</v>
      </c>
      <c r="I520" t="s">
        <v>28</v>
      </c>
      <c r="J520">
        <v>22</v>
      </c>
      <c r="K520">
        <v>29</v>
      </c>
      <c r="L520">
        <v>25</v>
      </c>
      <c r="M520" t="s">
        <v>186</v>
      </c>
      <c r="N520">
        <v>2550</v>
      </c>
      <c r="O520">
        <v>5</v>
      </c>
      <c r="P520">
        <v>5</v>
      </c>
      <c r="Q520">
        <v>400</v>
      </c>
      <c r="R520">
        <v>307</v>
      </c>
      <c r="S520">
        <v>358</v>
      </c>
      <c r="U520">
        <v>3250</v>
      </c>
      <c r="V520" t="s">
        <v>30</v>
      </c>
      <c r="W520" t="s">
        <v>558</v>
      </c>
      <c r="X520" t="s">
        <v>524</v>
      </c>
    </row>
    <row r="521" spans="1:24" x14ac:dyDescent="0.25">
      <c r="A521">
        <v>2025</v>
      </c>
      <c r="B521" t="s">
        <v>253</v>
      </c>
      <c r="C521" t="s">
        <v>254</v>
      </c>
      <c r="D521" t="s">
        <v>847</v>
      </c>
      <c r="E521">
        <v>3.4</v>
      </c>
      <c r="F521">
        <v>6</v>
      </c>
      <c r="G521" t="s">
        <v>554</v>
      </c>
      <c r="H521">
        <v>10</v>
      </c>
      <c r="I521" t="s">
        <v>28</v>
      </c>
      <c r="J521">
        <v>17</v>
      </c>
      <c r="K521">
        <v>22</v>
      </c>
      <c r="L521">
        <v>19</v>
      </c>
      <c r="M521" t="s">
        <v>29</v>
      </c>
      <c r="N521">
        <v>3350</v>
      </c>
      <c r="O521">
        <v>4</v>
      </c>
      <c r="P521">
        <v>4</v>
      </c>
      <c r="Q521">
        <v>533</v>
      </c>
      <c r="R521">
        <v>408</v>
      </c>
      <c r="S521">
        <v>477</v>
      </c>
      <c r="U521">
        <v>7250</v>
      </c>
      <c r="V521" t="s">
        <v>30</v>
      </c>
      <c r="W521" t="s">
        <v>528</v>
      </c>
      <c r="X521" t="s">
        <v>524</v>
      </c>
    </row>
    <row r="522" spans="1:24" x14ac:dyDescent="0.25">
      <c r="A522">
        <v>2025</v>
      </c>
      <c r="B522" t="s">
        <v>253</v>
      </c>
      <c r="C522" t="s">
        <v>254</v>
      </c>
      <c r="D522" t="s">
        <v>846</v>
      </c>
      <c r="E522">
        <v>3.4</v>
      </c>
      <c r="F522">
        <v>6</v>
      </c>
      <c r="G522" t="s">
        <v>554</v>
      </c>
      <c r="H522">
        <v>10</v>
      </c>
      <c r="I522" t="s">
        <v>28</v>
      </c>
      <c r="J522">
        <v>19</v>
      </c>
      <c r="K522">
        <v>22</v>
      </c>
      <c r="L522">
        <v>20</v>
      </c>
      <c r="M522" t="s">
        <v>29</v>
      </c>
      <c r="N522">
        <v>3200</v>
      </c>
      <c r="O522">
        <v>4</v>
      </c>
      <c r="P522">
        <v>4</v>
      </c>
      <c r="Q522">
        <v>469</v>
      </c>
      <c r="R522">
        <v>401</v>
      </c>
      <c r="S522">
        <v>439</v>
      </c>
      <c r="U522">
        <v>6500</v>
      </c>
      <c r="V522" t="s">
        <v>30</v>
      </c>
      <c r="W522" t="s">
        <v>528</v>
      </c>
      <c r="X522" t="s">
        <v>524</v>
      </c>
    </row>
    <row r="523" spans="1:24" x14ac:dyDescent="0.25">
      <c r="A523">
        <v>2025</v>
      </c>
      <c r="B523" t="s">
        <v>253</v>
      </c>
      <c r="C523" t="s">
        <v>254</v>
      </c>
      <c r="D523" t="s">
        <v>845</v>
      </c>
      <c r="E523">
        <v>2.5</v>
      </c>
      <c r="F523">
        <v>4</v>
      </c>
      <c r="G523" t="s">
        <v>526</v>
      </c>
      <c r="H523">
        <v>8</v>
      </c>
      <c r="I523" t="s">
        <v>128</v>
      </c>
      <c r="J523">
        <v>26</v>
      </c>
      <c r="K523">
        <v>33</v>
      </c>
      <c r="L523">
        <v>28</v>
      </c>
      <c r="M523" t="s">
        <v>115</v>
      </c>
      <c r="N523">
        <v>1900</v>
      </c>
      <c r="O523">
        <v>6</v>
      </c>
      <c r="P523">
        <v>6</v>
      </c>
      <c r="Q523">
        <v>345</v>
      </c>
      <c r="R523">
        <v>269</v>
      </c>
      <c r="S523">
        <v>311</v>
      </c>
      <c r="T523">
        <v>0</v>
      </c>
      <c r="V523" t="s">
        <v>30</v>
      </c>
      <c r="W523" t="s">
        <v>558</v>
      </c>
      <c r="X523" t="s">
        <v>524</v>
      </c>
    </row>
    <row r="524" spans="1:24" x14ac:dyDescent="0.25">
      <c r="A524">
        <v>2025</v>
      </c>
      <c r="B524" t="s">
        <v>253</v>
      </c>
      <c r="C524" t="s">
        <v>254</v>
      </c>
      <c r="D524" t="s">
        <v>844</v>
      </c>
      <c r="E524">
        <v>2.5</v>
      </c>
      <c r="F524">
        <v>4</v>
      </c>
      <c r="G524" t="s">
        <v>526</v>
      </c>
      <c r="H524">
        <v>8</v>
      </c>
      <c r="I524" t="s">
        <v>28</v>
      </c>
      <c r="J524">
        <v>25</v>
      </c>
      <c r="K524">
        <v>32</v>
      </c>
      <c r="L524">
        <v>28</v>
      </c>
      <c r="M524" t="s">
        <v>118</v>
      </c>
      <c r="N524">
        <v>1900</v>
      </c>
      <c r="O524">
        <v>6</v>
      </c>
      <c r="P524">
        <v>6</v>
      </c>
      <c r="Q524">
        <v>352</v>
      </c>
      <c r="R524">
        <v>276</v>
      </c>
      <c r="S524">
        <v>318</v>
      </c>
      <c r="T524">
        <v>0</v>
      </c>
      <c r="V524" t="s">
        <v>30</v>
      </c>
      <c r="W524" t="s">
        <v>558</v>
      </c>
      <c r="X524" t="s">
        <v>524</v>
      </c>
    </row>
    <row r="525" spans="1:24" x14ac:dyDescent="0.25">
      <c r="A525">
        <v>2025</v>
      </c>
      <c r="B525" t="s">
        <v>253</v>
      </c>
      <c r="C525" t="s">
        <v>254</v>
      </c>
      <c r="D525" t="s">
        <v>843</v>
      </c>
      <c r="E525">
        <v>2.4</v>
      </c>
      <c r="F525">
        <v>4</v>
      </c>
      <c r="G525" t="s">
        <v>526</v>
      </c>
      <c r="H525">
        <v>8</v>
      </c>
      <c r="I525" t="s">
        <v>28</v>
      </c>
      <c r="J525">
        <v>21</v>
      </c>
      <c r="K525">
        <v>28</v>
      </c>
      <c r="L525">
        <v>24</v>
      </c>
      <c r="M525" t="s">
        <v>118</v>
      </c>
      <c r="N525">
        <v>2650</v>
      </c>
      <c r="O525">
        <v>5</v>
      </c>
      <c r="P525">
        <v>5</v>
      </c>
      <c r="Q525">
        <v>414</v>
      </c>
      <c r="R525">
        <v>317</v>
      </c>
      <c r="S525">
        <v>370</v>
      </c>
      <c r="U525">
        <v>3750</v>
      </c>
      <c r="V525" t="s">
        <v>30</v>
      </c>
      <c r="W525" t="s">
        <v>528</v>
      </c>
      <c r="X525" t="s">
        <v>524</v>
      </c>
    </row>
    <row r="526" spans="1:24" x14ac:dyDescent="0.25">
      <c r="A526">
        <v>2025</v>
      </c>
      <c r="B526" t="s">
        <v>253</v>
      </c>
      <c r="C526" t="s">
        <v>254</v>
      </c>
      <c r="D526" t="s">
        <v>842</v>
      </c>
      <c r="E526">
        <v>2.4</v>
      </c>
      <c r="F526">
        <v>4</v>
      </c>
      <c r="G526" t="s">
        <v>526</v>
      </c>
      <c r="H526">
        <v>8</v>
      </c>
      <c r="I526" t="s">
        <v>28</v>
      </c>
      <c r="J526">
        <v>21</v>
      </c>
      <c r="K526">
        <v>28</v>
      </c>
      <c r="L526">
        <v>24</v>
      </c>
      <c r="M526" t="s">
        <v>118</v>
      </c>
      <c r="N526">
        <v>2650</v>
      </c>
      <c r="O526">
        <v>5</v>
      </c>
      <c r="P526">
        <v>5</v>
      </c>
      <c r="Q526">
        <v>420</v>
      </c>
      <c r="R526">
        <v>309</v>
      </c>
      <c r="S526">
        <v>370</v>
      </c>
      <c r="U526">
        <v>3750</v>
      </c>
      <c r="V526" t="s">
        <v>30</v>
      </c>
      <c r="W526" t="s">
        <v>528</v>
      </c>
      <c r="X526" t="s">
        <v>524</v>
      </c>
    </row>
    <row r="527" spans="1:24" x14ac:dyDescent="0.25">
      <c r="A527">
        <v>2025</v>
      </c>
      <c r="B527" t="s">
        <v>253</v>
      </c>
      <c r="C527" t="s">
        <v>254</v>
      </c>
      <c r="D527" t="s">
        <v>841</v>
      </c>
      <c r="E527">
        <v>2.5</v>
      </c>
      <c r="F527">
        <v>4</v>
      </c>
      <c r="G527" t="s">
        <v>559</v>
      </c>
      <c r="H527">
        <v>6</v>
      </c>
      <c r="I527" t="s">
        <v>28</v>
      </c>
      <c r="J527">
        <v>41</v>
      </c>
      <c r="K527">
        <v>37</v>
      </c>
      <c r="L527">
        <v>39</v>
      </c>
      <c r="M527" t="s">
        <v>118</v>
      </c>
      <c r="N527">
        <v>1650</v>
      </c>
      <c r="O527">
        <v>7</v>
      </c>
      <c r="P527">
        <v>7</v>
      </c>
      <c r="Q527">
        <v>212</v>
      </c>
      <c r="R527">
        <v>235</v>
      </c>
      <c r="S527">
        <v>225</v>
      </c>
      <c r="T527">
        <v>1250</v>
      </c>
      <c r="V527" t="s">
        <v>30</v>
      </c>
      <c r="W527" t="s">
        <v>558</v>
      </c>
      <c r="X527" t="s">
        <v>524</v>
      </c>
    </row>
    <row r="528" spans="1:24" x14ac:dyDescent="0.25">
      <c r="A528">
        <v>2025</v>
      </c>
      <c r="B528" t="s">
        <v>253</v>
      </c>
      <c r="C528" t="s">
        <v>254</v>
      </c>
      <c r="D528" t="s">
        <v>840</v>
      </c>
      <c r="E528">
        <v>2</v>
      </c>
      <c r="F528">
        <v>4</v>
      </c>
      <c r="G528" t="s">
        <v>526</v>
      </c>
      <c r="H528">
        <v>8</v>
      </c>
      <c r="I528" t="s">
        <v>46</v>
      </c>
      <c r="J528">
        <v>21</v>
      </c>
      <c r="K528">
        <v>31</v>
      </c>
      <c r="L528">
        <v>25</v>
      </c>
      <c r="M528" t="s">
        <v>36</v>
      </c>
      <c r="N528">
        <v>2550</v>
      </c>
      <c r="O528">
        <v>5</v>
      </c>
      <c r="P528">
        <v>5</v>
      </c>
      <c r="Q528">
        <v>414</v>
      </c>
      <c r="R528">
        <v>284</v>
      </c>
      <c r="S528">
        <v>356</v>
      </c>
      <c r="U528">
        <v>3250</v>
      </c>
      <c r="V528" t="s">
        <v>30</v>
      </c>
      <c r="W528" t="s">
        <v>528</v>
      </c>
      <c r="X528" t="s">
        <v>565</v>
      </c>
    </row>
    <row r="529" spans="1:24" x14ac:dyDescent="0.25">
      <c r="A529">
        <v>2025</v>
      </c>
      <c r="B529" t="s">
        <v>253</v>
      </c>
      <c r="C529" t="s">
        <v>254</v>
      </c>
      <c r="D529" t="s">
        <v>839</v>
      </c>
      <c r="E529">
        <v>3.5</v>
      </c>
      <c r="F529">
        <v>6</v>
      </c>
      <c r="G529" t="s">
        <v>594</v>
      </c>
      <c r="H529">
        <v>6</v>
      </c>
      <c r="I529" t="s">
        <v>28</v>
      </c>
      <c r="J529">
        <v>19</v>
      </c>
      <c r="K529">
        <v>26</v>
      </c>
      <c r="L529">
        <v>22</v>
      </c>
      <c r="M529" t="s">
        <v>36</v>
      </c>
      <c r="N529">
        <v>2900</v>
      </c>
      <c r="O529">
        <v>5</v>
      </c>
      <c r="P529">
        <v>5</v>
      </c>
      <c r="Q529">
        <v>461</v>
      </c>
      <c r="R529">
        <v>340</v>
      </c>
      <c r="S529">
        <v>407</v>
      </c>
      <c r="U529">
        <v>5000</v>
      </c>
      <c r="V529" t="s">
        <v>30</v>
      </c>
      <c r="W529" t="s">
        <v>558</v>
      </c>
      <c r="X529" t="s">
        <v>565</v>
      </c>
    </row>
    <row r="530" spans="1:24" x14ac:dyDescent="0.25">
      <c r="A530">
        <v>2025</v>
      </c>
      <c r="B530" t="s">
        <v>253</v>
      </c>
      <c r="C530" t="s">
        <v>254</v>
      </c>
      <c r="D530" t="s">
        <v>838</v>
      </c>
      <c r="E530">
        <v>3.5</v>
      </c>
      <c r="F530">
        <v>6</v>
      </c>
      <c r="G530" t="s">
        <v>526</v>
      </c>
      <c r="H530">
        <v>8</v>
      </c>
      <c r="I530" t="s">
        <v>46</v>
      </c>
      <c r="J530">
        <v>20</v>
      </c>
      <c r="K530">
        <v>28</v>
      </c>
      <c r="L530">
        <v>23</v>
      </c>
      <c r="M530" t="s">
        <v>36</v>
      </c>
      <c r="N530">
        <v>2750</v>
      </c>
      <c r="O530">
        <v>5</v>
      </c>
      <c r="P530">
        <v>5</v>
      </c>
      <c r="Q530">
        <v>441</v>
      </c>
      <c r="R530">
        <v>317</v>
      </c>
      <c r="S530">
        <v>385</v>
      </c>
      <c r="U530">
        <v>4250</v>
      </c>
      <c r="V530" t="s">
        <v>30</v>
      </c>
      <c r="W530" t="s">
        <v>558</v>
      </c>
      <c r="X530" t="s">
        <v>565</v>
      </c>
    </row>
    <row r="531" spans="1:24" x14ac:dyDescent="0.25">
      <c r="A531">
        <v>2025</v>
      </c>
      <c r="B531" t="s">
        <v>253</v>
      </c>
      <c r="C531" t="s">
        <v>254</v>
      </c>
      <c r="D531" t="s">
        <v>837</v>
      </c>
      <c r="E531">
        <v>3.5</v>
      </c>
      <c r="F531">
        <v>6</v>
      </c>
      <c r="G531" t="s">
        <v>594</v>
      </c>
      <c r="H531">
        <v>6</v>
      </c>
      <c r="I531" t="s">
        <v>28</v>
      </c>
      <c r="J531">
        <v>19</v>
      </c>
      <c r="K531">
        <v>26</v>
      </c>
      <c r="L531">
        <v>22</v>
      </c>
      <c r="M531" t="s">
        <v>36</v>
      </c>
      <c r="N531">
        <v>2900</v>
      </c>
      <c r="O531">
        <v>5</v>
      </c>
      <c r="P531">
        <v>5</v>
      </c>
      <c r="Q531">
        <v>461</v>
      </c>
      <c r="R531">
        <v>340</v>
      </c>
      <c r="S531">
        <v>407</v>
      </c>
      <c r="U531">
        <v>5000</v>
      </c>
      <c r="V531" t="s">
        <v>30</v>
      </c>
      <c r="W531" t="s">
        <v>558</v>
      </c>
      <c r="X531" t="s">
        <v>565</v>
      </c>
    </row>
    <row r="532" spans="1:24" x14ac:dyDescent="0.25">
      <c r="A532">
        <v>2025</v>
      </c>
      <c r="B532" t="s">
        <v>253</v>
      </c>
      <c r="C532" t="s">
        <v>254</v>
      </c>
      <c r="D532" t="s">
        <v>836</v>
      </c>
      <c r="E532">
        <v>5</v>
      </c>
      <c r="F532">
        <v>8</v>
      </c>
      <c r="G532" t="s">
        <v>526</v>
      </c>
      <c r="H532">
        <v>8</v>
      </c>
      <c r="I532" t="s">
        <v>46</v>
      </c>
      <c r="J532">
        <v>16</v>
      </c>
      <c r="K532">
        <v>24</v>
      </c>
      <c r="L532">
        <v>19</v>
      </c>
      <c r="M532" t="s">
        <v>36</v>
      </c>
      <c r="N532">
        <v>3350</v>
      </c>
      <c r="O532">
        <v>4</v>
      </c>
      <c r="P532">
        <v>4</v>
      </c>
      <c r="Q532">
        <v>538</v>
      </c>
      <c r="R532">
        <v>361</v>
      </c>
      <c r="S532">
        <v>459</v>
      </c>
      <c r="U532">
        <v>7250</v>
      </c>
      <c r="V532" t="s">
        <v>30</v>
      </c>
      <c r="W532" t="s">
        <v>558</v>
      </c>
      <c r="X532" t="s">
        <v>565</v>
      </c>
    </row>
    <row r="533" spans="1:24" x14ac:dyDescent="0.25">
      <c r="A533">
        <v>2025</v>
      </c>
      <c r="B533" t="s">
        <v>253</v>
      </c>
      <c r="C533" t="s">
        <v>254</v>
      </c>
      <c r="D533" t="s">
        <v>835</v>
      </c>
      <c r="E533">
        <v>2.4</v>
      </c>
      <c r="F533">
        <v>4</v>
      </c>
      <c r="G533" t="s">
        <v>526</v>
      </c>
      <c r="H533">
        <v>8</v>
      </c>
      <c r="I533" t="s">
        <v>128</v>
      </c>
      <c r="J533">
        <v>22</v>
      </c>
      <c r="K533">
        <v>29</v>
      </c>
      <c r="L533">
        <v>25</v>
      </c>
      <c r="M533" t="s">
        <v>115</v>
      </c>
      <c r="N533">
        <v>2550</v>
      </c>
      <c r="O533">
        <v>5</v>
      </c>
      <c r="P533">
        <v>5</v>
      </c>
      <c r="Q533">
        <v>396</v>
      </c>
      <c r="R533">
        <v>303</v>
      </c>
      <c r="S533">
        <v>354</v>
      </c>
      <c r="U533">
        <v>3250</v>
      </c>
      <c r="V533" t="s">
        <v>30</v>
      </c>
      <c r="W533" t="s">
        <v>528</v>
      </c>
      <c r="X533" t="s">
        <v>524</v>
      </c>
    </row>
    <row r="534" spans="1:24" x14ac:dyDescent="0.25">
      <c r="A534">
        <v>2025</v>
      </c>
      <c r="B534" t="s">
        <v>253</v>
      </c>
      <c r="C534" t="s">
        <v>254</v>
      </c>
      <c r="D534" t="s">
        <v>834</v>
      </c>
      <c r="E534">
        <v>2.4</v>
      </c>
      <c r="F534">
        <v>4</v>
      </c>
      <c r="G534" t="s">
        <v>526</v>
      </c>
      <c r="H534">
        <v>8</v>
      </c>
      <c r="I534" t="s">
        <v>28</v>
      </c>
      <c r="J534">
        <v>21</v>
      </c>
      <c r="K534">
        <v>28</v>
      </c>
      <c r="L534">
        <v>24</v>
      </c>
      <c r="M534" t="s">
        <v>118</v>
      </c>
      <c r="N534">
        <v>2650</v>
      </c>
      <c r="O534">
        <v>5</v>
      </c>
      <c r="P534">
        <v>5</v>
      </c>
      <c r="Q534">
        <v>417</v>
      </c>
      <c r="R534">
        <v>312</v>
      </c>
      <c r="S534">
        <v>370</v>
      </c>
      <c r="U534">
        <v>3750</v>
      </c>
      <c r="V534" t="s">
        <v>30</v>
      </c>
      <c r="W534" t="s">
        <v>528</v>
      </c>
      <c r="X534" t="s">
        <v>524</v>
      </c>
    </row>
    <row r="535" spans="1:24" x14ac:dyDescent="0.25">
      <c r="A535">
        <v>2025</v>
      </c>
      <c r="B535" t="s">
        <v>253</v>
      </c>
      <c r="C535" t="s">
        <v>254</v>
      </c>
      <c r="D535" t="s">
        <v>833</v>
      </c>
      <c r="E535">
        <v>2.5</v>
      </c>
      <c r="F535">
        <v>4</v>
      </c>
      <c r="G535" t="s">
        <v>559</v>
      </c>
      <c r="H535">
        <v>6</v>
      </c>
      <c r="I535" t="s">
        <v>28</v>
      </c>
      <c r="J535">
        <v>37</v>
      </c>
      <c r="K535">
        <v>34</v>
      </c>
      <c r="L535">
        <v>36</v>
      </c>
      <c r="M535" t="s">
        <v>118</v>
      </c>
      <c r="N535">
        <v>1750</v>
      </c>
      <c r="O535">
        <v>7</v>
      </c>
      <c r="P535">
        <v>7</v>
      </c>
      <c r="Q535">
        <v>234</v>
      </c>
      <c r="R535">
        <v>256</v>
      </c>
      <c r="S535">
        <v>244</v>
      </c>
      <c r="T535">
        <v>750</v>
      </c>
      <c r="V535" t="s">
        <v>30</v>
      </c>
      <c r="W535" t="s">
        <v>558</v>
      </c>
      <c r="X535" t="s">
        <v>524</v>
      </c>
    </row>
    <row r="536" spans="1:24" x14ac:dyDescent="0.25">
      <c r="A536">
        <v>2025</v>
      </c>
      <c r="B536" t="s">
        <v>253</v>
      </c>
      <c r="C536" t="s">
        <v>254</v>
      </c>
      <c r="D536" t="s">
        <v>832</v>
      </c>
      <c r="E536">
        <v>2.4</v>
      </c>
      <c r="F536">
        <v>4</v>
      </c>
      <c r="G536" t="s">
        <v>594</v>
      </c>
      <c r="H536">
        <v>6</v>
      </c>
      <c r="I536" t="s">
        <v>28</v>
      </c>
      <c r="J536">
        <v>27</v>
      </c>
      <c r="K536">
        <v>28</v>
      </c>
      <c r="L536">
        <v>27</v>
      </c>
      <c r="M536" t="s">
        <v>118</v>
      </c>
      <c r="N536">
        <v>2350</v>
      </c>
      <c r="O536">
        <v>5</v>
      </c>
      <c r="P536">
        <v>5</v>
      </c>
      <c r="Q536">
        <v>326</v>
      </c>
      <c r="R536">
        <v>314</v>
      </c>
      <c r="S536">
        <v>321</v>
      </c>
      <c r="U536">
        <v>2250</v>
      </c>
      <c r="V536" t="s">
        <v>30</v>
      </c>
      <c r="W536" t="s">
        <v>528</v>
      </c>
      <c r="X536" t="s">
        <v>524</v>
      </c>
    </row>
    <row r="537" spans="1:24" x14ac:dyDescent="0.25">
      <c r="A537">
        <v>2025</v>
      </c>
      <c r="B537" t="s">
        <v>253</v>
      </c>
      <c r="C537" t="s">
        <v>254</v>
      </c>
      <c r="D537" t="s">
        <v>831</v>
      </c>
      <c r="E537">
        <v>2.4</v>
      </c>
      <c r="F537">
        <v>4</v>
      </c>
      <c r="G537" t="s">
        <v>526</v>
      </c>
      <c r="H537">
        <v>8</v>
      </c>
      <c r="I537" t="s">
        <v>128</v>
      </c>
      <c r="J537">
        <v>21</v>
      </c>
      <c r="K537">
        <v>27</v>
      </c>
      <c r="L537">
        <v>23</v>
      </c>
      <c r="M537" t="s">
        <v>47</v>
      </c>
      <c r="N537">
        <v>2750</v>
      </c>
      <c r="O537">
        <v>5</v>
      </c>
      <c r="P537">
        <v>5</v>
      </c>
      <c r="Q537">
        <v>423</v>
      </c>
      <c r="R537">
        <v>321</v>
      </c>
      <c r="S537">
        <v>377</v>
      </c>
      <c r="U537">
        <v>4250</v>
      </c>
      <c r="V537" t="s">
        <v>30</v>
      </c>
      <c r="W537" t="s">
        <v>528</v>
      </c>
      <c r="X537" t="s">
        <v>524</v>
      </c>
    </row>
    <row r="538" spans="1:24" x14ac:dyDescent="0.25">
      <c r="A538">
        <v>2025</v>
      </c>
      <c r="B538" t="s">
        <v>253</v>
      </c>
      <c r="C538" t="s">
        <v>254</v>
      </c>
      <c r="D538" t="s">
        <v>830</v>
      </c>
      <c r="E538">
        <v>2.4</v>
      </c>
      <c r="F538">
        <v>4</v>
      </c>
      <c r="G538" t="s">
        <v>526</v>
      </c>
      <c r="H538">
        <v>8</v>
      </c>
      <c r="I538" t="s">
        <v>28</v>
      </c>
      <c r="J538">
        <v>20</v>
      </c>
      <c r="K538">
        <v>26</v>
      </c>
      <c r="L538">
        <v>23</v>
      </c>
      <c r="M538" t="s">
        <v>29</v>
      </c>
      <c r="N538">
        <v>2750</v>
      </c>
      <c r="O538">
        <v>5</v>
      </c>
      <c r="P538">
        <v>5</v>
      </c>
      <c r="Q538">
        <v>432</v>
      </c>
      <c r="R538">
        <v>333</v>
      </c>
      <c r="S538">
        <v>387</v>
      </c>
      <c r="U538">
        <v>4250</v>
      </c>
      <c r="V538" t="s">
        <v>30</v>
      </c>
      <c r="W538" t="s">
        <v>528</v>
      </c>
      <c r="X538" t="s">
        <v>524</v>
      </c>
    </row>
    <row r="539" spans="1:24" x14ac:dyDescent="0.25">
      <c r="A539">
        <v>2025</v>
      </c>
      <c r="B539" t="s">
        <v>253</v>
      </c>
      <c r="C539" t="s">
        <v>254</v>
      </c>
      <c r="D539" t="s">
        <v>829</v>
      </c>
      <c r="E539">
        <v>2.4</v>
      </c>
      <c r="F539">
        <v>4</v>
      </c>
      <c r="G539" t="s">
        <v>594</v>
      </c>
      <c r="H539">
        <v>6</v>
      </c>
      <c r="I539" t="s">
        <v>28</v>
      </c>
      <c r="J539">
        <v>27</v>
      </c>
      <c r="K539">
        <v>28</v>
      </c>
      <c r="L539">
        <v>27</v>
      </c>
      <c r="M539" t="s">
        <v>29</v>
      </c>
      <c r="N539">
        <v>2350</v>
      </c>
      <c r="O539">
        <v>5</v>
      </c>
      <c r="P539">
        <v>5</v>
      </c>
      <c r="Q539">
        <v>326</v>
      </c>
      <c r="R539">
        <v>316</v>
      </c>
      <c r="S539">
        <v>322</v>
      </c>
      <c r="U539">
        <v>2250</v>
      </c>
      <c r="V539" t="s">
        <v>30</v>
      </c>
      <c r="W539" t="s">
        <v>528</v>
      </c>
      <c r="X539" t="s">
        <v>524</v>
      </c>
    </row>
    <row r="540" spans="1:24" x14ac:dyDescent="0.25">
      <c r="A540">
        <v>2025</v>
      </c>
      <c r="B540" t="s">
        <v>253</v>
      </c>
      <c r="C540" t="s">
        <v>254</v>
      </c>
      <c r="D540" t="s">
        <v>828</v>
      </c>
      <c r="E540">
        <v>2</v>
      </c>
      <c r="F540">
        <v>4</v>
      </c>
      <c r="G540" t="s">
        <v>559</v>
      </c>
      <c r="H540">
        <v>6</v>
      </c>
      <c r="I540" t="s">
        <v>128</v>
      </c>
      <c r="J540">
        <v>45</v>
      </c>
      <c r="K540">
        <v>41</v>
      </c>
      <c r="L540">
        <v>43</v>
      </c>
      <c r="M540" t="s">
        <v>75</v>
      </c>
      <c r="N540">
        <v>1200</v>
      </c>
      <c r="O540">
        <v>7</v>
      </c>
      <c r="P540">
        <v>7</v>
      </c>
      <c r="Q540">
        <v>195</v>
      </c>
      <c r="R540">
        <v>214</v>
      </c>
      <c r="S540">
        <v>204</v>
      </c>
      <c r="T540">
        <v>3500</v>
      </c>
      <c r="V540" t="s">
        <v>30</v>
      </c>
      <c r="W540" t="s">
        <v>558</v>
      </c>
      <c r="X540" t="s">
        <v>524</v>
      </c>
    </row>
    <row r="541" spans="1:24" x14ac:dyDescent="0.25">
      <c r="A541">
        <v>2025</v>
      </c>
      <c r="B541" t="s">
        <v>253</v>
      </c>
      <c r="C541" t="s">
        <v>254</v>
      </c>
      <c r="D541" t="s">
        <v>828</v>
      </c>
      <c r="E541">
        <v>2</v>
      </c>
      <c r="F541">
        <v>4</v>
      </c>
      <c r="G541" t="s">
        <v>562</v>
      </c>
      <c r="H541">
        <v>1</v>
      </c>
      <c r="I541" t="s">
        <v>128</v>
      </c>
      <c r="J541">
        <v>45</v>
      </c>
      <c r="K541">
        <v>41</v>
      </c>
      <c r="L541">
        <v>43</v>
      </c>
      <c r="M541" t="s">
        <v>75</v>
      </c>
      <c r="N541">
        <v>1200</v>
      </c>
      <c r="O541">
        <v>7</v>
      </c>
      <c r="P541">
        <v>7</v>
      </c>
      <c r="Q541">
        <v>195</v>
      </c>
      <c r="R541">
        <v>214</v>
      </c>
      <c r="S541">
        <v>204</v>
      </c>
      <c r="T541">
        <v>3500</v>
      </c>
      <c r="V541" t="s">
        <v>30</v>
      </c>
      <c r="W541" t="s">
        <v>558</v>
      </c>
      <c r="X541" t="s">
        <v>524</v>
      </c>
    </row>
    <row r="542" spans="1:24" x14ac:dyDescent="0.25">
      <c r="A542">
        <v>2025</v>
      </c>
      <c r="B542" t="s">
        <v>253</v>
      </c>
      <c r="C542" t="s">
        <v>254</v>
      </c>
      <c r="D542" t="s">
        <v>827</v>
      </c>
      <c r="E542">
        <v>2</v>
      </c>
      <c r="F542">
        <v>4</v>
      </c>
      <c r="G542" t="s">
        <v>559</v>
      </c>
      <c r="H542">
        <v>6</v>
      </c>
      <c r="I542" t="s">
        <v>28</v>
      </c>
      <c r="J542">
        <v>44</v>
      </c>
      <c r="K542">
        <v>40</v>
      </c>
      <c r="L542">
        <v>42</v>
      </c>
      <c r="M542" t="s">
        <v>75</v>
      </c>
      <c r="N542">
        <v>1250</v>
      </c>
      <c r="O542">
        <v>7</v>
      </c>
      <c r="P542">
        <v>7</v>
      </c>
      <c r="Q542">
        <v>199</v>
      </c>
      <c r="R542">
        <v>220</v>
      </c>
      <c r="S542">
        <v>209</v>
      </c>
      <c r="T542">
        <v>3250</v>
      </c>
      <c r="V542" t="s">
        <v>30</v>
      </c>
      <c r="W542" t="s">
        <v>558</v>
      </c>
      <c r="X542" t="s">
        <v>524</v>
      </c>
    </row>
    <row r="543" spans="1:24" x14ac:dyDescent="0.25">
      <c r="A543">
        <v>2025</v>
      </c>
      <c r="B543" t="s">
        <v>253</v>
      </c>
      <c r="C543" t="s">
        <v>254</v>
      </c>
      <c r="D543" t="s">
        <v>827</v>
      </c>
      <c r="E543">
        <v>2</v>
      </c>
      <c r="F543">
        <v>4</v>
      </c>
      <c r="G543" t="s">
        <v>562</v>
      </c>
      <c r="H543">
        <v>1</v>
      </c>
      <c r="I543" t="s">
        <v>28</v>
      </c>
      <c r="J543">
        <v>44</v>
      </c>
      <c r="K543">
        <v>40</v>
      </c>
      <c r="L543">
        <v>42</v>
      </c>
      <c r="M543" t="s">
        <v>75</v>
      </c>
      <c r="N543">
        <v>1250</v>
      </c>
      <c r="O543">
        <v>7</v>
      </c>
      <c r="P543">
        <v>7</v>
      </c>
      <c r="Q543">
        <v>199</v>
      </c>
      <c r="R543">
        <v>220</v>
      </c>
      <c r="S543">
        <v>209</v>
      </c>
      <c r="T543">
        <v>3250</v>
      </c>
      <c r="V543" t="s">
        <v>30</v>
      </c>
      <c r="W543" t="s">
        <v>558</v>
      </c>
      <c r="X543" t="s">
        <v>524</v>
      </c>
    </row>
    <row r="544" spans="1:24" x14ac:dyDescent="0.25">
      <c r="A544">
        <v>2025</v>
      </c>
      <c r="B544" t="s">
        <v>158</v>
      </c>
      <c r="C544" t="s">
        <v>820</v>
      </c>
      <c r="D544" t="s">
        <v>826</v>
      </c>
      <c r="E544">
        <v>3</v>
      </c>
      <c r="F544">
        <v>6</v>
      </c>
      <c r="G544" t="s">
        <v>554</v>
      </c>
      <c r="H544">
        <v>10</v>
      </c>
      <c r="I544" t="s">
        <v>400</v>
      </c>
      <c r="J544">
        <v>17</v>
      </c>
      <c r="K544">
        <v>25</v>
      </c>
      <c r="L544">
        <v>20</v>
      </c>
      <c r="M544" t="s">
        <v>29</v>
      </c>
      <c r="N544">
        <v>2600</v>
      </c>
      <c r="O544">
        <v>4</v>
      </c>
      <c r="P544">
        <v>4</v>
      </c>
      <c r="Q544">
        <v>521</v>
      </c>
      <c r="R544">
        <v>358</v>
      </c>
      <c r="S544">
        <v>447</v>
      </c>
      <c r="U544">
        <v>3500</v>
      </c>
      <c r="V544" t="s">
        <v>30</v>
      </c>
      <c r="W544" t="s">
        <v>528</v>
      </c>
      <c r="X544" t="s">
        <v>524</v>
      </c>
    </row>
    <row r="545" spans="1:24" x14ac:dyDescent="0.25">
      <c r="A545">
        <v>2025</v>
      </c>
      <c r="B545" t="s">
        <v>158</v>
      </c>
      <c r="C545" t="s">
        <v>820</v>
      </c>
      <c r="D545" t="s">
        <v>825</v>
      </c>
      <c r="E545">
        <v>3</v>
      </c>
      <c r="F545">
        <v>6</v>
      </c>
      <c r="G545" t="s">
        <v>554</v>
      </c>
      <c r="H545">
        <v>10</v>
      </c>
      <c r="I545" t="s">
        <v>46</v>
      </c>
      <c r="J545">
        <v>18</v>
      </c>
      <c r="K545">
        <v>25</v>
      </c>
      <c r="L545">
        <v>21</v>
      </c>
      <c r="M545" t="s">
        <v>47</v>
      </c>
      <c r="N545">
        <v>2500</v>
      </c>
      <c r="O545">
        <v>4</v>
      </c>
      <c r="P545">
        <v>4</v>
      </c>
      <c r="Q545">
        <v>488</v>
      </c>
      <c r="R545">
        <v>348</v>
      </c>
      <c r="S545">
        <v>425</v>
      </c>
      <c r="U545">
        <v>3000</v>
      </c>
      <c r="V545" t="s">
        <v>30</v>
      </c>
      <c r="W545" t="s">
        <v>528</v>
      </c>
      <c r="X545" t="s">
        <v>524</v>
      </c>
    </row>
    <row r="546" spans="1:24" x14ac:dyDescent="0.25">
      <c r="A546">
        <v>2025</v>
      </c>
      <c r="B546" t="s">
        <v>158</v>
      </c>
      <c r="C546" t="s">
        <v>820</v>
      </c>
      <c r="D546" t="s">
        <v>824</v>
      </c>
      <c r="E546">
        <v>2</v>
      </c>
      <c r="F546">
        <v>4</v>
      </c>
      <c r="G546" t="s">
        <v>526</v>
      </c>
      <c r="H546">
        <v>8</v>
      </c>
      <c r="I546" t="s">
        <v>28</v>
      </c>
      <c r="J546">
        <v>21</v>
      </c>
      <c r="K546">
        <v>28</v>
      </c>
      <c r="L546">
        <v>24</v>
      </c>
      <c r="M546" t="s">
        <v>118</v>
      </c>
      <c r="N546">
        <v>2200</v>
      </c>
      <c r="O546">
        <v>5</v>
      </c>
      <c r="P546">
        <v>5</v>
      </c>
      <c r="Q546">
        <v>424</v>
      </c>
      <c r="R546">
        <v>313</v>
      </c>
      <c r="S546">
        <v>374</v>
      </c>
      <c r="U546">
        <v>1500</v>
      </c>
      <c r="V546" t="s">
        <v>30</v>
      </c>
      <c r="W546" t="s">
        <v>528</v>
      </c>
      <c r="X546" t="s">
        <v>524</v>
      </c>
    </row>
    <row r="547" spans="1:24" x14ac:dyDescent="0.25">
      <c r="A547">
        <v>2025</v>
      </c>
      <c r="B547" t="s">
        <v>158</v>
      </c>
      <c r="C547" t="s">
        <v>820</v>
      </c>
      <c r="D547" t="s">
        <v>823</v>
      </c>
      <c r="E547">
        <v>2</v>
      </c>
      <c r="F547">
        <v>4</v>
      </c>
      <c r="G547" t="s">
        <v>526</v>
      </c>
      <c r="H547">
        <v>8</v>
      </c>
      <c r="I547" t="s">
        <v>128</v>
      </c>
      <c r="J547">
        <v>22</v>
      </c>
      <c r="K547">
        <v>30</v>
      </c>
      <c r="L547">
        <v>25</v>
      </c>
      <c r="M547" t="s">
        <v>115</v>
      </c>
      <c r="N547">
        <v>2100</v>
      </c>
      <c r="O547">
        <v>5</v>
      </c>
      <c r="P547">
        <v>5</v>
      </c>
      <c r="Q547">
        <v>406</v>
      </c>
      <c r="R547">
        <v>298</v>
      </c>
      <c r="S547">
        <v>357</v>
      </c>
      <c r="U547">
        <v>1000</v>
      </c>
      <c r="V547" t="s">
        <v>30</v>
      </c>
      <c r="W547" t="s">
        <v>528</v>
      </c>
      <c r="X547" t="s">
        <v>524</v>
      </c>
    </row>
    <row r="548" spans="1:24" x14ac:dyDescent="0.25">
      <c r="A548">
        <v>2025</v>
      </c>
      <c r="B548" t="s">
        <v>158</v>
      </c>
      <c r="C548" t="s">
        <v>820</v>
      </c>
      <c r="D548" t="s">
        <v>822</v>
      </c>
      <c r="E548">
        <v>2</v>
      </c>
      <c r="F548">
        <v>4</v>
      </c>
      <c r="G548" t="s">
        <v>641</v>
      </c>
      <c r="H548">
        <v>8</v>
      </c>
      <c r="I548" t="s">
        <v>28</v>
      </c>
      <c r="J548">
        <v>21</v>
      </c>
      <c r="K548">
        <v>29</v>
      </c>
      <c r="L548">
        <v>24</v>
      </c>
      <c r="M548" t="s">
        <v>118</v>
      </c>
      <c r="N548">
        <v>2200</v>
      </c>
      <c r="O548">
        <v>5</v>
      </c>
      <c r="P548">
        <v>5</v>
      </c>
      <c r="Q548">
        <v>423</v>
      </c>
      <c r="R548">
        <v>296</v>
      </c>
      <c r="S548">
        <v>366</v>
      </c>
      <c r="U548">
        <v>1500</v>
      </c>
      <c r="V548" t="s">
        <v>30</v>
      </c>
      <c r="W548" t="s">
        <v>528</v>
      </c>
      <c r="X548" t="s">
        <v>524</v>
      </c>
    </row>
    <row r="549" spans="1:24" x14ac:dyDescent="0.25">
      <c r="A549">
        <v>2025</v>
      </c>
      <c r="B549" t="s">
        <v>158</v>
      </c>
      <c r="C549" t="s">
        <v>820</v>
      </c>
      <c r="D549" t="s">
        <v>821</v>
      </c>
      <c r="E549">
        <v>2</v>
      </c>
      <c r="F549">
        <v>4</v>
      </c>
      <c r="G549" t="s">
        <v>562</v>
      </c>
      <c r="H549">
        <v>1</v>
      </c>
      <c r="I549" t="s">
        <v>400</v>
      </c>
      <c r="J549">
        <v>30</v>
      </c>
      <c r="K549">
        <v>31</v>
      </c>
      <c r="L549">
        <v>30</v>
      </c>
      <c r="M549" t="s">
        <v>118</v>
      </c>
      <c r="N549">
        <v>1750</v>
      </c>
      <c r="O549">
        <v>6</v>
      </c>
      <c r="P549">
        <v>6</v>
      </c>
      <c r="Q549">
        <v>295</v>
      </c>
      <c r="R549">
        <v>283</v>
      </c>
      <c r="S549">
        <v>290</v>
      </c>
      <c r="T549">
        <v>750</v>
      </c>
      <c r="V549" t="s">
        <v>30</v>
      </c>
      <c r="W549" t="s">
        <v>528</v>
      </c>
      <c r="X549" t="s">
        <v>524</v>
      </c>
    </row>
    <row r="550" spans="1:24" x14ac:dyDescent="0.25">
      <c r="A550">
        <v>2025</v>
      </c>
      <c r="B550" t="s">
        <v>158</v>
      </c>
      <c r="C550" t="s">
        <v>820</v>
      </c>
      <c r="D550" t="s">
        <v>819</v>
      </c>
      <c r="E550">
        <v>3.5</v>
      </c>
      <c r="F550">
        <v>6</v>
      </c>
      <c r="G550" t="s">
        <v>554</v>
      </c>
      <c r="H550">
        <v>10</v>
      </c>
      <c r="I550" t="s">
        <v>400</v>
      </c>
      <c r="J550">
        <v>15</v>
      </c>
      <c r="K550">
        <v>22</v>
      </c>
      <c r="L550">
        <v>17</v>
      </c>
      <c r="M550" t="s">
        <v>29</v>
      </c>
      <c r="N550">
        <v>3100</v>
      </c>
      <c r="O550">
        <v>3</v>
      </c>
      <c r="P550">
        <v>3</v>
      </c>
      <c r="Q550">
        <v>592</v>
      </c>
      <c r="R550">
        <v>410</v>
      </c>
      <c r="S550">
        <v>510</v>
      </c>
      <c r="U550">
        <v>6000</v>
      </c>
      <c r="V550" t="s">
        <v>30</v>
      </c>
      <c r="W550" t="s">
        <v>528</v>
      </c>
      <c r="X550" t="s">
        <v>524</v>
      </c>
    </row>
    <row r="551" spans="1:24" x14ac:dyDescent="0.25">
      <c r="A551">
        <v>2025</v>
      </c>
      <c r="B551" t="s">
        <v>818</v>
      </c>
      <c r="C551" t="s">
        <v>817</v>
      </c>
      <c r="D551" t="s">
        <v>816</v>
      </c>
      <c r="E551">
        <v>3.5</v>
      </c>
      <c r="F551">
        <v>6</v>
      </c>
      <c r="G551" t="s">
        <v>546</v>
      </c>
      <c r="H551">
        <v>6</v>
      </c>
      <c r="I551" t="s">
        <v>46</v>
      </c>
      <c r="J551">
        <v>16</v>
      </c>
      <c r="K551">
        <v>24</v>
      </c>
      <c r="L551">
        <v>19</v>
      </c>
      <c r="M551" t="s">
        <v>108</v>
      </c>
      <c r="N551">
        <v>2500</v>
      </c>
      <c r="O551">
        <v>4</v>
      </c>
      <c r="P551">
        <v>4</v>
      </c>
      <c r="Q551">
        <v>539</v>
      </c>
      <c r="R551">
        <v>363</v>
      </c>
      <c r="S551">
        <v>460</v>
      </c>
      <c r="U551">
        <v>4250</v>
      </c>
      <c r="V551" t="s">
        <v>30</v>
      </c>
      <c r="W551" t="s">
        <v>815</v>
      </c>
      <c r="X551" t="s">
        <v>565</v>
      </c>
    </row>
    <row r="552" spans="1:24" x14ac:dyDescent="0.25">
      <c r="A552">
        <v>2025</v>
      </c>
      <c r="B552" t="s">
        <v>818</v>
      </c>
      <c r="C552" t="s">
        <v>817</v>
      </c>
      <c r="D552" t="s">
        <v>816</v>
      </c>
      <c r="E552">
        <v>3.5</v>
      </c>
      <c r="F552">
        <v>6</v>
      </c>
      <c r="G552" t="s">
        <v>594</v>
      </c>
      <c r="H552">
        <v>6</v>
      </c>
      <c r="I552" t="s">
        <v>46</v>
      </c>
      <c r="J552">
        <v>18</v>
      </c>
      <c r="K552">
        <v>26</v>
      </c>
      <c r="L552">
        <v>21</v>
      </c>
      <c r="M552" t="s">
        <v>108</v>
      </c>
      <c r="N552">
        <v>2500</v>
      </c>
      <c r="O552">
        <v>4</v>
      </c>
      <c r="P552">
        <v>4</v>
      </c>
      <c r="Q552">
        <v>477</v>
      </c>
      <c r="R552">
        <v>335</v>
      </c>
      <c r="S552">
        <v>413</v>
      </c>
      <c r="U552">
        <v>3000</v>
      </c>
      <c r="V552" t="s">
        <v>30</v>
      </c>
      <c r="W552" t="s">
        <v>815</v>
      </c>
      <c r="X552" t="s">
        <v>565</v>
      </c>
    </row>
    <row r="553" spans="1:24" x14ac:dyDescent="0.25">
      <c r="A553">
        <v>2025</v>
      </c>
      <c r="B553" t="s">
        <v>282</v>
      </c>
      <c r="C553" t="s">
        <v>283</v>
      </c>
      <c r="D553" t="s">
        <v>814</v>
      </c>
      <c r="E553">
        <v>3</v>
      </c>
      <c r="F553">
        <v>6</v>
      </c>
      <c r="G553" t="s">
        <v>641</v>
      </c>
      <c r="H553">
        <v>8</v>
      </c>
      <c r="I553" t="s">
        <v>28</v>
      </c>
      <c r="J553">
        <v>17</v>
      </c>
      <c r="K553">
        <v>26</v>
      </c>
      <c r="L553">
        <v>20</v>
      </c>
      <c r="M553" t="s">
        <v>36</v>
      </c>
      <c r="N553">
        <v>3200</v>
      </c>
      <c r="O553">
        <v>4</v>
      </c>
      <c r="P553">
        <v>4</v>
      </c>
      <c r="Q553">
        <v>512</v>
      </c>
      <c r="R553">
        <v>330</v>
      </c>
      <c r="S553">
        <v>430</v>
      </c>
      <c r="U553">
        <v>6500</v>
      </c>
      <c r="V553" t="s">
        <v>30</v>
      </c>
      <c r="W553" t="s">
        <v>528</v>
      </c>
      <c r="X553" t="s">
        <v>524</v>
      </c>
    </row>
    <row r="554" spans="1:24" x14ac:dyDescent="0.25">
      <c r="A554">
        <v>2025</v>
      </c>
      <c r="B554" t="s">
        <v>282</v>
      </c>
      <c r="C554" t="s">
        <v>283</v>
      </c>
      <c r="D554" t="s">
        <v>813</v>
      </c>
      <c r="E554">
        <v>3</v>
      </c>
      <c r="F554">
        <v>6</v>
      </c>
      <c r="G554" t="s">
        <v>641</v>
      </c>
      <c r="H554">
        <v>8</v>
      </c>
      <c r="I554" t="s">
        <v>28</v>
      </c>
      <c r="J554">
        <v>17</v>
      </c>
      <c r="K554">
        <v>26</v>
      </c>
      <c r="L554">
        <v>20</v>
      </c>
      <c r="M554" t="s">
        <v>36</v>
      </c>
      <c r="N554">
        <v>3200</v>
      </c>
      <c r="O554">
        <v>4</v>
      </c>
      <c r="P554">
        <v>4</v>
      </c>
      <c r="Q554">
        <v>512</v>
      </c>
      <c r="R554">
        <v>330</v>
      </c>
      <c r="S554">
        <v>430</v>
      </c>
      <c r="U554">
        <v>6500</v>
      </c>
      <c r="V554" t="s">
        <v>30</v>
      </c>
      <c r="W554" t="s">
        <v>528</v>
      </c>
      <c r="X554" t="s">
        <v>524</v>
      </c>
    </row>
    <row r="555" spans="1:24" x14ac:dyDescent="0.25">
      <c r="A555">
        <v>2025</v>
      </c>
      <c r="B555" t="s">
        <v>282</v>
      </c>
      <c r="C555" t="s">
        <v>283</v>
      </c>
      <c r="D555" t="s">
        <v>812</v>
      </c>
      <c r="E555">
        <v>3</v>
      </c>
      <c r="F555">
        <v>6</v>
      </c>
      <c r="G555" t="s">
        <v>641</v>
      </c>
      <c r="H555">
        <v>8</v>
      </c>
      <c r="I555" t="s">
        <v>28</v>
      </c>
      <c r="J555">
        <v>18</v>
      </c>
      <c r="K555">
        <v>27</v>
      </c>
      <c r="L555">
        <v>21</v>
      </c>
      <c r="M555" t="s">
        <v>36</v>
      </c>
      <c r="N555">
        <v>3050</v>
      </c>
      <c r="O555">
        <v>4</v>
      </c>
      <c r="P555">
        <v>4</v>
      </c>
      <c r="Q555">
        <v>489</v>
      </c>
      <c r="R555">
        <v>318</v>
      </c>
      <c r="S555">
        <v>412</v>
      </c>
      <c r="U555">
        <v>5750</v>
      </c>
      <c r="V555" t="s">
        <v>30</v>
      </c>
      <c r="W555" t="s">
        <v>528</v>
      </c>
      <c r="X555" t="s">
        <v>524</v>
      </c>
    </row>
    <row r="556" spans="1:24" x14ac:dyDescent="0.25">
      <c r="A556">
        <v>2025</v>
      </c>
      <c r="B556" t="s">
        <v>282</v>
      </c>
      <c r="C556" t="s">
        <v>283</v>
      </c>
      <c r="D556" t="s">
        <v>811</v>
      </c>
      <c r="E556">
        <v>3</v>
      </c>
      <c r="F556">
        <v>6</v>
      </c>
      <c r="G556" t="s">
        <v>641</v>
      </c>
      <c r="H556">
        <v>8</v>
      </c>
      <c r="I556" t="s">
        <v>28</v>
      </c>
      <c r="J556">
        <v>18</v>
      </c>
      <c r="K556">
        <v>27</v>
      </c>
      <c r="L556">
        <v>21</v>
      </c>
      <c r="M556" t="s">
        <v>36</v>
      </c>
      <c r="N556">
        <v>3050</v>
      </c>
      <c r="O556">
        <v>4</v>
      </c>
      <c r="P556">
        <v>4</v>
      </c>
      <c r="Q556">
        <v>489</v>
      </c>
      <c r="R556">
        <v>318</v>
      </c>
      <c r="S556">
        <v>412</v>
      </c>
      <c r="U556">
        <v>5750</v>
      </c>
      <c r="V556" t="s">
        <v>30</v>
      </c>
      <c r="W556" t="s">
        <v>528</v>
      </c>
      <c r="X556" t="s">
        <v>524</v>
      </c>
    </row>
    <row r="557" spans="1:24" x14ac:dyDescent="0.25">
      <c r="A557">
        <v>2025</v>
      </c>
      <c r="B557" t="s">
        <v>282</v>
      </c>
      <c r="C557" t="s">
        <v>283</v>
      </c>
      <c r="D557" t="s">
        <v>810</v>
      </c>
      <c r="E557">
        <v>2</v>
      </c>
      <c r="F557">
        <v>4</v>
      </c>
      <c r="G557" t="s">
        <v>641</v>
      </c>
      <c r="H557">
        <v>8</v>
      </c>
      <c r="I557" t="s">
        <v>28</v>
      </c>
      <c r="J557">
        <v>22</v>
      </c>
      <c r="K557">
        <v>28</v>
      </c>
      <c r="L557">
        <v>24</v>
      </c>
      <c r="M557" t="s">
        <v>118</v>
      </c>
      <c r="N557">
        <v>2650</v>
      </c>
      <c r="O557">
        <v>5</v>
      </c>
      <c r="P557">
        <v>5</v>
      </c>
      <c r="Q557">
        <v>406</v>
      </c>
      <c r="R557">
        <v>314</v>
      </c>
      <c r="S557">
        <v>365</v>
      </c>
      <c r="U557">
        <v>3750</v>
      </c>
      <c r="V557" t="s">
        <v>30</v>
      </c>
      <c r="W557" t="s">
        <v>528</v>
      </c>
      <c r="X557" t="s">
        <v>524</v>
      </c>
    </row>
    <row r="558" spans="1:24" x14ac:dyDescent="0.25">
      <c r="A558">
        <v>2025</v>
      </c>
      <c r="B558" t="s">
        <v>282</v>
      </c>
      <c r="C558" t="s">
        <v>283</v>
      </c>
      <c r="D558" t="s">
        <v>809</v>
      </c>
      <c r="E558">
        <v>2</v>
      </c>
      <c r="F558">
        <v>4</v>
      </c>
      <c r="G558" t="s">
        <v>641</v>
      </c>
      <c r="H558">
        <v>8</v>
      </c>
      <c r="I558" t="s">
        <v>28</v>
      </c>
      <c r="J558">
        <v>22</v>
      </c>
      <c r="K558">
        <v>28</v>
      </c>
      <c r="L558">
        <v>24</v>
      </c>
      <c r="M558" t="s">
        <v>118</v>
      </c>
      <c r="N558">
        <v>2650</v>
      </c>
      <c r="O558">
        <v>5</v>
      </c>
      <c r="P558">
        <v>5</v>
      </c>
      <c r="Q558">
        <v>406</v>
      </c>
      <c r="R558">
        <v>314</v>
      </c>
      <c r="S558">
        <v>365</v>
      </c>
      <c r="U558">
        <v>3750</v>
      </c>
      <c r="V558" t="s">
        <v>30</v>
      </c>
      <c r="W558" t="s">
        <v>528</v>
      </c>
      <c r="X558" t="s">
        <v>524</v>
      </c>
    </row>
    <row r="559" spans="1:24" x14ac:dyDescent="0.25">
      <c r="A559">
        <v>2025</v>
      </c>
      <c r="B559" t="s">
        <v>282</v>
      </c>
      <c r="C559" t="s">
        <v>283</v>
      </c>
      <c r="D559" t="s">
        <v>808</v>
      </c>
      <c r="E559">
        <v>3</v>
      </c>
      <c r="F559">
        <v>6</v>
      </c>
      <c r="G559" t="s">
        <v>641</v>
      </c>
      <c r="H559">
        <v>8</v>
      </c>
      <c r="I559" t="s">
        <v>28</v>
      </c>
      <c r="J559">
        <v>18</v>
      </c>
      <c r="K559">
        <v>25</v>
      </c>
      <c r="L559">
        <v>20</v>
      </c>
      <c r="M559" t="s">
        <v>118</v>
      </c>
      <c r="N559">
        <v>3200</v>
      </c>
      <c r="O559">
        <v>4</v>
      </c>
      <c r="P559">
        <v>4</v>
      </c>
      <c r="Q559">
        <v>495</v>
      </c>
      <c r="R559">
        <v>354</v>
      </c>
      <c r="S559">
        <v>432</v>
      </c>
      <c r="U559">
        <v>6500</v>
      </c>
      <c r="V559" t="s">
        <v>30</v>
      </c>
      <c r="W559" t="s">
        <v>528</v>
      </c>
      <c r="X559" t="s">
        <v>524</v>
      </c>
    </row>
    <row r="560" spans="1:24" x14ac:dyDescent="0.25">
      <c r="A560">
        <v>2025</v>
      </c>
      <c r="B560" t="s">
        <v>282</v>
      </c>
      <c r="C560" t="s">
        <v>283</v>
      </c>
      <c r="D560" t="s">
        <v>807</v>
      </c>
      <c r="E560">
        <v>3</v>
      </c>
      <c r="F560">
        <v>6</v>
      </c>
      <c r="G560" t="s">
        <v>526</v>
      </c>
      <c r="H560">
        <v>8</v>
      </c>
      <c r="I560" t="s">
        <v>46</v>
      </c>
      <c r="J560">
        <v>15</v>
      </c>
      <c r="K560">
        <v>25</v>
      </c>
      <c r="L560">
        <v>18</v>
      </c>
      <c r="M560" t="s">
        <v>108</v>
      </c>
      <c r="N560">
        <v>3550</v>
      </c>
      <c r="O560">
        <v>4</v>
      </c>
      <c r="P560">
        <v>4</v>
      </c>
      <c r="Q560">
        <v>576</v>
      </c>
      <c r="R560">
        <v>351</v>
      </c>
      <c r="S560">
        <v>474</v>
      </c>
      <c r="U560">
        <v>8250</v>
      </c>
      <c r="V560" t="s">
        <v>30</v>
      </c>
      <c r="W560" t="s">
        <v>528</v>
      </c>
      <c r="X560" t="s">
        <v>565</v>
      </c>
    </row>
    <row r="561" spans="1:24" x14ac:dyDescent="0.25">
      <c r="A561">
        <v>2025</v>
      </c>
      <c r="B561" t="s">
        <v>282</v>
      </c>
      <c r="C561" t="s">
        <v>283</v>
      </c>
      <c r="D561" t="s">
        <v>806</v>
      </c>
      <c r="E561">
        <v>3</v>
      </c>
      <c r="F561">
        <v>6</v>
      </c>
      <c r="G561" t="s">
        <v>526</v>
      </c>
      <c r="H561">
        <v>8</v>
      </c>
      <c r="I561" t="s">
        <v>46</v>
      </c>
      <c r="J561">
        <v>15</v>
      </c>
      <c r="K561">
        <v>25</v>
      </c>
      <c r="L561">
        <v>18</v>
      </c>
      <c r="M561" t="s">
        <v>108</v>
      </c>
      <c r="N561">
        <v>3550</v>
      </c>
      <c r="O561">
        <v>4</v>
      </c>
      <c r="P561">
        <v>4</v>
      </c>
      <c r="Q561">
        <v>576</v>
      </c>
      <c r="R561">
        <v>351</v>
      </c>
      <c r="S561">
        <v>474</v>
      </c>
      <c r="U561">
        <v>8250</v>
      </c>
      <c r="V561" t="s">
        <v>30</v>
      </c>
      <c r="W561" t="s">
        <v>528</v>
      </c>
      <c r="X561" t="s">
        <v>565</v>
      </c>
    </row>
    <row r="562" spans="1:24" x14ac:dyDescent="0.25">
      <c r="A562">
        <v>2025</v>
      </c>
      <c r="B562" t="s">
        <v>282</v>
      </c>
      <c r="C562" t="s">
        <v>283</v>
      </c>
      <c r="D562" t="s">
        <v>805</v>
      </c>
      <c r="E562">
        <v>3</v>
      </c>
      <c r="F562">
        <v>6</v>
      </c>
      <c r="G562" t="s">
        <v>526</v>
      </c>
      <c r="H562">
        <v>8</v>
      </c>
      <c r="I562" t="s">
        <v>46</v>
      </c>
      <c r="J562">
        <v>15</v>
      </c>
      <c r="K562">
        <v>25</v>
      </c>
      <c r="L562">
        <v>18</v>
      </c>
      <c r="M562" t="s">
        <v>108</v>
      </c>
      <c r="N562">
        <v>3550</v>
      </c>
      <c r="O562">
        <v>4</v>
      </c>
      <c r="P562">
        <v>4</v>
      </c>
      <c r="Q562">
        <v>583</v>
      </c>
      <c r="R562">
        <v>358</v>
      </c>
      <c r="S562">
        <v>482</v>
      </c>
      <c r="U562">
        <v>8250</v>
      </c>
      <c r="V562" t="s">
        <v>30</v>
      </c>
      <c r="W562" t="s">
        <v>528</v>
      </c>
      <c r="X562" t="s">
        <v>565</v>
      </c>
    </row>
    <row r="563" spans="1:24" x14ac:dyDescent="0.25">
      <c r="A563">
        <v>2025</v>
      </c>
      <c r="B563" t="s">
        <v>795</v>
      </c>
      <c r="C563" t="s">
        <v>795</v>
      </c>
      <c r="D563" t="s">
        <v>804</v>
      </c>
      <c r="E563">
        <v>2.5</v>
      </c>
      <c r="F563">
        <v>4</v>
      </c>
      <c r="G563" t="s">
        <v>594</v>
      </c>
      <c r="H563">
        <v>6</v>
      </c>
      <c r="I563" t="s">
        <v>107</v>
      </c>
      <c r="J563">
        <v>26</v>
      </c>
      <c r="K563">
        <v>33</v>
      </c>
      <c r="L563">
        <v>29</v>
      </c>
      <c r="M563" t="s">
        <v>118</v>
      </c>
      <c r="N563">
        <v>1800</v>
      </c>
      <c r="O563">
        <v>6</v>
      </c>
      <c r="P563">
        <v>6</v>
      </c>
      <c r="Q563">
        <v>341</v>
      </c>
      <c r="R563">
        <v>269</v>
      </c>
      <c r="S563">
        <v>309</v>
      </c>
      <c r="T563">
        <v>500</v>
      </c>
      <c r="V563" t="s">
        <v>30</v>
      </c>
      <c r="W563" t="s">
        <v>558</v>
      </c>
      <c r="X563" t="s">
        <v>565</v>
      </c>
    </row>
    <row r="564" spans="1:24" x14ac:dyDescent="0.25">
      <c r="A564">
        <v>2025</v>
      </c>
      <c r="B564" t="s">
        <v>795</v>
      </c>
      <c r="C564" t="s">
        <v>795</v>
      </c>
      <c r="D564" t="s">
        <v>804</v>
      </c>
      <c r="E564">
        <v>2.5</v>
      </c>
      <c r="F564">
        <v>4</v>
      </c>
      <c r="G564" t="s">
        <v>594</v>
      </c>
      <c r="H564">
        <v>6</v>
      </c>
      <c r="I564" t="s">
        <v>107</v>
      </c>
      <c r="J564">
        <v>22</v>
      </c>
      <c r="K564">
        <v>30</v>
      </c>
      <c r="L564">
        <v>25</v>
      </c>
      <c r="M564" t="s">
        <v>118</v>
      </c>
      <c r="N564">
        <v>2100</v>
      </c>
      <c r="O564">
        <v>5</v>
      </c>
      <c r="P564">
        <v>5</v>
      </c>
      <c r="Q564">
        <v>398</v>
      </c>
      <c r="R564">
        <v>299</v>
      </c>
      <c r="S564">
        <v>353</v>
      </c>
      <c r="U564">
        <v>1000</v>
      </c>
      <c r="V564" t="s">
        <v>30</v>
      </c>
      <c r="W564" t="s">
        <v>528</v>
      </c>
      <c r="X564" t="s">
        <v>565</v>
      </c>
    </row>
    <row r="565" spans="1:24" x14ac:dyDescent="0.25">
      <c r="A565">
        <v>2025</v>
      </c>
      <c r="B565" t="s">
        <v>795</v>
      </c>
      <c r="C565" t="s">
        <v>795</v>
      </c>
      <c r="D565" t="s">
        <v>803</v>
      </c>
      <c r="E565">
        <v>2.5</v>
      </c>
      <c r="F565">
        <v>4</v>
      </c>
      <c r="G565" t="s">
        <v>594</v>
      </c>
      <c r="H565">
        <v>6</v>
      </c>
      <c r="I565" t="s">
        <v>107</v>
      </c>
      <c r="J565">
        <v>23</v>
      </c>
      <c r="K565">
        <v>29</v>
      </c>
      <c r="L565">
        <v>25</v>
      </c>
      <c r="M565" t="s">
        <v>118</v>
      </c>
      <c r="N565">
        <v>2100</v>
      </c>
      <c r="O565">
        <v>5</v>
      </c>
      <c r="P565">
        <v>5</v>
      </c>
      <c r="Q565">
        <v>382</v>
      </c>
      <c r="R565">
        <v>308</v>
      </c>
      <c r="S565">
        <v>348</v>
      </c>
      <c r="U565">
        <v>1000</v>
      </c>
      <c r="V565" t="s">
        <v>30</v>
      </c>
      <c r="W565" t="s">
        <v>558</v>
      </c>
      <c r="X565" t="s">
        <v>565</v>
      </c>
    </row>
    <row r="566" spans="1:24" x14ac:dyDescent="0.25">
      <c r="A566">
        <v>2025</v>
      </c>
      <c r="B566" t="s">
        <v>795</v>
      </c>
      <c r="C566" t="s">
        <v>795</v>
      </c>
      <c r="D566" t="s">
        <v>803</v>
      </c>
      <c r="E566">
        <v>2.5</v>
      </c>
      <c r="F566">
        <v>4</v>
      </c>
      <c r="G566" t="s">
        <v>594</v>
      </c>
      <c r="H566">
        <v>6</v>
      </c>
      <c r="I566" t="s">
        <v>107</v>
      </c>
      <c r="J566">
        <v>26</v>
      </c>
      <c r="K566">
        <v>30</v>
      </c>
      <c r="L566">
        <v>28</v>
      </c>
      <c r="M566" t="s">
        <v>118</v>
      </c>
      <c r="N566">
        <v>1900</v>
      </c>
      <c r="O566">
        <v>6</v>
      </c>
      <c r="P566">
        <v>6</v>
      </c>
      <c r="Q566">
        <v>345</v>
      </c>
      <c r="R566">
        <v>292</v>
      </c>
      <c r="S566">
        <v>321</v>
      </c>
      <c r="T566">
        <v>0</v>
      </c>
      <c r="V566" t="s">
        <v>30</v>
      </c>
      <c r="W566" t="s">
        <v>558</v>
      </c>
      <c r="X566" t="s">
        <v>524</v>
      </c>
    </row>
    <row r="567" spans="1:24" x14ac:dyDescent="0.25">
      <c r="A567">
        <v>2025</v>
      </c>
      <c r="B567" t="s">
        <v>795</v>
      </c>
      <c r="C567" t="s">
        <v>795</v>
      </c>
      <c r="D567" t="s">
        <v>803</v>
      </c>
      <c r="E567">
        <v>2.5</v>
      </c>
      <c r="F567">
        <v>4</v>
      </c>
      <c r="G567" t="s">
        <v>594</v>
      </c>
      <c r="H567">
        <v>6</v>
      </c>
      <c r="I567" t="s">
        <v>107</v>
      </c>
      <c r="J567">
        <v>22</v>
      </c>
      <c r="K567">
        <v>27</v>
      </c>
      <c r="L567">
        <v>24</v>
      </c>
      <c r="M567" t="s">
        <v>118</v>
      </c>
      <c r="N567">
        <v>2200</v>
      </c>
      <c r="O567">
        <v>5</v>
      </c>
      <c r="P567">
        <v>5</v>
      </c>
      <c r="Q567">
        <v>406</v>
      </c>
      <c r="R567">
        <v>326</v>
      </c>
      <c r="S567">
        <v>370</v>
      </c>
      <c r="U567">
        <v>1500</v>
      </c>
      <c r="V567" t="s">
        <v>30</v>
      </c>
      <c r="W567" t="s">
        <v>528</v>
      </c>
      <c r="X567" t="s">
        <v>565</v>
      </c>
    </row>
    <row r="568" spans="1:24" x14ac:dyDescent="0.25">
      <c r="A568">
        <v>2025</v>
      </c>
      <c r="B568" t="s">
        <v>795</v>
      </c>
      <c r="C568" t="s">
        <v>795</v>
      </c>
      <c r="D568" t="s">
        <v>802</v>
      </c>
      <c r="E568">
        <v>2.5</v>
      </c>
      <c r="F568">
        <v>4</v>
      </c>
      <c r="G568" t="s">
        <v>594</v>
      </c>
      <c r="H568">
        <v>6</v>
      </c>
      <c r="I568" t="s">
        <v>107</v>
      </c>
      <c r="J568">
        <v>25</v>
      </c>
      <c r="K568">
        <v>31</v>
      </c>
      <c r="L568">
        <v>28</v>
      </c>
      <c r="M568" t="s">
        <v>118</v>
      </c>
      <c r="N568">
        <v>1900</v>
      </c>
      <c r="O568">
        <v>6</v>
      </c>
      <c r="P568">
        <v>6</v>
      </c>
      <c r="Q568">
        <v>351</v>
      </c>
      <c r="R568">
        <v>286</v>
      </c>
      <c r="S568">
        <v>322</v>
      </c>
      <c r="T568">
        <v>0</v>
      </c>
      <c r="V568" t="s">
        <v>30</v>
      </c>
      <c r="W568" t="s">
        <v>558</v>
      </c>
      <c r="X568" t="s">
        <v>565</v>
      </c>
    </row>
    <row r="569" spans="1:24" x14ac:dyDescent="0.25">
      <c r="A569">
        <v>2025</v>
      </c>
      <c r="B569" t="s">
        <v>795</v>
      </c>
      <c r="C569" t="s">
        <v>795</v>
      </c>
      <c r="D569" t="s">
        <v>802</v>
      </c>
      <c r="E569">
        <v>2.5</v>
      </c>
      <c r="F569">
        <v>4</v>
      </c>
      <c r="G569" t="s">
        <v>594</v>
      </c>
      <c r="H569">
        <v>6</v>
      </c>
      <c r="I569" t="s">
        <v>107</v>
      </c>
      <c r="J569">
        <v>23</v>
      </c>
      <c r="K569">
        <v>29</v>
      </c>
      <c r="L569">
        <v>25</v>
      </c>
      <c r="M569" t="s">
        <v>118</v>
      </c>
      <c r="N569">
        <v>2100</v>
      </c>
      <c r="O569">
        <v>5</v>
      </c>
      <c r="P569">
        <v>5</v>
      </c>
      <c r="Q569">
        <v>393</v>
      </c>
      <c r="R569">
        <v>308</v>
      </c>
      <c r="S569">
        <v>355</v>
      </c>
      <c r="U569">
        <v>1000</v>
      </c>
      <c r="V569" t="s">
        <v>30</v>
      </c>
      <c r="W569" t="s">
        <v>528</v>
      </c>
      <c r="X569" t="s">
        <v>524</v>
      </c>
    </row>
    <row r="570" spans="1:24" x14ac:dyDescent="0.25">
      <c r="A570">
        <v>2025</v>
      </c>
      <c r="B570" t="s">
        <v>795</v>
      </c>
      <c r="C570" t="s">
        <v>795</v>
      </c>
      <c r="D570" t="s">
        <v>802</v>
      </c>
      <c r="E570">
        <v>2.5</v>
      </c>
      <c r="F570">
        <v>4</v>
      </c>
      <c r="G570" t="s">
        <v>562</v>
      </c>
      <c r="H570">
        <v>1</v>
      </c>
      <c r="I570" t="s">
        <v>107</v>
      </c>
      <c r="J570">
        <v>39</v>
      </c>
      <c r="K570">
        <v>37</v>
      </c>
      <c r="L570">
        <v>38</v>
      </c>
      <c r="M570" t="s">
        <v>118</v>
      </c>
      <c r="N570">
        <v>1400</v>
      </c>
      <c r="O570">
        <v>7</v>
      </c>
      <c r="P570">
        <v>7</v>
      </c>
      <c r="Q570">
        <v>226</v>
      </c>
      <c r="R570">
        <v>241</v>
      </c>
      <c r="S570">
        <v>233</v>
      </c>
      <c r="T570">
        <v>2500</v>
      </c>
      <c r="V570" t="s">
        <v>30</v>
      </c>
      <c r="W570" t="s">
        <v>558</v>
      </c>
      <c r="X570" t="s">
        <v>524</v>
      </c>
    </row>
    <row r="571" spans="1:24" x14ac:dyDescent="0.25">
      <c r="A571">
        <v>2025</v>
      </c>
      <c r="B571" t="s">
        <v>795</v>
      </c>
      <c r="C571" t="s">
        <v>795</v>
      </c>
      <c r="D571" t="s">
        <v>802</v>
      </c>
      <c r="E571">
        <v>2.5</v>
      </c>
      <c r="F571">
        <v>4</v>
      </c>
      <c r="G571" t="s">
        <v>562</v>
      </c>
      <c r="H571">
        <v>1</v>
      </c>
      <c r="I571" t="s">
        <v>107</v>
      </c>
      <c r="J571">
        <v>39</v>
      </c>
      <c r="K571">
        <v>37</v>
      </c>
      <c r="L571">
        <v>38</v>
      </c>
      <c r="M571" t="s">
        <v>118</v>
      </c>
      <c r="N571">
        <v>1400</v>
      </c>
      <c r="O571">
        <v>7</v>
      </c>
      <c r="P571">
        <v>7</v>
      </c>
      <c r="Q571">
        <v>226</v>
      </c>
      <c r="R571">
        <v>241</v>
      </c>
      <c r="S571">
        <v>233</v>
      </c>
      <c r="T571">
        <v>2500</v>
      </c>
      <c r="V571" t="s">
        <v>30</v>
      </c>
      <c r="W571" t="s">
        <v>558</v>
      </c>
      <c r="X571" t="s">
        <v>524</v>
      </c>
    </row>
    <row r="572" spans="1:24" x14ac:dyDescent="0.25">
      <c r="A572">
        <v>2025</v>
      </c>
      <c r="B572" t="s">
        <v>795</v>
      </c>
      <c r="C572" t="s">
        <v>795</v>
      </c>
      <c r="D572" t="s">
        <v>801</v>
      </c>
      <c r="E572">
        <v>3.3</v>
      </c>
      <c r="F572">
        <v>6</v>
      </c>
      <c r="G572" t="s">
        <v>526</v>
      </c>
      <c r="H572">
        <v>8</v>
      </c>
      <c r="I572" t="s">
        <v>107</v>
      </c>
      <c r="J572">
        <v>24</v>
      </c>
      <c r="K572">
        <v>28</v>
      </c>
      <c r="L572">
        <v>25</v>
      </c>
      <c r="M572" t="s">
        <v>29</v>
      </c>
      <c r="N572">
        <v>2100</v>
      </c>
      <c r="O572">
        <v>5</v>
      </c>
      <c r="P572">
        <v>5</v>
      </c>
      <c r="Q572">
        <v>372</v>
      </c>
      <c r="R572">
        <v>321</v>
      </c>
      <c r="S572">
        <v>349</v>
      </c>
      <c r="U572">
        <v>1000</v>
      </c>
      <c r="V572" t="s">
        <v>30</v>
      </c>
      <c r="W572" t="s">
        <v>528</v>
      </c>
      <c r="X572" t="s">
        <v>565</v>
      </c>
    </row>
    <row r="573" spans="1:24" x14ac:dyDescent="0.25">
      <c r="A573">
        <v>2025</v>
      </c>
      <c r="B573" t="s">
        <v>795</v>
      </c>
      <c r="C573" t="s">
        <v>795</v>
      </c>
      <c r="D573" t="s">
        <v>801</v>
      </c>
      <c r="E573">
        <v>3.3</v>
      </c>
      <c r="F573">
        <v>6</v>
      </c>
      <c r="G573" t="s">
        <v>526</v>
      </c>
      <c r="H573">
        <v>8</v>
      </c>
      <c r="I573" t="s">
        <v>107</v>
      </c>
      <c r="J573">
        <v>23</v>
      </c>
      <c r="K573">
        <v>28</v>
      </c>
      <c r="L573">
        <v>25</v>
      </c>
      <c r="M573" t="s">
        <v>29</v>
      </c>
      <c r="N573">
        <v>2550</v>
      </c>
      <c r="O573">
        <v>5</v>
      </c>
      <c r="P573">
        <v>5</v>
      </c>
      <c r="Q573">
        <v>389</v>
      </c>
      <c r="R573">
        <v>320</v>
      </c>
      <c r="S573">
        <v>358</v>
      </c>
      <c r="U573">
        <v>3250</v>
      </c>
      <c r="V573" t="s">
        <v>30</v>
      </c>
      <c r="W573" t="s">
        <v>528</v>
      </c>
      <c r="X573" t="s">
        <v>565</v>
      </c>
    </row>
    <row r="574" spans="1:24" x14ac:dyDescent="0.25">
      <c r="A574">
        <v>2025</v>
      </c>
      <c r="B574" t="s">
        <v>795</v>
      </c>
      <c r="C574" t="s">
        <v>795</v>
      </c>
      <c r="D574" t="s">
        <v>800</v>
      </c>
      <c r="E574">
        <v>3.3</v>
      </c>
      <c r="F574">
        <v>6</v>
      </c>
      <c r="G574" t="s">
        <v>526</v>
      </c>
      <c r="H574">
        <v>8</v>
      </c>
      <c r="I574" t="s">
        <v>107</v>
      </c>
      <c r="J574">
        <v>24</v>
      </c>
      <c r="K574">
        <v>28</v>
      </c>
      <c r="L574">
        <v>25</v>
      </c>
      <c r="M574" t="s">
        <v>29</v>
      </c>
      <c r="N574">
        <v>2100</v>
      </c>
      <c r="O574">
        <v>5</v>
      </c>
      <c r="P574">
        <v>5</v>
      </c>
      <c r="Q574">
        <v>373</v>
      </c>
      <c r="R574">
        <v>314</v>
      </c>
      <c r="S574">
        <v>354</v>
      </c>
      <c r="U574">
        <v>1000</v>
      </c>
      <c r="V574" t="s">
        <v>30</v>
      </c>
      <c r="W574" t="s">
        <v>528</v>
      </c>
      <c r="X574" t="s">
        <v>524</v>
      </c>
    </row>
    <row r="575" spans="1:24" x14ac:dyDescent="0.25">
      <c r="A575">
        <v>2025</v>
      </c>
      <c r="B575" t="s">
        <v>795</v>
      </c>
      <c r="C575" t="s">
        <v>795</v>
      </c>
      <c r="D575" t="s">
        <v>800</v>
      </c>
      <c r="E575">
        <v>3.3</v>
      </c>
      <c r="F575">
        <v>6</v>
      </c>
      <c r="G575" t="s">
        <v>526</v>
      </c>
      <c r="H575">
        <v>8</v>
      </c>
      <c r="I575" t="s">
        <v>107</v>
      </c>
      <c r="J575">
        <v>23</v>
      </c>
      <c r="K575">
        <v>28</v>
      </c>
      <c r="L575">
        <v>25</v>
      </c>
      <c r="M575" t="s">
        <v>29</v>
      </c>
      <c r="N575">
        <v>2550</v>
      </c>
      <c r="O575">
        <v>5</v>
      </c>
      <c r="P575">
        <v>5</v>
      </c>
      <c r="Q575">
        <v>389</v>
      </c>
      <c r="R575">
        <v>320</v>
      </c>
      <c r="S575">
        <v>358</v>
      </c>
      <c r="U575">
        <v>3250</v>
      </c>
      <c r="V575" t="s">
        <v>30</v>
      </c>
      <c r="W575" t="s">
        <v>528</v>
      </c>
      <c r="X575" t="s">
        <v>524</v>
      </c>
    </row>
    <row r="576" spans="1:24" x14ac:dyDescent="0.25">
      <c r="A576">
        <v>2025</v>
      </c>
      <c r="B576" t="s">
        <v>795</v>
      </c>
      <c r="C576" t="s">
        <v>795</v>
      </c>
      <c r="D576" t="s">
        <v>799</v>
      </c>
      <c r="E576">
        <v>2.5</v>
      </c>
      <c r="F576">
        <v>4</v>
      </c>
      <c r="G576" t="s">
        <v>594</v>
      </c>
      <c r="H576">
        <v>6</v>
      </c>
      <c r="I576" t="s">
        <v>128</v>
      </c>
      <c r="J576">
        <v>27</v>
      </c>
      <c r="K576">
        <v>37</v>
      </c>
      <c r="L576">
        <v>31</v>
      </c>
      <c r="M576" t="s">
        <v>75</v>
      </c>
      <c r="N576">
        <v>1700</v>
      </c>
      <c r="O576">
        <v>6</v>
      </c>
      <c r="P576">
        <v>6</v>
      </c>
      <c r="Q576">
        <v>324</v>
      </c>
      <c r="R576">
        <v>243</v>
      </c>
      <c r="S576">
        <v>287</v>
      </c>
      <c r="T576">
        <v>1000</v>
      </c>
      <c r="V576" t="s">
        <v>30</v>
      </c>
      <c r="W576" t="s">
        <v>558</v>
      </c>
      <c r="X576" t="s">
        <v>565</v>
      </c>
    </row>
    <row r="577" spans="1:24" x14ac:dyDescent="0.25">
      <c r="A577">
        <v>2025</v>
      </c>
      <c r="B577" t="s">
        <v>795</v>
      </c>
      <c r="C577" t="s">
        <v>795</v>
      </c>
      <c r="D577" t="s">
        <v>798</v>
      </c>
      <c r="E577">
        <v>2.5</v>
      </c>
      <c r="F577">
        <v>4</v>
      </c>
      <c r="G577" t="s">
        <v>594</v>
      </c>
      <c r="H577">
        <v>6</v>
      </c>
      <c r="I577" t="s">
        <v>107</v>
      </c>
      <c r="J577">
        <v>26</v>
      </c>
      <c r="K577">
        <v>35</v>
      </c>
      <c r="L577">
        <v>30</v>
      </c>
      <c r="M577" t="s">
        <v>75</v>
      </c>
      <c r="N577">
        <v>1750</v>
      </c>
      <c r="O577">
        <v>6</v>
      </c>
      <c r="P577">
        <v>6</v>
      </c>
      <c r="Q577">
        <v>338</v>
      </c>
      <c r="R577">
        <v>255</v>
      </c>
      <c r="S577">
        <v>301</v>
      </c>
      <c r="T577">
        <v>750</v>
      </c>
      <c r="V577" t="s">
        <v>30</v>
      </c>
      <c r="W577" t="s">
        <v>558</v>
      </c>
      <c r="X577" t="s">
        <v>565</v>
      </c>
    </row>
    <row r="578" spans="1:24" x14ac:dyDescent="0.25">
      <c r="A578">
        <v>2025</v>
      </c>
      <c r="B578" t="s">
        <v>795</v>
      </c>
      <c r="C578" t="s">
        <v>795</v>
      </c>
      <c r="D578" t="s">
        <v>798</v>
      </c>
      <c r="E578">
        <v>2.5</v>
      </c>
      <c r="F578">
        <v>4</v>
      </c>
      <c r="G578" t="s">
        <v>594</v>
      </c>
      <c r="H578">
        <v>6</v>
      </c>
      <c r="I578" t="s">
        <v>107</v>
      </c>
      <c r="J578">
        <v>23</v>
      </c>
      <c r="K578">
        <v>32</v>
      </c>
      <c r="L578">
        <v>27</v>
      </c>
      <c r="M578" t="s">
        <v>75</v>
      </c>
      <c r="N578">
        <v>1950</v>
      </c>
      <c r="O578">
        <v>5</v>
      </c>
      <c r="P578">
        <v>5</v>
      </c>
      <c r="Q578">
        <v>382</v>
      </c>
      <c r="R578">
        <v>274</v>
      </c>
      <c r="S578">
        <v>334</v>
      </c>
      <c r="U578">
        <v>250</v>
      </c>
      <c r="V578" t="s">
        <v>30</v>
      </c>
      <c r="W578" t="s">
        <v>528</v>
      </c>
      <c r="X578" t="s">
        <v>565</v>
      </c>
    </row>
    <row r="579" spans="1:24" x14ac:dyDescent="0.25">
      <c r="A579">
        <v>2025</v>
      </c>
      <c r="B579" t="s">
        <v>795</v>
      </c>
      <c r="C579" t="s">
        <v>795</v>
      </c>
      <c r="D579" t="s">
        <v>797</v>
      </c>
      <c r="E579">
        <v>2.5</v>
      </c>
      <c r="F579">
        <v>4</v>
      </c>
      <c r="G579" t="s">
        <v>546</v>
      </c>
      <c r="H579">
        <v>6</v>
      </c>
      <c r="I579" t="s">
        <v>128</v>
      </c>
      <c r="J579">
        <v>26</v>
      </c>
      <c r="K579">
        <v>36</v>
      </c>
      <c r="L579">
        <v>30</v>
      </c>
      <c r="M579" t="s">
        <v>186</v>
      </c>
      <c r="N579">
        <v>1750</v>
      </c>
      <c r="O579">
        <v>6</v>
      </c>
      <c r="P579">
        <v>6</v>
      </c>
      <c r="Q579">
        <v>339</v>
      </c>
      <c r="R579">
        <v>244</v>
      </c>
      <c r="S579">
        <v>296</v>
      </c>
      <c r="T579">
        <v>750</v>
      </c>
      <c r="V579" t="s">
        <v>30</v>
      </c>
      <c r="W579" t="s">
        <v>558</v>
      </c>
      <c r="X579" t="s">
        <v>565</v>
      </c>
    </row>
    <row r="580" spans="1:24" x14ac:dyDescent="0.25">
      <c r="A580">
        <v>2025</v>
      </c>
      <c r="B580" t="s">
        <v>795</v>
      </c>
      <c r="C580" t="s">
        <v>795</v>
      </c>
      <c r="D580" t="s">
        <v>797</v>
      </c>
      <c r="E580">
        <v>2.5</v>
      </c>
      <c r="F580">
        <v>4</v>
      </c>
      <c r="G580" t="s">
        <v>594</v>
      </c>
      <c r="H580">
        <v>6</v>
      </c>
      <c r="I580" t="s">
        <v>128</v>
      </c>
      <c r="J580">
        <v>27</v>
      </c>
      <c r="K580">
        <v>35</v>
      </c>
      <c r="L580">
        <v>30</v>
      </c>
      <c r="M580" t="s">
        <v>186</v>
      </c>
      <c r="N580">
        <v>1750</v>
      </c>
      <c r="O580">
        <v>6</v>
      </c>
      <c r="P580">
        <v>6</v>
      </c>
      <c r="Q580">
        <v>327</v>
      </c>
      <c r="R580">
        <v>253</v>
      </c>
      <c r="S580">
        <v>294</v>
      </c>
      <c r="T580">
        <v>750</v>
      </c>
      <c r="V580" t="s">
        <v>30</v>
      </c>
      <c r="W580" t="s">
        <v>558</v>
      </c>
      <c r="X580" t="s">
        <v>565</v>
      </c>
    </row>
    <row r="581" spans="1:24" x14ac:dyDescent="0.25">
      <c r="A581">
        <v>2025</v>
      </c>
      <c r="B581" t="s">
        <v>795</v>
      </c>
      <c r="C581" t="s">
        <v>795</v>
      </c>
      <c r="D581" t="s">
        <v>796</v>
      </c>
      <c r="E581">
        <v>2.5</v>
      </c>
      <c r="F581">
        <v>4</v>
      </c>
      <c r="G581" t="s">
        <v>594</v>
      </c>
      <c r="H581">
        <v>6</v>
      </c>
      <c r="I581" t="s">
        <v>107</v>
      </c>
      <c r="J581">
        <v>26</v>
      </c>
      <c r="K581">
        <v>33</v>
      </c>
      <c r="L581">
        <v>29</v>
      </c>
      <c r="M581" t="s">
        <v>186</v>
      </c>
      <c r="N581">
        <v>1800</v>
      </c>
      <c r="O581">
        <v>6</v>
      </c>
      <c r="P581">
        <v>6</v>
      </c>
      <c r="Q581">
        <v>343</v>
      </c>
      <c r="R581">
        <v>272</v>
      </c>
      <c r="S581">
        <v>311</v>
      </c>
      <c r="T581">
        <v>500</v>
      </c>
      <c r="V581" t="s">
        <v>30</v>
      </c>
      <c r="W581" t="s">
        <v>558</v>
      </c>
      <c r="X581" t="s">
        <v>565</v>
      </c>
    </row>
    <row r="582" spans="1:24" x14ac:dyDescent="0.25">
      <c r="A582">
        <v>2025</v>
      </c>
      <c r="B582" t="s">
        <v>795</v>
      </c>
      <c r="C582" t="s">
        <v>795</v>
      </c>
      <c r="D582" t="s">
        <v>796</v>
      </c>
      <c r="E582">
        <v>2.5</v>
      </c>
      <c r="F582">
        <v>4</v>
      </c>
      <c r="G582" t="s">
        <v>594</v>
      </c>
      <c r="H582">
        <v>6</v>
      </c>
      <c r="I582" t="s">
        <v>107</v>
      </c>
      <c r="J582">
        <v>23</v>
      </c>
      <c r="K582">
        <v>31</v>
      </c>
      <c r="L582">
        <v>26</v>
      </c>
      <c r="M582" t="s">
        <v>186</v>
      </c>
      <c r="N582">
        <v>2000</v>
      </c>
      <c r="O582">
        <v>5</v>
      </c>
      <c r="P582">
        <v>5</v>
      </c>
      <c r="Q582">
        <v>380</v>
      </c>
      <c r="R582">
        <v>285</v>
      </c>
      <c r="S582">
        <v>337</v>
      </c>
      <c r="U582">
        <v>500</v>
      </c>
      <c r="V582" t="s">
        <v>30</v>
      </c>
      <c r="W582" t="s">
        <v>528</v>
      </c>
      <c r="X582" t="s">
        <v>565</v>
      </c>
    </row>
    <row r="583" spans="1:24" x14ac:dyDescent="0.25">
      <c r="A583">
        <v>2025</v>
      </c>
      <c r="B583" t="s">
        <v>795</v>
      </c>
      <c r="C583" t="s">
        <v>795</v>
      </c>
      <c r="D583" t="s">
        <v>794</v>
      </c>
      <c r="E583">
        <v>2</v>
      </c>
      <c r="F583">
        <v>4</v>
      </c>
      <c r="G583" t="s">
        <v>546</v>
      </c>
      <c r="H583">
        <v>6</v>
      </c>
      <c r="I583" t="s">
        <v>46</v>
      </c>
      <c r="J583">
        <v>26</v>
      </c>
      <c r="K583">
        <v>34</v>
      </c>
      <c r="L583">
        <v>29</v>
      </c>
      <c r="M583" t="s">
        <v>108</v>
      </c>
      <c r="N583">
        <v>2200</v>
      </c>
      <c r="O583">
        <v>6</v>
      </c>
      <c r="P583">
        <v>6</v>
      </c>
      <c r="Q583">
        <v>338</v>
      </c>
      <c r="R583">
        <v>264</v>
      </c>
      <c r="S583">
        <v>305</v>
      </c>
      <c r="U583">
        <v>1500</v>
      </c>
      <c r="V583" t="s">
        <v>30</v>
      </c>
      <c r="W583" t="s">
        <v>558</v>
      </c>
      <c r="X583" t="s">
        <v>565</v>
      </c>
    </row>
    <row r="584" spans="1:24" x14ac:dyDescent="0.25">
      <c r="A584">
        <v>2025</v>
      </c>
      <c r="B584" t="s">
        <v>795</v>
      </c>
      <c r="C584" t="s">
        <v>795</v>
      </c>
      <c r="D584" t="s">
        <v>794</v>
      </c>
      <c r="E584">
        <v>2</v>
      </c>
      <c r="F584">
        <v>4</v>
      </c>
      <c r="G584" t="s">
        <v>594</v>
      </c>
      <c r="H584">
        <v>6</v>
      </c>
      <c r="I584" t="s">
        <v>46</v>
      </c>
      <c r="J584">
        <v>26</v>
      </c>
      <c r="K584">
        <v>35</v>
      </c>
      <c r="L584">
        <v>29</v>
      </c>
      <c r="M584" t="s">
        <v>108</v>
      </c>
      <c r="N584">
        <v>2200</v>
      </c>
      <c r="O584">
        <v>6</v>
      </c>
      <c r="P584">
        <v>6</v>
      </c>
      <c r="Q584">
        <v>339</v>
      </c>
      <c r="R584">
        <v>254</v>
      </c>
      <c r="S584">
        <v>301</v>
      </c>
      <c r="U584">
        <v>1500</v>
      </c>
      <c r="V584" t="s">
        <v>30</v>
      </c>
      <c r="W584" t="s">
        <v>558</v>
      </c>
      <c r="X584" t="s">
        <v>565</v>
      </c>
    </row>
    <row r="585" spans="1:24" x14ac:dyDescent="0.25">
      <c r="A585">
        <v>2025</v>
      </c>
      <c r="B585" t="s">
        <v>290</v>
      </c>
      <c r="C585" t="s">
        <v>290</v>
      </c>
      <c r="D585" t="s">
        <v>793</v>
      </c>
      <c r="E585">
        <v>2</v>
      </c>
      <c r="F585">
        <v>4</v>
      </c>
      <c r="G585" t="s">
        <v>735</v>
      </c>
      <c r="H585">
        <v>9</v>
      </c>
      <c r="I585" t="s">
        <v>28</v>
      </c>
      <c r="J585">
        <v>19</v>
      </c>
      <c r="K585">
        <v>27</v>
      </c>
      <c r="L585">
        <v>22</v>
      </c>
      <c r="M585" t="s">
        <v>75</v>
      </c>
      <c r="N585">
        <v>2900</v>
      </c>
      <c r="O585">
        <v>5</v>
      </c>
      <c r="P585">
        <v>5</v>
      </c>
      <c r="Q585">
        <v>468</v>
      </c>
      <c r="R585">
        <v>329</v>
      </c>
      <c r="S585">
        <v>405</v>
      </c>
      <c r="U585">
        <v>5000</v>
      </c>
      <c r="V585" t="s">
        <v>30</v>
      </c>
      <c r="W585" t="s">
        <v>528</v>
      </c>
      <c r="X585" t="s">
        <v>524</v>
      </c>
    </row>
    <row r="586" spans="1:24" x14ac:dyDescent="0.25">
      <c r="A586">
        <v>2025</v>
      </c>
      <c r="B586" t="s">
        <v>290</v>
      </c>
      <c r="C586" t="s">
        <v>290</v>
      </c>
      <c r="D586" t="s">
        <v>792</v>
      </c>
      <c r="E586">
        <v>2</v>
      </c>
      <c r="F586">
        <v>4</v>
      </c>
      <c r="G586" t="s">
        <v>751</v>
      </c>
      <c r="H586">
        <v>8</v>
      </c>
      <c r="I586" t="s">
        <v>28</v>
      </c>
      <c r="J586">
        <v>22</v>
      </c>
      <c r="K586">
        <v>29</v>
      </c>
      <c r="L586">
        <v>25</v>
      </c>
      <c r="M586" t="s">
        <v>75</v>
      </c>
      <c r="N586">
        <v>2550</v>
      </c>
      <c r="O586">
        <v>5</v>
      </c>
      <c r="P586">
        <v>5</v>
      </c>
      <c r="Q586">
        <v>409</v>
      </c>
      <c r="R586">
        <v>304</v>
      </c>
      <c r="S586">
        <v>362</v>
      </c>
      <c r="U586">
        <v>3250</v>
      </c>
      <c r="V586" t="s">
        <v>30</v>
      </c>
      <c r="W586" t="s">
        <v>528</v>
      </c>
      <c r="X586" t="s">
        <v>524</v>
      </c>
    </row>
    <row r="587" spans="1:24" x14ac:dyDescent="0.25">
      <c r="A587">
        <v>2025</v>
      </c>
      <c r="B587" t="s">
        <v>290</v>
      </c>
      <c r="C587" t="s">
        <v>290</v>
      </c>
      <c r="D587" t="s">
        <v>791</v>
      </c>
      <c r="E587">
        <v>2</v>
      </c>
      <c r="F587">
        <v>4</v>
      </c>
      <c r="G587" t="s">
        <v>751</v>
      </c>
      <c r="H587">
        <v>8</v>
      </c>
      <c r="I587" t="s">
        <v>28</v>
      </c>
      <c r="J587">
        <v>20</v>
      </c>
      <c r="K587">
        <v>28</v>
      </c>
      <c r="L587">
        <v>23</v>
      </c>
      <c r="M587" t="s">
        <v>75</v>
      </c>
      <c r="N587">
        <v>2750</v>
      </c>
      <c r="O587">
        <v>5</v>
      </c>
      <c r="P587">
        <v>5</v>
      </c>
      <c r="Q587">
        <v>438</v>
      </c>
      <c r="R587">
        <v>308</v>
      </c>
      <c r="S587">
        <v>379</v>
      </c>
      <c r="U587">
        <v>4250</v>
      </c>
      <c r="V587" t="s">
        <v>30</v>
      </c>
      <c r="W587" t="s">
        <v>528</v>
      </c>
      <c r="X587" t="s">
        <v>524</v>
      </c>
    </row>
    <row r="588" spans="1:24" x14ac:dyDescent="0.25">
      <c r="A588">
        <v>2025</v>
      </c>
      <c r="B588" t="s">
        <v>290</v>
      </c>
      <c r="C588" t="s">
        <v>290</v>
      </c>
      <c r="D588" t="s">
        <v>790</v>
      </c>
      <c r="E588">
        <v>3</v>
      </c>
      <c r="F588">
        <v>6</v>
      </c>
      <c r="G588" t="s">
        <v>735</v>
      </c>
      <c r="H588">
        <v>9</v>
      </c>
      <c r="I588" t="s">
        <v>28</v>
      </c>
      <c r="J588">
        <v>19</v>
      </c>
      <c r="K588">
        <v>26</v>
      </c>
      <c r="L588">
        <v>22</v>
      </c>
      <c r="M588" t="s">
        <v>36</v>
      </c>
      <c r="N588">
        <v>2900</v>
      </c>
      <c r="O588">
        <v>5</v>
      </c>
      <c r="P588">
        <v>5</v>
      </c>
      <c r="Q588">
        <v>459</v>
      </c>
      <c r="R588">
        <v>346</v>
      </c>
      <c r="S588">
        <v>408</v>
      </c>
      <c r="U588">
        <v>5000</v>
      </c>
      <c r="V588" t="s">
        <v>30</v>
      </c>
      <c r="W588" t="s">
        <v>525</v>
      </c>
      <c r="X588" t="s">
        <v>524</v>
      </c>
    </row>
    <row r="589" spans="1:24" x14ac:dyDescent="0.25">
      <c r="A589">
        <v>2025</v>
      </c>
      <c r="B589" t="s">
        <v>290</v>
      </c>
      <c r="C589" t="s">
        <v>290</v>
      </c>
      <c r="D589" t="s">
        <v>789</v>
      </c>
      <c r="E589">
        <v>3</v>
      </c>
      <c r="F589">
        <v>6</v>
      </c>
      <c r="G589" t="s">
        <v>735</v>
      </c>
      <c r="H589">
        <v>9</v>
      </c>
      <c r="I589" t="s">
        <v>28</v>
      </c>
      <c r="J589">
        <v>20</v>
      </c>
      <c r="K589">
        <v>27</v>
      </c>
      <c r="L589">
        <v>23</v>
      </c>
      <c r="M589" t="s">
        <v>36</v>
      </c>
      <c r="N589">
        <v>2750</v>
      </c>
      <c r="O589">
        <v>5</v>
      </c>
      <c r="P589">
        <v>5</v>
      </c>
      <c r="Q589">
        <v>444</v>
      </c>
      <c r="R589">
        <v>327</v>
      </c>
      <c r="S589">
        <v>391</v>
      </c>
      <c r="U589">
        <v>4250</v>
      </c>
      <c r="V589" t="s">
        <v>30</v>
      </c>
      <c r="W589" t="s">
        <v>525</v>
      </c>
      <c r="X589" t="s">
        <v>524</v>
      </c>
    </row>
    <row r="590" spans="1:24" x14ac:dyDescent="0.25">
      <c r="A590">
        <v>2025</v>
      </c>
      <c r="B590" t="s">
        <v>290</v>
      </c>
      <c r="C590" t="s">
        <v>290</v>
      </c>
      <c r="D590" t="s">
        <v>788</v>
      </c>
      <c r="E590">
        <v>4</v>
      </c>
      <c r="F590">
        <v>8</v>
      </c>
      <c r="G590" t="s">
        <v>735</v>
      </c>
      <c r="H590">
        <v>9</v>
      </c>
      <c r="I590" t="s">
        <v>107</v>
      </c>
      <c r="J590">
        <v>14</v>
      </c>
      <c r="K590">
        <v>16</v>
      </c>
      <c r="L590">
        <v>15</v>
      </c>
      <c r="M590" t="s">
        <v>29</v>
      </c>
      <c r="N590">
        <v>4250</v>
      </c>
      <c r="O590">
        <v>2</v>
      </c>
      <c r="P590">
        <v>2</v>
      </c>
      <c r="Q590">
        <v>654</v>
      </c>
      <c r="R590">
        <v>553</v>
      </c>
      <c r="S590">
        <v>608</v>
      </c>
      <c r="U590">
        <v>11750</v>
      </c>
      <c r="V590" t="s">
        <v>30</v>
      </c>
      <c r="W590" t="s">
        <v>528</v>
      </c>
      <c r="X590" t="s">
        <v>524</v>
      </c>
    </row>
    <row r="591" spans="1:24" x14ac:dyDescent="0.25">
      <c r="A591">
        <v>2025</v>
      </c>
      <c r="B591" t="s">
        <v>290</v>
      </c>
      <c r="C591" t="s">
        <v>290</v>
      </c>
      <c r="D591" t="s">
        <v>787</v>
      </c>
      <c r="E591">
        <v>2</v>
      </c>
      <c r="F591">
        <v>4</v>
      </c>
      <c r="G591" t="s">
        <v>751</v>
      </c>
      <c r="H591">
        <v>8</v>
      </c>
      <c r="I591" t="s">
        <v>28</v>
      </c>
      <c r="J591">
        <v>22</v>
      </c>
      <c r="K591">
        <v>28</v>
      </c>
      <c r="L591">
        <v>24</v>
      </c>
      <c r="M591" t="s">
        <v>122</v>
      </c>
      <c r="N591">
        <v>2650</v>
      </c>
      <c r="O591">
        <v>5</v>
      </c>
      <c r="P591">
        <v>5</v>
      </c>
      <c r="Q591">
        <v>411</v>
      </c>
      <c r="R591">
        <v>320</v>
      </c>
      <c r="S591">
        <v>370</v>
      </c>
      <c r="U591">
        <v>3750</v>
      </c>
      <c r="V591" t="s">
        <v>30</v>
      </c>
      <c r="W591" t="s">
        <v>528</v>
      </c>
      <c r="X591" t="s">
        <v>524</v>
      </c>
    </row>
    <row r="592" spans="1:24" x14ac:dyDescent="0.25">
      <c r="A592">
        <v>2025</v>
      </c>
      <c r="B592" t="s">
        <v>290</v>
      </c>
      <c r="C592" t="s">
        <v>290</v>
      </c>
      <c r="D592" t="s">
        <v>786</v>
      </c>
      <c r="E592">
        <v>2</v>
      </c>
      <c r="F592">
        <v>4</v>
      </c>
      <c r="G592" t="s">
        <v>751</v>
      </c>
      <c r="H592">
        <v>8</v>
      </c>
      <c r="I592" t="s">
        <v>28</v>
      </c>
      <c r="J592">
        <v>21</v>
      </c>
      <c r="K592">
        <v>26</v>
      </c>
      <c r="L592">
        <v>23</v>
      </c>
      <c r="M592" t="s">
        <v>313</v>
      </c>
      <c r="N592">
        <v>2750</v>
      </c>
      <c r="O592">
        <v>5</v>
      </c>
      <c r="P592">
        <v>5</v>
      </c>
      <c r="Q592">
        <v>433</v>
      </c>
      <c r="R592">
        <v>336</v>
      </c>
      <c r="S592">
        <v>390</v>
      </c>
      <c r="U592">
        <v>4250</v>
      </c>
      <c r="V592" t="s">
        <v>30</v>
      </c>
      <c r="W592" t="s">
        <v>528</v>
      </c>
      <c r="X592" t="s">
        <v>524</v>
      </c>
    </row>
    <row r="593" spans="1:24" x14ac:dyDescent="0.25">
      <c r="A593">
        <v>2025</v>
      </c>
      <c r="B593" t="s">
        <v>290</v>
      </c>
      <c r="C593" t="s">
        <v>290</v>
      </c>
      <c r="D593" t="s">
        <v>785</v>
      </c>
      <c r="E593">
        <v>2</v>
      </c>
      <c r="F593">
        <v>4</v>
      </c>
      <c r="G593" t="s">
        <v>735</v>
      </c>
      <c r="H593">
        <v>9</v>
      </c>
      <c r="I593" t="s">
        <v>28</v>
      </c>
      <c r="J593">
        <v>19</v>
      </c>
      <c r="K593">
        <v>25</v>
      </c>
      <c r="L593">
        <v>21</v>
      </c>
      <c r="M593" t="s">
        <v>122</v>
      </c>
      <c r="N593">
        <v>3050</v>
      </c>
      <c r="O593">
        <v>4</v>
      </c>
      <c r="P593">
        <v>4</v>
      </c>
      <c r="Q593">
        <v>476</v>
      </c>
      <c r="R593">
        <v>357</v>
      </c>
      <c r="S593">
        <v>423</v>
      </c>
      <c r="U593">
        <v>5750</v>
      </c>
      <c r="V593" t="s">
        <v>30</v>
      </c>
      <c r="W593" t="s">
        <v>528</v>
      </c>
      <c r="X593" t="s">
        <v>524</v>
      </c>
    </row>
    <row r="594" spans="1:24" x14ac:dyDescent="0.25">
      <c r="A594">
        <v>2025</v>
      </c>
      <c r="B594" t="s">
        <v>290</v>
      </c>
      <c r="C594" t="s">
        <v>290</v>
      </c>
      <c r="D594" t="s">
        <v>784</v>
      </c>
      <c r="E594">
        <v>2</v>
      </c>
      <c r="F594">
        <v>4</v>
      </c>
      <c r="G594" t="s">
        <v>735</v>
      </c>
      <c r="H594">
        <v>9</v>
      </c>
      <c r="I594" t="s">
        <v>28</v>
      </c>
      <c r="J594">
        <v>18</v>
      </c>
      <c r="K594">
        <v>24</v>
      </c>
      <c r="L594">
        <v>21</v>
      </c>
      <c r="M594" t="s">
        <v>122</v>
      </c>
      <c r="N594">
        <v>3050</v>
      </c>
      <c r="O594">
        <v>4</v>
      </c>
      <c r="P594">
        <v>4</v>
      </c>
      <c r="Q594">
        <v>483</v>
      </c>
      <c r="R594">
        <v>371</v>
      </c>
      <c r="S594">
        <v>433</v>
      </c>
      <c r="U594">
        <v>5750</v>
      </c>
      <c r="V594" t="s">
        <v>30</v>
      </c>
      <c r="W594" t="s">
        <v>528</v>
      </c>
      <c r="X594" t="s">
        <v>524</v>
      </c>
    </row>
    <row r="595" spans="1:24" x14ac:dyDescent="0.25">
      <c r="A595">
        <v>2025</v>
      </c>
      <c r="B595" t="s">
        <v>290</v>
      </c>
      <c r="C595" t="s">
        <v>290</v>
      </c>
      <c r="D595" t="s">
        <v>783</v>
      </c>
      <c r="E595">
        <v>3</v>
      </c>
      <c r="F595">
        <v>6</v>
      </c>
      <c r="G595" t="s">
        <v>735</v>
      </c>
      <c r="H595">
        <v>9</v>
      </c>
      <c r="I595" t="s">
        <v>28</v>
      </c>
      <c r="J595">
        <v>18</v>
      </c>
      <c r="K595">
        <v>23</v>
      </c>
      <c r="L595">
        <v>20</v>
      </c>
      <c r="M595" t="s">
        <v>29</v>
      </c>
      <c r="N595">
        <v>3200</v>
      </c>
      <c r="O595">
        <v>4</v>
      </c>
      <c r="P595">
        <v>4</v>
      </c>
      <c r="Q595">
        <v>484</v>
      </c>
      <c r="R595">
        <v>384</v>
      </c>
      <c r="S595">
        <v>439</v>
      </c>
      <c r="U595">
        <v>6500</v>
      </c>
      <c r="V595" t="s">
        <v>30</v>
      </c>
      <c r="W595" t="s">
        <v>525</v>
      </c>
      <c r="X595" t="s">
        <v>524</v>
      </c>
    </row>
    <row r="596" spans="1:24" x14ac:dyDescent="0.25">
      <c r="A596">
        <v>2025</v>
      </c>
      <c r="B596" t="s">
        <v>290</v>
      </c>
      <c r="C596" t="s">
        <v>290</v>
      </c>
      <c r="D596" t="s">
        <v>782</v>
      </c>
      <c r="E596">
        <v>3</v>
      </c>
      <c r="F596">
        <v>6</v>
      </c>
      <c r="G596" t="s">
        <v>735</v>
      </c>
      <c r="H596">
        <v>9</v>
      </c>
      <c r="I596" t="s">
        <v>28</v>
      </c>
      <c r="J596">
        <v>18</v>
      </c>
      <c r="K596">
        <v>22</v>
      </c>
      <c r="L596">
        <v>20</v>
      </c>
      <c r="M596" t="s">
        <v>29</v>
      </c>
      <c r="N596">
        <v>3200</v>
      </c>
      <c r="O596">
        <v>4</v>
      </c>
      <c r="P596">
        <v>4</v>
      </c>
      <c r="Q596">
        <v>497</v>
      </c>
      <c r="R596">
        <v>401</v>
      </c>
      <c r="S596">
        <v>454</v>
      </c>
      <c r="U596">
        <v>6500</v>
      </c>
      <c r="V596" t="s">
        <v>30</v>
      </c>
      <c r="W596" t="s">
        <v>525</v>
      </c>
      <c r="X596" t="s">
        <v>524</v>
      </c>
    </row>
    <row r="597" spans="1:24" x14ac:dyDescent="0.25">
      <c r="A597">
        <v>2025</v>
      </c>
      <c r="B597" t="s">
        <v>290</v>
      </c>
      <c r="C597" t="s">
        <v>290</v>
      </c>
      <c r="D597" t="s">
        <v>781</v>
      </c>
      <c r="E597">
        <v>4</v>
      </c>
      <c r="F597">
        <v>8</v>
      </c>
      <c r="G597" t="s">
        <v>735</v>
      </c>
      <c r="H597">
        <v>9</v>
      </c>
      <c r="I597" t="s">
        <v>28</v>
      </c>
      <c r="J597">
        <v>14</v>
      </c>
      <c r="K597">
        <v>19</v>
      </c>
      <c r="L597">
        <v>16</v>
      </c>
      <c r="M597" t="s">
        <v>29</v>
      </c>
      <c r="N597">
        <v>4000</v>
      </c>
      <c r="O597">
        <v>3</v>
      </c>
      <c r="P597">
        <v>3</v>
      </c>
      <c r="Q597">
        <v>631</v>
      </c>
      <c r="R597">
        <v>459</v>
      </c>
      <c r="S597">
        <v>554</v>
      </c>
      <c r="U597">
        <v>10500</v>
      </c>
      <c r="V597" t="s">
        <v>30</v>
      </c>
      <c r="W597" t="s">
        <v>528</v>
      </c>
      <c r="X597" t="s">
        <v>524</v>
      </c>
    </row>
    <row r="598" spans="1:24" x14ac:dyDescent="0.25">
      <c r="A598">
        <v>2025</v>
      </c>
      <c r="B598" t="s">
        <v>290</v>
      </c>
      <c r="C598" t="s">
        <v>290</v>
      </c>
      <c r="D598" t="s">
        <v>780</v>
      </c>
      <c r="E598">
        <v>4</v>
      </c>
      <c r="F598">
        <v>8</v>
      </c>
      <c r="G598" t="s">
        <v>735</v>
      </c>
      <c r="H598">
        <v>9</v>
      </c>
      <c r="I598" t="s">
        <v>28</v>
      </c>
      <c r="J598">
        <v>14</v>
      </c>
      <c r="K598">
        <v>19</v>
      </c>
      <c r="L598">
        <v>16</v>
      </c>
      <c r="M598" t="s">
        <v>29</v>
      </c>
      <c r="N598">
        <v>4000</v>
      </c>
      <c r="O598">
        <v>3</v>
      </c>
      <c r="P598">
        <v>3</v>
      </c>
      <c r="Q598">
        <v>631</v>
      </c>
      <c r="R598">
        <v>459</v>
      </c>
      <c r="S598">
        <v>554</v>
      </c>
      <c r="U598">
        <v>10500</v>
      </c>
      <c r="V598" t="s">
        <v>30</v>
      </c>
      <c r="W598" t="s">
        <v>528</v>
      </c>
      <c r="X598" t="s">
        <v>524</v>
      </c>
    </row>
    <row r="599" spans="1:24" x14ac:dyDescent="0.25">
      <c r="A599">
        <v>2025</v>
      </c>
      <c r="B599" t="s">
        <v>290</v>
      </c>
      <c r="C599" t="s">
        <v>290</v>
      </c>
      <c r="D599" t="s">
        <v>779</v>
      </c>
      <c r="E599">
        <v>4</v>
      </c>
      <c r="F599">
        <v>8</v>
      </c>
      <c r="G599" t="s">
        <v>735</v>
      </c>
      <c r="H599">
        <v>9</v>
      </c>
      <c r="I599" t="s">
        <v>28</v>
      </c>
      <c r="J599">
        <v>14</v>
      </c>
      <c r="K599">
        <v>18</v>
      </c>
      <c r="L599">
        <v>15</v>
      </c>
      <c r="M599" t="s">
        <v>29</v>
      </c>
      <c r="N599">
        <v>4250</v>
      </c>
      <c r="O599">
        <v>2</v>
      </c>
      <c r="P599">
        <v>2</v>
      </c>
      <c r="Q599">
        <v>647</v>
      </c>
      <c r="R599">
        <v>493</v>
      </c>
      <c r="S599">
        <v>578</v>
      </c>
      <c r="U599">
        <v>11750</v>
      </c>
      <c r="V599" t="s">
        <v>30</v>
      </c>
      <c r="W599" t="s">
        <v>528</v>
      </c>
      <c r="X599" t="s">
        <v>524</v>
      </c>
    </row>
    <row r="600" spans="1:24" x14ac:dyDescent="0.25">
      <c r="A600">
        <v>2025</v>
      </c>
      <c r="B600" t="s">
        <v>290</v>
      </c>
      <c r="C600" t="s">
        <v>290</v>
      </c>
      <c r="D600" t="s">
        <v>778</v>
      </c>
      <c r="E600">
        <v>2</v>
      </c>
      <c r="F600">
        <v>4</v>
      </c>
      <c r="G600" t="s">
        <v>735</v>
      </c>
      <c r="H600">
        <v>9</v>
      </c>
      <c r="I600" t="s">
        <v>46</v>
      </c>
      <c r="J600">
        <v>19</v>
      </c>
      <c r="K600">
        <v>27</v>
      </c>
      <c r="L600">
        <v>22</v>
      </c>
      <c r="M600" t="s">
        <v>36</v>
      </c>
      <c r="N600">
        <v>2900</v>
      </c>
      <c r="O600">
        <v>5</v>
      </c>
      <c r="P600">
        <v>5</v>
      </c>
      <c r="Q600">
        <v>464</v>
      </c>
      <c r="R600">
        <v>333</v>
      </c>
      <c r="S600">
        <v>405</v>
      </c>
      <c r="U600">
        <v>5000</v>
      </c>
      <c r="V600" t="s">
        <v>30</v>
      </c>
      <c r="W600" t="s">
        <v>528</v>
      </c>
      <c r="X600" t="s">
        <v>524</v>
      </c>
    </row>
    <row r="601" spans="1:24" x14ac:dyDescent="0.25">
      <c r="A601">
        <v>2025</v>
      </c>
      <c r="B601" t="s">
        <v>290</v>
      </c>
      <c r="C601" t="s">
        <v>290</v>
      </c>
      <c r="D601" t="s">
        <v>777</v>
      </c>
      <c r="E601">
        <v>3</v>
      </c>
      <c r="F601">
        <v>6</v>
      </c>
      <c r="G601" t="s">
        <v>735</v>
      </c>
      <c r="H601">
        <v>9</v>
      </c>
      <c r="I601" t="s">
        <v>28</v>
      </c>
      <c r="J601">
        <v>19</v>
      </c>
      <c r="K601">
        <v>24</v>
      </c>
      <c r="L601">
        <v>21</v>
      </c>
      <c r="M601" t="s">
        <v>122</v>
      </c>
      <c r="N601">
        <v>3050</v>
      </c>
      <c r="O601">
        <v>4</v>
      </c>
      <c r="P601">
        <v>4</v>
      </c>
      <c r="Q601">
        <v>464</v>
      </c>
      <c r="R601">
        <v>374</v>
      </c>
      <c r="S601">
        <v>424</v>
      </c>
      <c r="U601">
        <v>5750</v>
      </c>
      <c r="V601" t="s">
        <v>30</v>
      </c>
      <c r="W601" t="s">
        <v>402</v>
      </c>
      <c r="X601" t="s">
        <v>524</v>
      </c>
    </row>
    <row r="602" spans="1:24" x14ac:dyDescent="0.25">
      <c r="A602">
        <v>2025</v>
      </c>
      <c r="B602" t="s">
        <v>290</v>
      </c>
      <c r="C602" t="s">
        <v>290</v>
      </c>
      <c r="D602" t="s">
        <v>776</v>
      </c>
      <c r="E602">
        <v>3</v>
      </c>
      <c r="F602">
        <v>6</v>
      </c>
      <c r="G602" t="s">
        <v>735</v>
      </c>
      <c r="H602">
        <v>9</v>
      </c>
      <c r="I602" t="s">
        <v>28</v>
      </c>
      <c r="J602">
        <v>19</v>
      </c>
      <c r="K602">
        <v>24</v>
      </c>
      <c r="L602">
        <v>21</v>
      </c>
      <c r="M602" t="s">
        <v>122</v>
      </c>
      <c r="N602">
        <v>3050</v>
      </c>
      <c r="O602">
        <v>4</v>
      </c>
      <c r="P602">
        <v>4</v>
      </c>
      <c r="Q602">
        <v>464</v>
      </c>
      <c r="R602">
        <v>374</v>
      </c>
      <c r="S602">
        <v>424</v>
      </c>
      <c r="U602">
        <v>5750</v>
      </c>
      <c r="V602" t="s">
        <v>30</v>
      </c>
      <c r="W602" t="s">
        <v>402</v>
      </c>
      <c r="X602" t="s">
        <v>524</v>
      </c>
    </row>
    <row r="603" spans="1:24" x14ac:dyDescent="0.25">
      <c r="A603">
        <v>2025</v>
      </c>
      <c r="B603" t="s">
        <v>290</v>
      </c>
      <c r="C603" t="s">
        <v>290</v>
      </c>
      <c r="D603" t="s">
        <v>775</v>
      </c>
      <c r="E603">
        <v>4</v>
      </c>
      <c r="F603">
        <v>8</v>
      </c>
      <c r="G603" t="s">
        <v>735</v>
      </c>
      <c r="H603">
        <v>9</v>
      </c>
      <c r="I603" t="s">
        <v>28</v>
      </c>
      <c r="J603">
        <v>12</v>
      </c>
      <c r="K603">
        <v>19</v>
      </c>
      <c r="L603">
        <v>14</v>
      </c>
      <c r="M603" t="s">
        <v>108</v>
      </c>
      <c r="N603">
        <v>4550</v>
      </c>
      <c r="O603">
        <v>2</v>
      </c>
      <c r="P603">
        <v>2</v>
      </c>
      <c r="Q603">
        <v>743</v>
      </c>
      <c r="R603">
        <v>476</v>
      </c>
      <c r="S603">
        <v>623</v>
      </c>
      <c r="U603">
        <v>13250</v>
      </c>
      <c r="V603" t="s">
        <v>633</v>
      </c>
      <c r="W603" t="s">
        <v>528</v>
      </c>
      <c r="X603" t="s">
        <v>524</v>
      </c>
    </row>
    <row r="604" spans="1:24" x14ac:dyDescent="0.25">
      <c r="A604">
        <v>2025</v>
      </c>
      <c r="B604" t="s">
        <v>290</v>
      </c>
      <c r="C604" t="s">
        <v>290</v>
      </c>
      <c r="D604" t="s">
        <v>774</v>
      </c>
      <c r="E604">
        <v>4</v>
      </c>
      <c r="F604">
        <v>8</v>
      </c>
      <c r="G604" t="s">
        <v>735</v>
      </c>
      <c r="H604">
        <v>9</v>
      </c>
      <c r="I604" t="s">
        <v>28</v>
      </c>
      <c r="J604">
        <v>15</v>
      </c>
      <c r="K604">
        <v>21</v>
      </c>
      <c r="L604">
        <v>17</v>
      </c>
      <c r="M604" t="s">
        <v>75</v>
      </c>
      <c r="N604">
        <v>3750</v>
      </c>
      <c r="O604">
        <v>3</v>
      </c>
      <c r="P604">
        <v>3</v>
      </c>
      <c r="Q604">
        <v>579</v>
      </c>
      <c r="R604">
        <v>430</v>
      </c>
      <c r="S604">
        <v>512</v>
      </c>
      <c r="U604">
        <v>9250</v>
      </c>
      <c r="V604" t="s">
        <v>30</v>
      </c>
      <c r="W604" t="s">
        <v>528</v>
      </c>
      <c r="X604" t="s">
        <v>524</v>
      </c>
    </row>
    <row r="605" spans="1:24" x14ac:dyDescent="0.25">
      <c r="A605">
        <v>2025</v>
      </c>
      <c r="B605" t="s">
        <v>290</v>
      </c>
      <c r="C605" t="s">
        <v>290</v>
      </c>
      <c r="D605" t="s">
        <v>773</v>
      </c>
      <c r="E605">
        <v>4</v>
      </c>
      <c r="F605">
        <v>8</v>
      </c>
      <c r="G605" t="s">
        <v>735</v>
      </c>
      <c r="H605">
        <v>9</v>
      </c>
      <c r="I605" t="s">
        <v>28</v>
      </c>
      <c r="J605">
        <v>12</v>
      </c>
      <c r="K605">
        <v>19</v>
      </c>
      <c r="L605">
        <v>14</v>
      </c>
      <c r="M605" t="s">
        <v>108</v>
      </c>
      <c r="N605">
        <v>4550</v>
      </c>
      <c r="O605">
        <v>2</v>
      </c>
      <c r="P605">
        <v>2</v>
      </c>
      <c r="Q605">
        <v>743</v>
      </c>
      <c r="R605">
        <v>476</v>
      </c>
      <c r="S605">
        <v>623</v>
      </c>
      <c r="U605">
        <v>13250</v>
      </c>
      <c r="V605" t="s">
        <v>633</v>
      </c>
      <c r="W605" t="s">
        <v>528</v>
      </c>
      <c r="X605" t="s">
        <v>524</v>
      </c>
    </row>
    <row r="606" spans="1:24" x14ac:dyDescent="0.25">
      <c r="A606">
        <v>2025</v>
      </c>
      <c r="B606" t="s">
        <v>290</v>
      </c>
      <c r="C606" t="s">
        <v>290</v>
      </c>
      <c r="D606" t="s">
        <v>772</v>
      </c>
      <c r="E606">
        <v>4</v>
      </c>
      <c r="F606">
        <v>8</v>
      </c>
      <c r="G606" t="s">
        <v>735</v>
      </c>
      <c r="H606">
        <v>9</v>
      </c>
      <c r="I606" t="s">
        <v>28</v>
      </c>
      <c r="J606">
        <v>12</v>
      </c>
      <c r="K606">
        <v>19</v>
      </c>
      <c r="L606">
        <v>14</v>
      </c>
      <c r="M606" t="s">
        <v>108</v>
      </c>
      <c r="N606">
        <v>4550</v>
      </c>
      <c r="O606">
        <v>2</v>
      </c>
      <c r="P606">
        <v>2</v>
      </c>
      <c r="Q606">
        <v>743</v>
      </c>
      <c r="R606">
        <v>476</v>
      </c>
      <c r="S606">
        <v>623</v>
      </c>
      <c r="U606">
        <v>13250</v>
      </c>
      <c r="V606" t="s">
        <v>633</v>
      </c>
      <c r="W606" t="s">
        <v>528</v>
      </c>
      <c r="X606" t="s">
        <v>524</v>
      </c>
    </row>
    <row r="607" spans="1:24" x14ac:dyDescent="0.25">
      <c r="A607">
        <v>2025</v>
      </c>
      <c r="B607" t="s">
        <v>290</v>
      </c>
      <c r="C607" t="s">
        <v>290</v>
      </c>
      <c r="D607" t="s">
        <v>771</v>
      </c>
      <c r="E607">
        <v>2</v>
      </c>
      <c r="F607">
        <v>4</v>
      </c>
      <c r="G607" t="s">
        <v>735</v>
      </c>
      <c r="H607">
        <v>9</v>
      </c>
      <c r="I607" t="s">
        <v>46</v>
      </c>
      <c r="J607">
        <v>19</v>
      </c>
      <c r="K607">
        <v>27</v>
      </c>
      <c r="L607">
        <v>22</v>
      </c>
      <c r="M607" t="s">
        <v>155</v>
      </c>
      <c r="N607">
        <v>2900</v>
      </c>
      <c r="O607">
        <v>5</v>
      </c>
      <c r="P607">
        <v>5</v>
      </c>
      <c r="Q607">
        <v>459</v>
      </c>
      <c r="R607">
        <v>329</v>
      </c>
      <c r="S607">
        <v>400</v>
      </c>
      <c r="U607">
        <v>5000</v>
      </c>
      <c r="V607" t="s">
        <v>30</v>
      </c>
      <c r="W607" t="s">
        <v>528</v>
      </c>
      <c r="X607" t="s">
        <v>524</v>
      </c>
    </row>
    <row r="608" spans="1:24" x14ac:dyDescent="0.25">
      <c r="A608">
        <v>2025</v>
      </c>
      <c r="B608" t="s">
        <v>290</v>
      </c>
      <c r="C608" t="s">
        <v>290</v>
      </c>
      <c r="D608" t="s">
        <v>770</v>
      </c>
      <c r="E608">
        <v>4</v>
      </c>
      <c r="F608">
        <v>8</v>
      </c>
      <c r="G608" t="s">
        <v>735</v>
      </c>
      <c r="H608">
        <v>9</v>
      </c>
      <c r="I608" t="s">
        <v>28</v>
      </c>
      <c r="J608">
        <v>13</v>
      </c>
      <c r="K608">
        <v>21</v>
      </c>
      <c r="L608">
        <v>16</v>
      </c>
      <c r="M608" t="s">
        <v>155</v>
      </c>
      <c r="N608">
        <v>4000</v>
      </c>
      <c r="O608">
        <v>3</v>
      </c>
      <c r="P608">
        <v>3</v>
      </c>
      <c r="Q608">
        <v>667</v>
      </c>
      <c r="R608">
        <v>424</v>
      </c>
      <c r="S608">
        <v>558</v>
      </c>
      <c r="U608">
        <v>10500</v>
      </c>
      <c r="V608" t="s">
        <v>633</v>
      </c>
      <c r="W608" t="s">
        <v>528</v>
      </c>
      <c r="X608" t="s">
        <v>524</v>
      </c>
    </row>
    <row r="609" spans="1:24" x14ac:dyDescent="0.25">
      <c r="A609">
        <v>2025</v>
      </c>
      <c r="B609" t="s">
        <v>290</v>
      </c>
      <c r="C609" t="s">
        <v>290</v>
      </c>
      <c r="D609" t="s">
        <v>769</v>
      </c>
      <c r="E609">
        <v>4</v>
      </c>
      <c r="F609">
        <v>8</v>
      </c>
      <c r="G609" t="s">
        <v>735</v>
      </c>
      <c r="H609">
        <v>9</v>
      </c>
      <c r="I609" t="s">
        <v>28</v>
      </c>
      <c r="J609">
        <v>13</v>
      </c>
      <c r="K609">
        <v>21</v>
      </c>
      <c r="L609">
        <v>16</v>
      </c>
      <c r="M609" t="s">
        <v>155</v>
      </c>
      <c r="N609">
        <v>4000</v>
      </c>
      <c r="O609">
        <v>3</v>
      </c>
      <c r="P609">
        <v>3</v>
      </c>
      <c r="Q609">
        <v>667</v>
      </c>
      <c r="R609">
        <v>424</v>
      </c>
      <c r="S609">
        <v>558</v>
      </c>
      <c r="U609">
        <v>10500</v>
      </c>
      <c r="V609" t="s">
        <v>633</v>
      </c>
      <c r="W609" t="s">
        <v>528</v>
      </c>
      <c r="X609" t="s">
        <v>524</v>
      </c>
    </row>
    <row r="610" spans="1:24" x14ac:dyDescent="0.25">
      <c r="A610">
        <v>2025</v>
      </c>
      <c r="B610" t="s">
        <v>290</v>
      </c>
      <c r="C610" t="s">
        <v>290</v>
      </c>
      <c r="D610" t="s">
        <v>768</v>
      </c>
      <c r="E610">
        <v>2</v>
      </c>
      <c r="F610">
        <v>4</v>
      </c>
      <c r="G610" t="s">
        <v>735</v>
      </c>
      <c r="H610">
        <v>9</v>
      </c>
      <c r="I610" t="s">
        <v>46</v>
      </c>
      <c r="J610">
        <v>25</v>
      </c>
      <c r="K610">
        <v>35</v>
      </c>
      <c r="L610">
        <v>29</v>
      </c>
      <c r="M610" t="s">
        <v>75</v>
      </c>
      <c r="N610">
        <v>2200</v>
      </c>
      <c r="O610">
        <v>6</v>
      </c>
      <c r="P610">
        <v>6</v>
      </c>
      <c r="Q610">
        <v>352</v>
      </c>
      <c r="R610">
        <v>252</v>
      </c>
      <c r="S610">
        <v>307</v>
      </c>
      <c r="U610">
        <v>1500</v>
      </c>
      <c r="V610" t="s">
        <v>30</v>
      </c>
      <c r="W610" t="s">
        <v>528</v>
      </c>
      <c r="X610" t="s">
        <v>524</v>
      </c>
    </row>
    <row r="611" spans="1:24" x14ac:dyDescent="0.25">
      <c r="A611">
        <v>2025</v>
      </c>
      <c r="B611" t="s">
        <v>290</v>
      </c>
      <c r="C611" t="s">
        <v>290</v>
      </c>
      <c r="D611" t="s">
        <v>767</v>
      </c>
      <c r="E611">
        <v>2</v>
      </c>
      <c r="F611">
        <v>4</v>
      </c>
      <c r="G611" t="s">
        <v>735</v>
      </c>
      <c r="H611">
        <v>9</v>
      </c>
      <c r="I611" t="s">
        <v>28</v>
      </c>
      <c r="J611">
        <v>24</v>
      </c>
      <c r="K611">
        <v>33</v>
      </c>
      <c r="L611">
        <v>27</v>
      </c>
      <c r="M611" t="s">
        <v>75</v>
      </c>
      <c r="N611">
        <v>2350</v>
      </c>
      <c r="O611">
        <v>5</v>
      </c>
      <c r="P611">
        <v>5</v>
      </c>
      <c r="Q611">
        <v>379</v>
      </c>
      <c r="R611">
        <v>268</v>
      </c>
      <c r="S611">
        <v>329</v>
      </c>
      <c r="U611">
        <v>2250</v>
      </c>
      <c r="V611" t="s">
        <v>30</v>
      </c>
      <c r="W611" t="s">
        <v>528</v>
      </c>
      <c r="X611" t="s">
        <v>524</v>
      </c>
    </row>
    <row r="612" spans="1:24" x14ac:dyDescent="0.25">
      <c r="A612">
        <v>2025</v>
      </c>
      <c r="B612" t="s">
        <v>290</v>
      </c>
      <c r="C612" t="s">
        <v>290</v>
      </c>
      <c r="D612" t="s">
        <v>766</v>
      </c>
      <c r="E612">
        <v>2</v>
      </c>
      <c r="F612">
        <v>4</v>
      </c>
      <c r="G612" t="s">
        <v>751</v>
      </c>
      <c r="H612">
        <v>8</v>
      </c>
      <c r="I612" t="s">
        <v>128</v>
      </c>
      <c r="J612">
        <v>26</v>
      </c>
      <c r="K612">
        <v>36</v>
      </c>
      <c r="L612">
        <v>30</v>
      </c>
      <c r="M612" t="s">
        <v>75</v>
      </c>
      <c r="N612">
        <v>2100</v>
      </c>
      <c r="O612">
        <v>6</v>
      </c>
      <c r="P612">
        <v>6</v>
      </c>
      <c r="Q612">
        <v>339</v>
      </c>
      <c r="R612">
        <v>247</v>
      </c>
      <c r="S612">
        <v>298</v>
      </c>
      <c r="U612">
        <v>1000</v>
      </c>
      <c r="V612" t="s">
        <v>30</v>
      </c>
      <c r="W612" t="s">
        <v>528</v>
      </c>
      <c r="X612" t="s">
        <v>524</v>
      </c>
    </row>
    <row r="613" spans="1:24" x14ac:dyDescent="0.25">
      <c r="A613">
        <v>2025</v>
      </c>
      <c r="B613" t="s">
        <v>290</v>
      </c>
      <c r="C613" t="s">
        <v>290</v>
      </c>
      <c r="D613" t="s">
        <v>765</v>
      </c>
      <c r="E613">
        <v>2</v>
      </c>
      <c r="F613">
        <v>4</v>
      </c>
      <c r="G613" t="s">
        <v>751</v>
      </c>
      <c r="H613">
        <v>8</v>
      </c>
      <c r="I613" t="s">
        <v>28</v>
      </c>
      <c r="J613">
        <v>25</v>
      </c>
      <c r="K613">
        <v>34</v>
      </c>
      <c r="L613">
        <v>29</v>
      </c>
      <c r="M613" t="s">
        <v>75</v>
      </c>
      <c r="N613">
        <v>2200</v>
      </c>
      <c r="O613">
        <v>6</v>
      </c>
      <c r="P613">
        <v>6</v>
      </c>
      <c r="Q613">
        <v>353</v>
      </c>
      <c r="R613">
        <v>260</v>
      </c>
      <c r="S613">
        <v>311</v>
      </c>
      <c r="U613">
        <v>1500</v>
      </c>
      <c r="V613" t="s">
        <v>30</v>
      </c>
      <c r="W613" t="s">
        <v>528</v>
      </c>
      <c r="X613" t="s">
        <v>524</v>
      </c>
    </row>
    <row r="614" spans="1:24" x14ac:dyDescent="0.25">
      <c r="A614">
        <v>2025</v>
      </c>
      <c r="B614" t="s">
        <v>290</v>
      </c>
      <c r="C614" t="s">
        <v>290</v>
      </c>
      <c r="D614" t="s">
        <v>764</v>
      </c>
      <c r="E614">
        <v>2</v>
      </c>
      <c r="F614">
        <v>4</v>
      </c>
      <c r="G614" t="s">
        <v>735</v>
      </c>
      <c r="H614">
        <v>9</v>
      </c>
      <c r="I614" t="s">
        <v>28</v>
      </c>
      <c r="J614">
        <v>23</v>
      </c>
      <c r="K614">
        <v>32</v>
      </c>
      <c r="L614">
        <v>26</v>
      </c>
      <c r="M614" t="s">
        <v>36</v>
      </c>
      <c r="N614">
        <v>2450</v>
      </c>
      <c r="O614">
        <v>5</v>
      </c>
      <c r="P614">
        <v>5</v>
      </c>
      <c r="Q614">
        <v>389</v>
      </c>
      <c r="R614">
        <v>279</v>
      </c>
      <c r="S614">
        <v>340</v>
      </c>
      <c r="U614">
        <v>2750</v>
      </c>
      <c r="V614" t="s">
        <v>30</v>
      </c>
      <c r="W614" t="s">
        <v>528</v>
      </c>
      <c r="X614" t="s">
        <v>524</v>
      </c>
    </row>
    <row r="615" spans="1:24" x14ac:dyDescent="0.25">
      <c r="A615">
        <v>2025</v>
      </c>
      <c r="B615" t="s">
        <v>290</v>
      </c>
      <c r="C615" t="s">
        <v>290</v>
      </c>
      <c r="D615" t="s">
        <v>763</v>
      </c>
      <c r="E615">
        <v>2</v>
      </c>
      <c r="F615">
        <v>4</v>
      </c>
      <c r="G615" t="s">
        <v>735</v>
      </c>
      <c r="H615">
        <v>9</v>
      </c>
      <c r="I615" t="s">
        <v>28</v>
      </c>
      <c r="J615">
        <v>24</v>
      </c>
      <c r="K615">
        <v>33</v>
      </c>
      <c r="L615">
        <v>27</v>
      </c>
      <c r="M615" t="s">
        <v>36</v>
      </c>
      <c r="N615">
        <v>2350</v>
      </c>
      <c r="O615">
        <v>5</v>
      </c>
      <c r="P615">
        <v>5</v>
      </c>
      <c r="Q615">
        <v>368</v>
      </c>
      <c r="R615">
        <v>268</v>
      </c>
      <c r="S615">
        <v>323</v>
      </c>
      <c r="U615">
        <v>2250</v>
      </c>
      <c r="V615" t="s">
        <v>30</v>
      </c>
      <c r="W615" t="s">
        <v>528</v>
      </c>
      <c r="X615" t="s">
        <v>524</v>
      </c>
    </row>
    <row r="616" spans="1:24" x14ac:dyDescent="0.25">
      <c r="A616">
        <v>2025</v>
      </c>
      <c r="B616" t="s">
        <v>290</v>
      </c>
      <c r="C616" t="s">
        <v>290</v>
      </c>
      <c r="D616" t="s">
        <v>762</v>
      </c>
      <c r="E616">
        <v>3</v>
      </c>
      <c r="F616">
        <v>6</v>
      </c>
      <c r="G616" t="s">
        <v>735</v>
      </c>
      <c r="H616">
        <v>9</v>
      </c>
      <c r="I616" t="s">
        <v>28</v>
      </c>
      <c r="J616">
        <v>23</v>
      </c>
      <c r="K616">
        <v>32</v>
      </c>
      <c r="L616">
        <v>26</v>
      </c>
      <c r="M616" t="s">
        <v>36</v>
      </c>
      <c r="N616">
        <v>2450</v>
      </c>
      <c r="O616">
        <v>5</v>
      </c>
      <c r="P616">
        <v>5</v>
      </c>
      <c r="Q616">
        <v>386</v>
      </c>
      <c r="R616">
        <v>279</v>
      </c>
      <c r="S616">
        <v>338</v>
      </c>
      <c r="U616">
        <v>2750</v>
      </c>
      <c r="V616" t="s">
        <v>30</v>
      </c>
      <c r="W616" t="s">
        <v>525</v>
      </c>
      <c r="X616" t="s">
        <v>524</v>
      </c>
    </row>
    <row r="617" spans="1:24" x14ac:dyDescent="0.25">
      <c r="A617">
        <v>2025</v>
      </c>
      <c r="B617" t="s">
        <v>290</v>
      </c>
      <c r="C617" t="s">
        <v>290</v>
      </c>
      <c r="D617" t="s">
        <v>761</v>
      </c>
      <c r="E617">
        <v>3</v>
      </c>
      <c r="F617">
        <v>6</v>
      </c>
      <c r="G617" t="s">
        <v>735</v>
      </c>
      <c r="H617">
        <v>9</v>
      </c>
      <c r="I617" t="s">
        <v>28</v>
      </c>
      <c r="J617">
        <v>23</v>
      </c>
      <c r="K617">
        <v>33</v>
      </c>
      <c r="L617">
        <v>26</v>
      </c>
      <c r="M617" t="s">
        <v>36</v>
      </c>
      <c r="N617">
        <v>2450</v>
      </c>
      <c r="O617">
        <v>5</v>
      </c>
      <c r="P617">
        <v>5</v>
      </c>
      <c r="Q617">
        <v>394</v>
      </c>
      <c r="R617">
        <v>271</v>
      </c>
      <c r="S617">
        <v>339</v>
      </c>
      <c r="U617">
        <v>2750</v>
      </c>
      <c r="V617" t="s">
        <v>30</v>
      </c>
      <c r="W617" t="s">
        <v>525</v>
      </c>
      <c r="X617" t="s">
        <v>524</v>
      </c>
    </row>
    <row r="618" spans="1:24" x14ac:dyDescent="0.25">
      <c r="A618">
        <v>2025</v>
      </c>
      <c r="B618" t="s">
        <v>290</v>
      </c>
      <c r="C618" t="s">
        <v>290</v>
      </c>
      <c r="D618" t="s">
        <v>760</v>
      </c>
      <c r="E618">
        <v>2</v>
      </c>
      <c r="F618">
        <v>4</v>
      </c>
      <c r="G618" t="s">
        <v>735</v>
      </c>
      <c r="H618">
        <v>9</v>
      </c>
      <c r="I618" t="s">
        <v>46</v>
      </c>
      <c r="J618">
        <v>25</v>
      </c>
      <c r="K618">
        <v>33</v>
      </c>
      <c r="L618">
        <v>28</v>
      </c>
      <c r="M618" t="s">
        <v>186</v>
      </c>
      <c r="N618">
        <v>2300</v>
      </c>
      <c r="O618">
        <v>6</v>
      </c>
      <c r="P618">
        <v>6</v>
      </c>
      <c r="Q618">
        <v>359</v>
      </c>
      <c r="R618">
        <v>264</v>
      </c>
      <c r="S618">
        <v>316</v>
      </c>
      <c r="U618">
        <v>2000</v>
      </c>
      <c r="V618" t="s">
        <v>30</v>
      </c>
      <c r="W618" t="s">
        <v>528</v>
      </c>
      <c r="X618" t="s">
        <v>524</v>
      </c>
    </row>
    <row r="619" spans="1:24" x14ac:dyDescent="0.25">
      <c r="A619">
        <v>2025</v>
      </c>
      <c r="B619" t="s">
        <v>290</v>
      </c>
      <c r="C619" t="s">
        <v>290</v>
      </c>
      <c r="D619" t="s">
        <v>759</v>
      </c>
      <c r="E619">
        <v>2</v>
      </c>
      <c r="F619">
        <v>4</v>
      </c>
      <c r="G619" t="s">
        <v>735</v>
      </c>
      <c r="H619">
        <v>9</v>
      </c>
      <c r="I619" t="s">
        <v>28</v>
      </c>
      <c r="J619">
        <v>24</v>
      </c>
      <c r="K619">
        <v>33</v>
      </c>
      <c r="L619">
        <v>27</v>
      </c>
      <c r="M619" t="s">
        <v>186</v>
      </c>
      <c r="N619">
        <v>2350</v>
      </c>
      <c r="O619">
        <v>5</v>
      </c>
      <c r="P619">
        <v>5</v>
      </c>
      <c r="Q619">
        <v>375</v>
      </c>
      <c r="R619">
        <v>269</v>
      </c>
      <c r="S619">
        <v>327</v>
      </c>
      <c r="U619">
        <v>2250</v>
      </c>
      <c r="V619" t="s">
        <v>30</v>
      </c>
      <c r="W619" t="s">
        <v>528</v>
      </c>
      <c r="X619" t="s">
        <v>524</v>
      </c>
    </row>
    <row r="620" spans="1:24" x14ac:dyDescent="0.25">
      <c r="A620">
        <v>2025</v>
      </c>
      <c r="B620" t="s">
        <v>290</v>
      </c>
      <c r="C620" t="s">
        <v>290</v>
      </c>
      <c r="D620" t="s">
        <v>758</v>
      </c>
      <c r="E620">
        <v>3</v>
      </c>
      <c r="F620">
        <v>6</v>
      </c>
      <c r="G620" t="s">
        <v>735</v>
      </c>
      <c r="H620">
        <v>9</v>
      </c>
      <c r="I620" t="s">
        <v>28</v>
      </c>
      <c r="J620">
        <v>22</v>
      </c>
      <c r="K620">
        <v>31</v>
      </c>
      <c r="L620">
        <v>25</v>
      </c>
      <c r="M620" t="s">
        <v>186</v>
      </c>
      <c r="N620">
        <v>2550</v>
      </c>
      <c r="O620">
        <v>5</v>
      </c>
      <c r="P620">
        <v>5</v>
      </c>
      <c r="Q620">
        <v>409</v>
      </c>
      <c r="R620">
        <v>290</v>
      </c>
      <c r="S620">
        <v>355</v>
      </c>
      <c r="U620">
        <v>3250</v>
      </c>
      <c r="V620" t="s">
        <v>30</v>
      </c>
      <c r="W620" t="s">
        <v>525</v>
      </c>
      <c r="X620" t="s">
        <v>524</v>
      </c>
    </row>
    <row r="621" spans="1:24" x14ac:dyDescent="0.25">
      <c r="A621">
        <v>2025</v>
      </c>
      <c r="B621" t="s">
        <v>290</v>
      </c>
      <c r="C621" t="s">
        <v>290</v>
      </c>
      <c r="D621" t="s">
        <v>757</v>
      </c>
      <c r="E621">
        <v>3</v>
      </c>
      <c r="F621">
        <v>6</v>
      </c>
      <c r="G621" t="s">
        <v>735</v>
      </c>
      <c r="H621">
        <v>9</v>
      </c>
      <c r="I621" t="s">
        <v>28</v>
      </c>
      <c r="J621">
        <v>22</v>
      </c>
      <c r="K621">
        <v>31</v>
      </c>
      <c r="L621">
        <v>25</v>
      </c>
      <c r="M621" t="s">
        <v>313</v>
      </c>
      <c r="N621">
        <v>2550</v>
      </c>
      <c r="O621">
        <v>5</v>
      </c>
      <c r="P621">
        <v>5</v>
      </c>
      <c r="Q621">
        <v>402</v>
      </c>
      <c r="R621">
        <v>289</v>
      </c>
      <c r="S621">
        <v>351</v>
      </c>
      <c r="U621">
        <v>3250</v>
      </c>
      <c r="V621" t="s">
        <v>30</v>
      </c>
      <c r="W621" t="s">
        <v>525</v>
      </c>
      <c r="X621" t="s">
        <v>524</v>
      </c>
    </row>
    <row r="622" spans="1:24" x14ac:dyDescent="0.25">
      <c r="A622">
        <v>2025</v>
      </c>
      <c r="B622" t="s">
        <v>290</v>
      </c>
      <c r="C622" t="s">
        <v>290</v>
      </c>
      <c r="D622" t="s">
        <v>756</v>
      </c>
      <c r="E622">
        <v>3</v>
      </c>
      <c r="F622">
        <v>6</v>
      </c>
      <c r="G622" t="s">
        <v>735</v>
      </c>
      <c r="H622">
        <v>9</v>
      </c>
      <c r="I622" t="s">
        <v>107</v>
      </c>
      <c r="J622">
        <v>17</v>
      </c>
      <c r="K622">
        <v>19</v>
      </c>
      <c r="L622">
        <v>18</v>
      </c>
      <c r="M622" t="s">
        <v>29</v>
      </c>
      <c r="N622">
        <v>3550</v>
      </c>
      <c r="O622">
        <v>4</v>
      </c>
      <c r="P622">
        <v>4</v>
      </c>
      <c r="Q622">
        <v>510</v>
      </c>
      <c r="R622">
        <v>465</v>
      </c>
      <c r="S622">
        <v>490</v>
      </c>
      <c r="U622">
        <v>8250</v>
      </c>
      <c r="V622" t="s">
        <v>30</v>
      </c>
      <c r="W622" t="s">
        <v>525</v>
      </c>
      <c r="X622" t="s">
        <v>524</v>
      </c>
    </row>
    <row r="623" spans="1:24" x14ac:dyDescent="0.25">
      <c r="A623">
        <v>2025</v>
      </c>
      <c r="B623" t="s">
        <v>290</v>
      </c>
      <c r="C623" t="s">
        <v>290</v>
      </c>
      <c r="D623" t="s">
        <v>755</v>
      </c>
      <c r="E623">
        <v>2</v>
      </c>
      <c r="F623">
        <v>4</v>
      </c>
      <c r="G623" t="s">
        <v>751</v>
      </c>
      <c r="H623">
        <v>8</v>
      </c>
      <c r="I623" t="s">
        <v>128</v>
      </c>
      <c r="J623">
        <v>26</v>
      </c>
      <c r="K623">
        <v>34</v>
      </c>
      <c r="L623">
        <v>29</v>
      </c>
      <c r="M623" t="s">
        <v>208</v>
      </c>
      <c r="N623">
        <v>2200</v>
      </c>
      <c r="O623">
        <v>6</v>
      </c>
      <c r="P623">
        <v>6</v>
      </c>
      <c r="Q623">
        <v>344</v>
      </c>
      <c r="R623">
        <v>260</v>
      </c>
      <c r="S623">
        <v>306</v>
      </c>
      <c r="U623">
        <v>1500</v>
      </c>
      <c r="V623" t="s">
        <v>30</v>
      </c>
      <c r="W623" t="s">
        <v>528</v>
      </c>
      <c r="X623" t="s">
        <v>524</v>
      </c>
    </row>
    <row r="624" spans="1:24" x14ac:dyDescent="0.25">
      <c r="A624">
        <v>2025</v>
      </c>
      <c r="B624" t="s">
        <v>290</v>
      </c>
      <c r="C624" t="s">
        <v>290</v>
      </c>
      <c r="D624" t="s">
        <v>754</v>
      </c>
      <c r="E624">
        <v>2</v>
      </c>
      <c r="F624">
        <v>4</v>
      </c>
      <c r="G624" t="s">
        <v>751</v>
      </c>
      <c r="H624">
        <v>8</v>
      </c>
      <c r="I624" t="s">
        <v>28</v>
      </c>
      <c r="J624">
        <v>25</v>
      </c>
      <c r="K624">
        <v>33</v>
      </c>
      <c r="L624">
        <v>28</v>
      </c>
      <c r="M624" t="s">
        <v>118</v>
      </c>
      <c r="N624">
        <v>2300</v>
      </c>
      <c r="O624">
        <v>6</v>
      </c>
      <c r="P624">
        <v>6</v>
      </c>
      <c r="Q624">
        <v>353</v>
      </c>
      <c r="R624">
        <v>269</v>
      </c>
      <c r="S624">
        <v>315</v>
      </c>
      <c r="U624">
        <v>2000</v>
      </c>
      <c r="V624" t="s">
        <v>30</v>
      </c>
      <c r="W624" t="s">
        <v>528</v>
      </c>
      <c r="X624" t="s">
        <v>524</v>
      </c>
    </row>
    <row r="625" spans="1:24" x14ac:dyDescent="0.25">
      <c r="A625">
        <v>2025</v>
      </c>
      <c r="B625" t="s">
        <v>290</v>
      </c>
      <c r="C625" t="s">
        <v>290</v>
      </c>
      <c r="D625" t="s">
        <v>753</v>
      </c>
      <c r="E625">
        <v>2</v>
      </c>
      <c r="F625">
        <v>4</v>
      </c>
      <c r="G625" t="s">
        <v>751</v>
      </c>
      <c r="H625">
        <v>8</v>
      </c>
      <c r="I625" t="s">
        <v>128</v>
      </c>
      <c r="J625">
        <v>25</v>
      </c>
      <c r="K625">
        <v>33</v>
      </c>
      <c r="L625">
        <v>28</v>
      </c>
      <c r="M625" t="s">
        <v>208</v>
      </c>
      <c r="N625">
        <v>2300</v>
      </c>
      <c r="O625">
        <v>6</v>
      </c>
      <c r="P625">
        <v>6</v>
      </c>
      <c r="Q625">
        <v>348</v>
      </c>
      <c r="R625">
        <v>265</v>
      </c>
      <c r="S625">
        <v>311</v>
      </c>
      <c r="U625">
        <v>2000</v>
      </c>
      <c r="V625" t="s">
        <v>30</v>
      </c>
      <c r="W625" t="s">
        <v>528</v>
      </c>
      <c r="X625" t="s">
        <v>524</v>
      </c>
    </row>
    <row r="626" spans="1:24" x14ac:dyDescent="0.25">
      <c r="A626">
        <v>2025</v>
      </c>
      <c r="B626" t="s">
        <v>290</v>
      </c>
      <c r="C626" t="s">
        <v>290</v>
      </c>
      <c r="D626" t="s">
        <v>752</v>
      </c>
      <c r="E626">
        <v>2</v>
      </c>
      <c r="F626">
        <v>4</v>
      </c>
      <c r="G626" t="s">
        <v>751</v>
      </c>
      <c r="H626">
        <v>8</v>
      </c>
      <c r="I626" t="s">
        <v>28</v>
      </c>
      <c r="J626">
        <v>24</v>
      </c>
      <c r="K626">
        <v>33</v>
      </c>
      <c r="L626">
        <v>27</v>
      </c>
      <c r="M626" t="s">
        <v>118</v>
      </c>
      <c r="N626">
        <v>2350</v>
      </c>
      <c r="O626">
        <v>5</v>
      </c>
      <c r="P626">
        <v>5</v>
      </c>
      <c r="Q626">
        <v>368</v>
      </c>
      <c r="R626">
        <v>270</v>
      </c>
      <c r="S626">
        <v>324</v>
      </c>
      <c r="U626">
        <v>2250</v>
      </c>
      <c r="V626" t="s">
        <v>30</v>
      </c>
      <c r="W626" t="s">
        <v>528</v>
      </c>
      <c r="X626" t="s">
        <v>524</v>
      </c>
    </row>
    <row r="627" spans="1:24" x14ac:dyDescent="0.25">
      <c r="A627">
        <v>2025</v>
      </c>
      <c r="B627" t="s">
        <v>290</v>
      </c>
      <c r="C627" t="s">
        <v>290</v>
      </c>
      <c r="D627" t="s">
        <v>750</v>
      </c>
      <c r="E627">
        <v>2</v>
      </c>
      <c r="F627">
        <v>4</v>
      </c>
      <c r="G627" t="s">
        <v>735</v>
      </c>
      <c r="H627">
        <v>9</v>
      </c>
      <c r="I627" t="s">
        <v>46</v>
      </c>
      <c r="J627">
        <v>24</v>
      </c>
      <c r="K627">
        <v>32</v>
      </c>
      <c r="L627">
        <v>27</v>
      </c>
      <c r="M627" t="s">
        <v>115</v>
      </c>
      <c r="N627">
        <v>2350</v>
      </c>
      <c r="O627">
        <v>5</v>
      </c>
      <c r="P627">
        <v>5</v>
      </c>
      <c r="Q627">
        <v>365</v>
      </c>
      <c r="R627">
        <v>273</v>
      </c>
      <c r="S627">
        <v>323</v>
      </c>
      <c r="U627">
        <v>2250</v>
      </c>
      <c r="V627" t="s">
        <v>30</v>
      </c>
      <c r="W627" t="s">
        <v>528</v>
      </c>
      <c r="X627" t="s">
        <v>524</v>
      </c>
    </row>
    <row r="628" spans="1:24" x14ac:dyDescent="0.25">
      <c r="A628">
        <v>2025</v>
      </c>
      <c r="B628" t="s">
        <v>290</v>
      </c>
      <c r="C628" t="s">
        <v>290</v>
      </c>
      <c r="D628" t="s">
        <v>749</v>
      </c>
      <c r="E628">
        <v>2</v>
      </c>
      <c r="F628">
        <v>4</v>
      </c>
      <c r="G628" t="s">
        <v>735</v>
      </c>
      <c r="H628">
        <v>9</v>
      </c>
      <c r="I628" t="s">
        <v>28</v>
      </c>
      <c r="J628">
        <v>23</v>
      </c>
      <c r="K628">
        <v>31</v>
      </c>
      <c r="L628">
        <v>26</v>
      </c>
      <c r="M628" t="s">
        <v>118</v>
      </c>
      <c r="N628">
        <v>2450</v>
      </c>
      <c r="O628">
        <v>5</v>
      </c>
      <c r="P628">
        <v>5</v>
      </c>
      <c r="Q628">
        <v>380</v>
      </c>
      <c r="R628">
        <v>287</v>
      </c>
      <c r="S628">
        <v>338</v>
      </c>
      <c r="U628">
        <v>2750</v>
      </c>
      <c r="V628" t="s">
        <v>30</v>
      </c>
      <c r="W628" t="s">
        <v>528</v>
      </c>
      <c r="X628" t="s">
        <v>524</v>
      </c>
    </row>
    <row r="629" spans="1:24" x14ac:dyDescent="0.25">
      <c r="A629">
        <v>2025</v>
      </c>
      <c r="B629" t="s">
        <v>290</v>
      </c>
      <c r="C629" t="s">
        <v>290</v>
      </c>
      <c r="D629" t="s">
        <v>748</v>
      </c>
      <c r="E629">
        <v>2</v>
      </c>
      <c r="F629">
        <v>4</v>
      </c>
      <c r="G629" t="s">
        <v>735</v>
      </c>
      <c r="H629">
        <v>9</v>
      </c>
      <c r="I629" t="s">
        <v>28</v>
      </c>
      <c r="J629">
        <v>23</v>
      </c>
      <c r="K629">
        <v>31</v>
      </c>
      <c r="L629">
        <v>26</v>
      </c>
      <c r="M629" t="s">
        <v>118</v>
      </c>
      <c r="N629">
        <v>2450</v>
      </c>
      <c r="O629">
        <v>5</v>
      </c>
      <c r="P629">
        <v>5</v>
      </c>
      <c r="Q629">
        <v>379</v>
      </c>
      <c r="R629">
        <v>287</v>
      </c>
      <c r="S629">
        <v>337</v>
      </c>
      <c r="U629">
        <v>2750</v>
      </c>
      <c r="V629" t="s">
        <v>30</v>
      </c>
      <c r="W629" t="s">
        <v>528</v>
      </c>
      <c r="X629" t="s">
        <v>524</v>
      </c>
    </row>
    <row r="630" spans="1:24" x14ac:dyDescent="0.25">
      <c r="A630">
        <v>2025</v>
      </c>
      <c r="B630" t="s">
        <v>290</v>
      </c>
      <c r="C630" t="s">
        <v>290</v>
      </c>
      <c r="D630" t="s">
        <v>747</v>
      </c>
      <c r="E630">
        <v>2</v>
      </c>
      <c r="F630">
        <v>4</v>
      </c>
      <c r="G630" t="s">
        <v>735</v>
      </c>
      <c r="H630">
        <v>9</v>
      </c>
      <c r="I630" t="s">
        <v>46</v>
      </c>
      <c r="J630">
        <v>21</v>
      </c>
      <c r="K630">
        <v>28</v>
      </c>
      <c r="L630">
        <v>23</v>
      </c>
      <c r="M630" t="s">
        <v>118</v>
      </c>
      <c r="N630">
        <v>2750</v>
      </c>
      <c r="O630">
        <v>5</v>
      </c>
      <c r="P630">
        <v>5</v>
      </c>
      <c r="Q630">
        <v>434</v>
      </c>
      <c r="R630">
        <v>318</v>
      </c>
      <c r="S630">
        <v>382</v>
      </c>
      <c r="U630">
        <v>4250</v>
      </c>
      <c r="V630" t="s">
        <v>30</v>
      </c>
      <c r="W630" t="s">
        <v>528</v>
      </c>
      <c r="X630" t="s">
        <v>524</v>
      </c>
    </row>
    <row r="631" spans="1:24" x14ac:dyDescent="0.25">
      <c r="A631">
        <v>2025</v>
      </c>
      <c r="B631" t="s">
        <v>290</v>
      </c>
      <c r="C631" t="s">
        <v>290</v>
      </c>
      <c r="D631" t="s">
        <v>746</v>
      </c>
      <c r="E631">
        <v>2</v>
      </c>
      <c r="F631">
        <v>4</v>
      </c>
      <c r="G631" t="s">
        <v>735</v>
      </c>
      <c r="H631">
        <v>9</v>
      </c>
      <c r="I631" t="s">
        <v>28</v>
      </c>
      <c r="J631">
        <v>19</v>
      </c>
      <c r="K631">
        <v>26</v>
      </c>
      <c r="L631">
        <v>22</v>
      </c>
      <c r="M631" t="s">
        <v>118</v>
      </c>
      <c r="N631">
        <v>2900</v>
      </c>
      <c r="O631">
        <v>5</v>
      </c>
      <c r="P631">
        <v>5</v>
      </c>
      <c r="Q631">
        <v>461</v>
      </c>
      <c r="R631">
        <v>347</v>
      </c>
      <c r="S631">
        <v>410</v>
      </c>
      <c r="U631">
        <v>5000</v>
      </c>
      <c r="V631" t="s">
        <v>30</v>
      </c>
      <c r="W631" t="s">
        <v>528</v>
      </c>
      <c r="X631" t="s">
        <v>524</v>
      </c>
    </row>
    <row r="632" spans="1:24" x14ac:dyDescent="0.25">
      <c r="A632">
        <v>2025</v>
      </c>
      <c r="B632" t="s">
        <v>290</v>
      </c>
      <c r="C632" t="s">
        <v>290</v>
      </c>
      <c r="D632" t="s">
        <v>745</v>
      </c>
      <c r="E632">
        <v>3</v>
      </c>
      <c r="F632">
        <v>6</v>
      </c>
      <c r="G632" t="s">
        <v>735</v>
      </c>
      <c r="H632">
        <v>9</v>
      </c>
      <c r="I632" t="s">
        <v>28</v>
      </c>
      <c r="J632">
        <v>19</v>
      </c>
      <c r="K632">
        <v>25</v>
      </c>
      <c r="L632">
        <v>21</v>
      </c>
      <c r="M632" t="s">
        <v>29</v>
      </c>
      <c r="N632">
        <v>3050</v>
      </c>
      <c r="O632">
        <v>4</v>
      </c>
      <c r="P632">
        <v>4</v>
      </c>
      <c r="Q632">
        <v>474</v>
      </c>
      <c r="R632">
        <v>363</v>
      </c>
      <c r="S632">
        <v>424</v>
      </c>
      <c r="U632">
        <v>5750</v>
      </c>
      <c r="V632" t="s">
        <v>30</v>
      </c>
      <c r="W632" t="s">
        <v>525</v>
      </c>
      <c r="X632" t="s">
        <v>524</v>
      </c>
    </row>
    <row r="633" spans="1:24" x14ac:dyDescent="0.25">
      <c r="A633">
        <v>2025</v>
      </c>
      <c r="B633" t="s">
        <v>290</v>
      </c>
      <c r="C633" t="s">
        <v>290</v>
      </c>
      <c r="D633" t="s">
        <v>744</v>
      </c>
      <c r="E633">
        <v>3</v>
      </c>
      <c r="F633">
        <v>6</v>
      </c>
      <c r="G633" t="s">
        <v>735</v>
      </c>
      <c r="H633">
        <v>9</v>
      </c>
      <c r="I633" t="s">
        <v>28</v>
      </c>
      <c r="J633">
        <v>19</v>
      </c>
      <c r="K633">
        <v>25</v>
      </c>
      <c r="L633">
        <v>21</v>
      </c>
      <c r="M633" t="s">
        <v>29</v>
      </c>
      <c r="N633">
        <v>3050</v>
      </c>
      <c r="O633">
        <v>4</v>
      </c>
      <c r="P633">
        <v>4</v>
      </c>
      <c r="Q633">
        <v>474</v>
      </c>
      <c r="R633">
        <v>363</v>
      </c>
      <c r="S633">
        <v>424</v>
      </c>
      <c r="U633">
        <v>5750</v>
      </c>
      <c r="V633" t="s">
        <v>30</v>
      </c>
      <c r="W633" t="s">
        <v>525</v>
      </c>
      <c r="X633" t="s">
        <v>524</v>
      </c>
    </row>
    <row r="634" spans="1:24" x14ac:dyDescent="0.25">
      <c r="A634">
        <v>2025</v>
      </c>
      <c r="B634" t="s">
        <v>290</v>
      </c>
      <c r="C634" t="s">
        <v>290</v>
      </c>
      <c r="D634" t="s">
        <v>743</v>
      </c>
      <c r="E634">
        <v>4</v>
      </c>
      <c r="F634">
        <v>8</v>
      </c>
      <c r="G634" t="s">
        <v>735</v>
      </c>
      <c r="H634">
        <v>9</v>
      </c>
      <c r="I634" t="s">
        <v>28</v>
      </c>
      <c r="J634">
        <v>15</v>
      </c>
      <c r="K634">
        <v>20</v>
      </c>
      <c r="L634">
        <v>17</v>
      </c>
      <c r="M634" t="s">
        <v>29</v>
      </c>
      <c r="N634">
        <v>3750</v>
      </c>
      <c r="O634">
        <v>3</v>
      </c>
      <c r="P634">
        <v>3</v>
      </c>
      <c r="Q634">
        <v>602</v>
      </c>
      <c r="R634">
        <v>435</v>
      </c>
      <c r="S634">
        <v>527</v>
      </c>
      <c r="U634">
        <v>9250</v>
      </c>
      <c r="V634" t="s">
        <v>30</v>
      </c>
      <c r="W634" t="s">
        <v>528</v>
      </c>
      <c r="X634" t="s">
        <v>524</v>
      </c>
    </row>
    <row r="635" spans="1:24" x14ac:dyDescent="0.25">
      <c r="A635">
        <v>2025</v>
      </c>
      <c r="B635" t="s">
        <v>290</v>
      </c>
      <c r="C635" t="s">
        <v>290</v>
      </c>
      <c r="D635" t="s">
        <v>742</v>
      </c>
      <c r="E635">
        <v>3</v>
      </c>
      <c r="F635">
        <v>6</v>
      </c>
      <c r="G635" t="s">
        <v>735</v>
      </c>
      <c r="H635">
        <v>9</v>
      </c>
      <c r="I635" t="s">
        <v>28</v>
      </c>
      <c r="J635">
        <v>19</v>
      </c>
      <c r="K635">
        <v>24</v>
      </c>
      <c r="L635">
        <v>21</v>
      </c>
      <c r="M635" t="s">
        <v>29</v>
      </c>
      <c r="N635">
        <v>3050</v>
      </c>
      <c r="O635">
        <v>4</v>
      </c>
      <c r="P635">
        <v>4</v>
      </c>
      <c r="Q635">
        <v>481</v>
      </c>
      <c r="R635">
        <v>364</v>
      </c>
      <c r="S635">
        <v>428</v>
      </c>
      <c r="U635">
        <v>5750</v>
      </c>
      <c r="V635" t="s">
        <v>30</v>
      </c>
      <c r="W635" t="s">
        <v>525</v>
      </c>
      <c r="X635" t="s">
        <v>524</v>
      </c>
    </row>
    <row r="636" spans="1:24" x14ac:dyDescent="0.25">
      <c r="A636">
        <v>2025</v>
      </c>
      <c r="B636" t="s">
        <v>290</v>
      </c>
      <c r="C636" t="s">
        <v>290</v>
      </c>
      <c r="D636" t="s">
        <v>741</v>
      </c>
      <c r="E636">
        <v>4</v>
      </c>
      <c r="F636">
        <v>8</v>
      </c>
      <c r="G636" t="s">
        <v>735</v>
      </c>
      <c r="H636">
        <v>9</v>
      </c>
      <c r="I636" t="s">
        <v>28</v>
      </c>
      <c r="J636">
        <v>14</v>
      </c>
      <c r="K636">
        <v>19</v>
      </c>
      <c r="L636">
        <v>16</v>
      </c>
      <c r="M636" t="s">
        <v>29</v>
      </c>
      <c r="N636">
        <v>4000</v>
      </c>
      <c r="O636">
        <v>3</v>
      </c>
      <c r="P636">
        <v>3</v>
      </c>
      <c r="Q636">
        <v>625</v>
      </c>
      <c r="R636">
        <v>454</v>
      </c>
      <c r="S636">
        <v>548</v>
      </c>
      <c r="U636">
        <v>10500</v>
      </c>
      <c r="V636" t="s">
        <v>30</v>
      </c>
      <c r="W636" t="s">
        <v>528</v>
      </c>
      <c r="X636" t="s">
        <v>524</v>
      </c>
    </row>
    <row r="637" spans="1:24" x14ac:dyDescent="0.25">
      <c r="A637">
        <v>2025</v>
      </c>
      <c r="B637" t="s">
        <v>290</v>
      </c>
      <c r="C637" t="s">
        <v>290</v>
      </c>
      <c r="D637" t="s">
        <v>740</v>
      </c>
      <c r="E637">
        <v>4</v>
      </c>
      <c r="F637">
        <v>8</v>
      </c>
      <c r="G637" t="s">
        <v>735</v>
      </c>
      <c r="H637">
        <v>9</v>
      </c>
      <c r="I637" t="s">
        <v>28</v>
      </c>
      <c r="J637">
        <v>13</v>
      </c>
      <c r="K637">
        <v>18</v>
      </c>
      <c r="L637">
        <v>15</v>
      </c>
      <c r="M637" t="s">
        <v>29</v>
      </c>
      <c r="N637">
        <v>4250</v>
      </c>
      <c r="O637">
        <v>2</v>
      </c>
      <c r="P637">
        <v>2</v>
      </c>
      <c r="Q637">
        <v>672</v>
      </c>
      <c r="R637">
        <v>485</v>
      </c>
      <c r="S637">
        <v>588</v>
      </c>
      <c r="U637">
        <v>11750</v>
      </c>
      <c r="V637" t="s">
        <v>30</v>
      </c>
      <c r="W637" t="s">
        <v>528</v>
      </c>
      <c r="X637" t="s">
        <v>524</v>
      </c>
    </row>
    <row r="638" spans="1:24" x14ac:dyDescent="0.25">
      <c r="A638">
        <v>2025</v>
      </c>
      <c r="B638" t="s">
        <v>290</v>
      </c>
      <c r="C638" t="s">
        <v>290</v>
      </c>
      <c r="D638" t="s">
        <v>739</v>
      </c>
      <c r="E638">
        <v>3</v>
      </c>
      <c r="F638">
        <v>6</v>
      </c>
      <c r="G638" t="s">
        <v>735</v>
      </c>
      <c r="H638">
        <v>9</v>
      </c>
      <c r="I638" t="s">
        <v>28</v>
      </c>
      <c r="J638">
        <v>21</v>
      </c>
      <c r="K638">
        <v>31</v>
      </c>
      <c r="L638">
        <v>24</v>
      </c>
      <c r="M638" t="s">
        <v>95</v>
      </c>
      <c r="N638">
        <v>2650</v>
      </c>
      <c r="O638">
        <v>5</v>
      </c>
      <c r="P638">
        <v>5</v>
      </c>
      <c r="Q638">
        <v>425</v>
      </c>
      <c r="R638">
        <v>290</v>
      </c>
      <c r="S638">
        <v>364</v>
      </c>
      <c r="U638">
        <v>3750</v>
      </c>
      <c r="V638" t="s">
        <v>30</v>
      </c>
      <c r="W638" t="s">
        <v>525</v>
      </c>
      <c r="X638" t="s">
        <v>524</v>
      </c>
    </row>
    <row r="639" spans="1:24" x14ac:dyDescent="0.25">
      <c r="A639">
        <v>2025</v>
      </c>
      <c r="B639" t="s">
        <v>290</v>
      </c>
      <c r="C639" t="s">
        <v>290</v>
      </c>
      <c r="D639" t="s">
        <v>738</v>
      </c>
      <c r="E639">
        <v>4</v>
      </c>
      <c r="F639">
        <v>8</v>
      </c>
      <c r="G639" t="s">
        <v>735</v>
      </c>
      <c r="H639">
        <v>9</v>
      </c>
      <c r="I639" t="s">
        <v>28</v>
      </c>
      <c r="J639">
        <v>17</v>
      </c>
      <c r="K639">
        <v>25</v>
      </c>
      <c r="L639">
        <v>20</v>
      </c>
      <c r="M639" t="s">
        <v>95</v>
      </c>
      <c r="N639">
        <v>3200</v>
      </c>
      <c r="O639">
        <v>4</v>
      </c>
      <c r="P639">
        <v>4</v>
      </c>
      <c r="Q639">
        <v>528</v>
      </c>
      <c r="R639">
        <v>350</v>
      </c>
      <c r="S639">
        <v>448</v>
      </c>
      <c r="U639">
        <v>6500</v>
      </c>
      <c r="V639" t="s">
        <v>30</v>
      </c>
      <c r="W639" t="s">
        <v>528</v>
      </c>
      <c r="X639" t="s">
        <v>524</v>
      </c>
    </row>
    <row r="640" spans="1:24" x14ac:dyDescent="0.25">
      <c r="A640">
        <v>2025</v>
      </c>
      <c r="B640" t="s">
        <v>290</v>
      </c>
      <c r="C640" t="s">
        <v>290</v>
      </c>
      <c r="D640" t="s">
        <v>737</v>
      </c>
      <c r="E640">
        <v>4</v>
      </c>
      <c r="F640">
        <v>8</v>
      </c>
      <c r="G640" t="s">
        <v>735</v>
      </c>
      <c r="H640">
        <v>9</v>
      </c>
      <c r="I640" t="s">
        <v>28</v>
      </c>
      <c r="J640">
        <v>16</v>
      </c>
      <c r="K640">
        <v>27</v>
      </c>
      <c r="L640">
        <v>20</v>
      </c>
      <c r="M640" t="s">
        <v>95</v>
      </c>
      <c r="N640">
        <v>3200</v>
      </c>
      <c r="O640">
        <v>4</v>
      </c>
      <c r="P640">
        <v>4</v>
      </c>
      <c r="Q640">
        <v>549</v>
      </c>
      <c r="R640">
        <v>330</v>
      </c>
      <c r="S640">
        <v>451</v>
      </c>
      <c r="U640">
        <v>6500</v>
      </c>
      <c r="V640" t="s">
        <v>30</v>
      </c>
      <c r="W640" t="s">
        <v>528</v>
      </c>
      <c r="X640" t="s">
        <v>524</v>
      </c>
    </row>
    <row r="641" spans="1:24" x14ac:dyDescent="0.25">
      <c r="A641">
        <v>2025</v>
      </c>
      <c r="B641" t="s">
        <v>290</v>
      </c>
      <c r="C641" t="s">
        <v>290</v>
      </c>
      <c r="D641" t="s">
        <v>736</v>
      </c>
      <c r="E641">
        <v>6</v>
      </c>
      <c r="F641">
        <v>12</v>
      </c>
      <c r="G641" t="s">
        <v>735</v>
      </c>
      <c r="H641">
        <v>9</v>
      </c>
      <c r="I641" t="s">
        <v>28</v>
      </c>
      <c r="J641">
        <v>12</v>
      </c>
      <c r="K641">
        <v>20</v>
      </c>
      <c r="L641">
        <v>15</v>
      </c>
      <c r="M641" t="s">
        <v>95</v>
      </c>
      <c r="N641">
        <v>4250</v>
      </c>
      <c r="O641">
        <v>2</v>
      </c>
      <c r="P641">
        <v>2</v>
      </c>
      <c r="Q641">
        <v>741</v>
      </c>
      <c r="R641">
        <v>435</v>
      </c>
      <c r="S641">
        <v>603</v>
      </c>
      <c r="U641">
        <v>11750</v>
      </c>
      <c r="V641" t="s">
        <v>633</v>
      </c>
      <c r="W641" t="s">
        <v>528</v>
      </c>
      <c r="X641" t="s">
        <v>524</v>
      </c>
    </row>
    <row r="642" spans="1:24" x14ac:dyDescent="0.25">
      <c r="A642">
        <v>2025</v>
      </c>
      <c r="B642" t="s">
        <v>63</v>
      </c>
      <c r="C642" t="s">
        <v>320</v>
      </c>
      <c r="D642" t="s">
        <v>734</v>
      </c>
      <c r="E642">
        <v>2</v>
      </c>
      <c r="F642">
        <v>4</v>
      </c>
      <c r="G642" t="s">
        <v>543</v>
      </c>
      <c r="H642">
        <v>7</v>
      </c>
      <c r="I642" t="s">
        <v>128</v>
      </c>
      <c r="J642">
        <v>27</v>
      </c>
      <c r="K642">
        <v>37</v>
      </c>
      <c r="L642">
        <v>30</v>
      </c>
      <c r="M642" t="s">
        <v>155</v>
      </c>
      <c r="N642">
        <v>2100</v>
      </c>
      <c r="O642">
        <v>6</v>
      </c>
      <c r="P642">
        <v>6</v>
      </c>
      <c r="Q642">
        <v>327</v>
      </c>
      <c r="R642">
        <v>238</v>
      </c>
      <c r="S642">
        <v>287</v>
      </c>
      <c r="U642">
        <v>1000</v>
      </c>
      <c r="V642" t="s">
        <v>30</v>
      </c>
      <c r="W642" t="s">
        <v>528</v>
      </c>
      <c r="X642" t="s">
        <v>524</v>
      </c>
    </row>
    <row r="643" spans="1:24" x14ac:dyDescent="0.25">
      <c r="A643">
        <v>2025</v>
      </c>
      <c r="B643" t="s">
        <v>63</v>
      </c>
      <c r="C643" t="s">
        <v>320</v>
      </c>
      <c r="D643" t="s">
        <v>733</v>
      </c>
      <c r="E643">
        <v>2</v>
      </c>
      <c r="F643">
        <v>4</v>
      </c>
      <c r="G643" t="s">
        <v>543</v>
      </c>
      <c r="H643">
        <v>7</v>
      </c>
      <c r="I643" t="s">
        <v>128</v>
      </c>
      <c r="J643">
        <v>28</v>
      </c>
      <c r="K643">
        <v>39</v>
      </c>
      <c r="L643">
        <v>32</v>
      </c>
      <c r="M643" t="s">
        <v>36</v>
      </c>
      <c r="N643">
        <v>2000</v>
      </c>
      <c r="O643">
        <v>6</v>
      </c>
      <c r="P643">
        <v>6</v>
      </c>
      <c r="Q643">
        <v>316</v>
      </c>
      <c r="R643">
        <v>224</v>
      </c>
      <c r="S643">
        <v>274</v>
      </c>
      <c r="U643">
        <v>500</v>
      </c>
      <c r="V643" t="s">
        <v>30</v>
      </c>
      <c r="W643" t="s">
        <v>528</v>
      </c>
      <c r="X643" t="s">
        <v>524</v>
      </c>
    </row>
    <row r="644" spans="1:24" x14ac:dyDescent="0.25">
      <c r="A644">
        <v>2025</v>
      </c>
      <c r="B644" t="s">
        <v>63</v>
      </c>
      <c r="C644" t="s">
        <v>320</v>
      </c>
      <c r="D644" t="s">
        <v>732</v>
      </c>
      <c r="E644">
        <v>2</v>
      </c>
      <c r="F644">
        <v>4</v>
      </c>
      <c r="G644" t="s">
        <v>543</v>
      </c>
      <c r="H644">
        <v>7</v>
      </c>
      <c r="I644" t="s">
        <v>128</v>
      </c>
      <c r="J644">
        <v>28</v>
      </c>
      <c r="K644">
        <v>39</v>
      </c>
      <c r="L644">
        <v>32</v>
      </c>
      <c r="M644" t="s">
        <v>75</v>
      </c>
      <c r="N644">
        <v>2000</v>
      </c>
      <c r="O644">
        <v>6</v>
      </c>
      <c r="P644">
        <v>6</v>
      </c>
      <c r="Q644">
        <v>318</v>
      </c>
      <c r="R644">
        <v>225</v>
      </c>
      <c r="S644">
        <v>276</v>
      </c>
      <c r="U644">
        <v>500</v>
      </c>
      <c r="V644" t="s">
        <v>30</v>
      </c>
      <c r="W644" t="s">
        <v>528</v>
      </c>
      <c r="X644" t="s">
        <v>524</v>
      </c>
    </row>
    <row r="645" spans="1:24" x14ac:dyDescent="0.25">
      <c r="A645">
        <v>2025</v>
      </c>
      <c r="B645" t="s">
        <v>63</v>
      </c>
      <c r="C645" t="s">
        <v>320</v>
      </c>
      <c r="D645" t="s">
        <v>731</v>
      </c>
      <c r="E645">
        <v>2</v>
      </c>
      <c r="F645">
        <v>4</v>
      </c>
      <c r="G645" t="s">
        <v>543</v>
      </c>
      <c r="H645">
        <v>7</v>
      </c>
      <c r="I645" t="s">
        <v>128</v>
      </c>
      <c r="J645">
        <v>26</v>
      </c>
      <c r="K645">
        <v>36</v>
      </c>
      <c r="L645">
        <v>30</v>
      </c>
      <c r="M645" t="s">
        <v>155</v>
      </c>
      <c r="N645">
        <v>2100</v>
      </c>
      <c r="O645">
        <v>6</v>
      </c>
      <c r="P645">
        <v>6</v>
      </c>
      <c r="Q645">
        <v>330</v>
      </c>
      <c r="R645">
        <v>245</v>
      </c>
      <c r="S645">
        <v>292</v>
      </c>
      <c r="U645">
        <v>1000</v>
      </c>
      <c r="V645" t="s">
        <v>30</v>
      </c>
      <c r="W645" t="s">
        <v>528</v>
      </c>
      <c r="X645" t="s">
        <v>524</v>
      </c>
    </row>
    <row r="646" spans="1:24" x14ac:dyDescent="0.25">
      <c r="A646">
        <v>2025</v>
      </c>
      <c r="B646" t="s">
        <v>63</v>
      </c>
      <c r="C646" t="s">
        <v>320</v>
      </c>
      <c r="D646" t="s">
        <v>730</v>
      </c>
      <c r="E646">
        <v>2</v>
      </c>
      <c r="F646">
        <v>4</v>
      </c>
      <c r="G646" t="s">
        <v>543</v>
      </c>
      <c r="H646">
        <v>7</v>
      </c>
      <c r="I646" t="s">
        <v>128</v>
      </c>
      <c r="J646">
        <v>28</v>
      </c>
      <c r="K646">
        <v>39</v>
      </c>
      <c r="L646">
        <v>32</v>
      </c>
      <c r="M646" t="s">
        <v>36</v>
      </c>
      <c r="N646">
        <v>2000</v>
      </c>
      <c r="O646">
        <v>6</v>
      </c>
      <c r="P646">
        <v>6</v>
      </c>
      <c r="Q646">
        <v>316</v>
      </c>
      <c r="R646">
        <v>226</v>
      </c>
      <c r="S646">
        <v>275</v>
      </c>
      <c r="U646">
        <v>500</v>
      </c>
      <c r="V646" t="s">
        <v>30</v>
      </c>
      <c r="W646" t="s">
        <v>528</v>
      </c>
      <c r="X646" t="s">
        <v>524</v>
      </c>
    </row>
    <row r="647" spans="1:24" x14ac:dyDescent="0.25">
      <c r="A647">
        <v>2025</v>
      </c>
      <c r="B647" t="s">
        <v>63</v>
      </c>
      <c r="C647" t="s">
        <v>320</v>
      </c>
      <c r="D647" t="s">
        <v>729</v>
      </c>
      <c r="E647">
        <v>2</v>
      </c>
      <c r="F647">
        <v>4</v>
      </c>
      <c r="G647" t="s">
        <v>543</v>
      </c>
      <c r="H647">
        <v>7</v>
      </c>
      <c r="I647" t="s">
        <v>128</v>
      </c>
      <c r="J647">
        <v>28</v>
      </c>
      <c r="K647">
        <v>39</v>
      </c>
      <c r="L647">
        <v>32</v>
      </c>
      <c r="M647" t="s">
        <v>75</v>
      </c>
      <c r="N647">
        <v>2000</v>
      </c>
      <c r="O647">
        <v>6</v>
      </c>
      <c r="P647">
        <v>6</v>
      </c>
      <c r="Q647">
        <v>311</v>
      </c>
      <c r="R647">
        <v>226</v>
      </c>
      <c r="S647">
        <v>273</v>
      </c>
      <c r="U647">
        <v>500</v>
      </c>
      <c r="V647" t="s">
        <v>30</v>
      </c>
      <c r="W647" t="s">
        <v>528</v>
      </c>
      <c r="X647" t="s">
        <v>524</v>
      </c>
    </row>
    <row r="648" spans="1:24" x14ac:dyDescent="0.25">
      <c r="A648">
        <v>2025</v>
      </c>
      <c r="B648" t="s">
        <v>63</v>
      </c>
      <c r="C648" t="s">
        <v>320</v>
      </c>
      <c r="D648" t="s">
        <v>728</v>
      </c>
      <c r="E648">
        <v>2</v>
      </c>
      <c r="F648">
        <v>4</v>
      </c>
      <c r="G648" t="s">
        <v>543</v>
      </c>
      <c r="H648">
        <v>7</v>
      </c>
      <c r="I648" t="s">
        <v>28</v>
      </c>
      <c r="J648">
        <v>24</v>
      </c>
      <c r="K648">
        <v>32</v>
      </c>
      <c r="L648">
        <v>27</v>
      </c>
      <c r="M648" t="s">
        <v>118</v>
      </c>
      <c r="N648">
        <v>2350</v>
      </c>
      <c r="O648">
        <v>5</v>
      </c>
      <c r="P648">
        <v>5</v>
      </c>
      <c r="Q648">
        <v>365</v>
      </c>
      <c r="R648">
        <v>271</v>
      </c>
      <c r="S648">
        <v>323</v>
      </c>
      <c r="U648">
        <v>2250</v>
      </c>
      <c r="V648" t="s">
        <v>30</v>
      </c>
      <c r="W648" t="s">
        <v>528</v>
      </c>
      <c r="X648" t="s">
        <v>524</v>
      </c>
    </row>
    <row r="649" spans="1:24" x14ac:dyDescent="0.25">
      <c r="A649">
        <v>2025</v>
      </c>
      <c r="B649" t="s">
        <v>63</v>
      </c>
      <c r="C649" t="s">
        <v>320</v>
      </c>
      <c r="D649" t="s">
        <v>727</v>
      </c>
      <c r="E649">
        <v>2</v>
      </c>
      <c r="F649">
        <v>4</v>
      </c>
      <c r="G649" t="s">
        <v>543</v>
      </c>
      <c r="H649">
        <v>7</v>
      </c>
      <c r="I649" t="s">
        <v>128</v>
      </c>
      <c r="J649">
        <v>26</v>
      </c>
      <c r="K649">
        <v>35</v>
      </c>
      <c r="L649">
        <v>30</v>
      </c>
      <c r="M649" t="s">
        <v>155</v>
      </c>
      <c r="N649">
        <v>2100</v>
      </c>
      <c r="O649">
        <v>6</v>
      </c>
      <c r="P649">
        <v>6</v>
      </c>
      <c r="Q649">
        <v>335</v>
      </c>
      <c r="R649">
        <v>247</v>
      </c>
      <c r="S649">
        <v>296</v>
      </c>
      <c r="U649">
        <v>1000</v>
      </c>
      <c r="V649" t="s">
        <v>30</v>
      </c>
      <c r="W649" t="s">
        <v>528</v>
      </c>
      <c r="X649" t="s">
        <v>524</v>
      </c>
    </row>
    <row r="650" spans="1:24" x14ac:dyDescent="0.25">
      <c r="A650">
        <v>2025</v>
      </c>
      <c r="B650" t="s">
        <v>63</v>
      </c>
      <c r="C650" t="s">
        <v>320</v>
      </c>
      <c r="D650" t="s">
        <v>726</v>
      </c>
      <c r="E650">
        <v>2</v>
      </c>
      <c r="F650">
        <v>4</v>
      </c>
      <c r="G650" t="s">
        <v>543</v>
      </c>
      <c r="H650">
        <v>7</v>
      </c>
      <c r="I650" t="s">
        <v>28</v>
      </c>
      <c r="J650">
        <v>23</v>
      </c>
      <c r="K650">
        <v>30</v>
      </c>
      <c r="L650">
        <v>26</v>
      </c>
      <c r="M650" t="s">
        <v>118</v>
      </c>
      <c r="N650">
        <v>2450</v>
      </c>
      <c r="O650">
        <v>5</v>
      </c>
      <c r="P650">
        <v>5</v>
      </c>
      <c r="Q650">
        <v>381</v>
      </c>
      <c r="R650">
        <v>293</v>
      </c>
      <c r="S650">
        <v>341</v>
      </c>
      <c r="U650">
        <v>2750</v>
      </c>
      <c r="V650" t="s">
        <v>30</v>
      </c>
      <c r="W650" t="s">
        <v>528</v>
      </c>
      <c r="X650" t="s">
        <v>524</v>
      </c>
    </row>
    <row r="651" spans="1:24" x14ac:dyDescent="0.25">
      <c r="A651">
        <v>2025</v>
      </c>
      <c r="B651" t="s">
        <v>63</v>
      </c>
      <c r="C651" t="s">
        <v>320</v>
      </c>
      <c r="D651" t="s">
        <v>725</v>
      </c>
      <c r="E651">
        <v>2</v>
      </c>
      <c r="F651">
        <v>4</v>
      </c>
      <c r="G651" t="s">
        <v>543</v>
      </c>
      <c r="H651">
        <v>7</v>
      </c>
      <c r="I651" t="s">
        <v>128</v>
      </c>
      <c r="J651">
        <v>27</v>
      </c>
      <c r="K651">
        <v>37</v>
      </c>
      <c r="L651">
        <v>30</v>
      </c>
      <c r="M651" t="s">
        <v>36</v>
      </c>
      <c r="N651">
        <v>2100</v>
      </c>
      <c r="O651">
        <v>6</v>
      </c>
      <c r="P651">
        <v>6</v>
      </c>
      <c r="Q651">
        <v>328</v>
      </c>
      <c r="R651">
        <v>238</v>
      </c>
      <c r="S651">
        <v>288</v>
      </c>
      <c r="U651">
        <v>1000</v>
      </c>
      <c r="V651" t="s">
        <v>30</v>
      </c>
      <c r="W651" t="s">
        <v>528</v>
      </c>
      <c r="X651" t="s">
        <v>524</v>
      </c>
    </row>
    <row r="652" spans="1:24" x14ac:dyDescent="0.25">
      <c r="A652">
        <v>2025</v>
      </c>
      <c r="B652" t="s">
        <v>323</v>
      </c>
      <c r="C652" t="s">
        <v>723</v>
      </c>
      <c r="D652" t="s">
        <v>724</v>
      </c>
      <c r="E652">
        <v>2.5</v>
      </c>
      <c r="F652">
        <v>4</v>
      </c>
      <c r="G652" t="s">
        <v>618</v>
      </c>
      <c r="H652">
        <v>8</v>
      </c>
      <c r="I652" t="s">
        <v>128</v>
      </c>
      <c r="J652">
        <v>24</v>
      </c>
      <c r="K652">
        <v>31</v>
      </c>
      <c r="L652">
        <v>27</v>
      </c>
      <c r="M652" t="s">
        <v>115</v>
      </c>
      <c r="N652">
        <v>1950</v>
      </c>
      <c r="O652">
        <v>5</v>
      </c>
      <c r="P652">
        <v>5</v>
      </c>
      <c r="Q652">
        <v>370</v>
      </c>
      <c r="R652">
        <v>287</v>
      </c>
      <c r="S652">
        <v>333</v>
      </c>
      <c r="U652">
        <v>250</v>
      </c>
      <c r="V652" t="s">
        <v>30</v>
      </c>
      <c r="W652" t="s">
        <v>558</v>
      </c>
      <c r="X652" t="s">
        <v>565</v>
      </c>
    </row>
    <row r="653" spans="1:24" x14ac:dyDescent="0.25">
      <c r="A653">
        <v>2025</v>
      </c>
      <c r="B653" t="s">
        <v>323</v>
      </c>
      <c r="C653" t="s">
        <v>723</v>
      </c>
      <c r="D653" t="s">
        <v>722</v>
      </c>
      <c r="E653">
        <v>2.5</v>
      </c>
      <c r="F653">
        <v>4</v>
      </c>
      <c r="G653" t="s">
        <v>618</v>
      </c>
      <c r="H653">
        <v>8</v>
      </c>
      <c r="I653" t="s">
        <v>107</v>
      </c>
      <c r="J653">
        <v>24</v>
      </c>
      <c r="K653">
        <v>30</v>
      </c>
      <c r="L653">
        <v>26</v>
      </c>
      <c r="M653" t="s">
        <v>118</v>
      </c>
      <c r="N653">
        <v>2000</v>
      </c>
      <c r="O653">
        <v>5</v>
      </c>
      <c r="P653">
        <v>5</v>
      </c>
      <c r="Q653">
        <v>366</v>
      </c>
      <c r="R653">
        <v>292</v>
      </c>
      <c r="S653">
        <v>342</v>
      </c>
      <c r="U653">
        <v>500</v>
      </c>
      <c r="V653" t="s">
        <v>30</v>
      </c>
      <c r="W653" t="s">
        <v>558</v>
      </c>
      <c r="X653" t="s">
        <v>565</v>
      </c>
    </row>
    <row r="654" spans="1:24" x14ac:dyDescent="0.25">
      <c r="A654">
        <v>2025</v>
      </c>
      <c r="B654" t="s">
        <v>718</v>
      </c>
      <c r="C654" t="s">
        <v>717</v>
      </c>
      <c r="D654" t="s">
        <v>721</v>
      </c>
      <c r="E654">
        <v>1.5</v>
      </c>
      <c r="F654">
        <v>4</v>
      </c>
      <c r="G654" t="s">
        <v>618</v>
      </c>
      <c r="H654">
        <v>8</v>
      </c>
      <c r="I654" t="s">
        <v>128</v>
      </c>
      <c r="J654">
        <v>25</v>
      </c>
      <c r="K654">
        <v>28</v>
      </c>
      <c r="L654">
        <v>26</v>
      </c>
      <c r="M654" t="s">
        <v>115</v>
      </c>
      <c r="N654">
        <v>2000</v>
      </c>
      <c r="O654">
        <v>5</v>
      </c>
      <c r="P654">
        <v>5</v>
      </c>
      <c r="Q654">
        <v>354</v>
      </c>
      <c r="R654">
        <v>311</v>
      </c>
      <c r="S654">
        <v>339</v>
      </c>
      <c r="U654">
        <v>500</v>
      </c>
      <c r="V654" t="s">
        <v>30</v>
      </c>
      <c r="W654" t="s">
        <v>528</v>
      </c>
      <c r="X654" t="s">
        <v>565</v>
      </c>
    </row>
    <row r="655" spans="1:24" x14ac:dyDescent="0.25">
      <c r="A655">
        <v>2025</v>
      </c>
      <c r="B655" t="s">
        <v>718</v>
      </c>
      <c r="C655" t="s">
        <v>717</v>
      </c>
      <c r="D655" t="s">
        <v>720</v>
      </c>
      <c r="E655">
        <v>1.5</v>
      </c>
      <c r="F655">
        <v>4</v>
      </c>
      <c r="G655" t="s">
        <v>618</v>
      </c>
      <c r="H655">
        <v>8</v>
      </c>
      <c r="I655" t="s">
        <v>107</v>
      </c>
      <c r="J655">
        <v>25</v>
      </c>
      <c r="K655">
        <v>26</v>
      </c>
      <c r="L655">
        <v>25</v>
      </c>
      <c r="M655" t="s">
        <v>118</v>
      </c>
      <c r="N655">
        <v>2100</v>
      </c>
      <c r="O655">
        <v>5</v>
      </c>
      <c r="P655">
        <v>5</v>
      </c>
      <c r="Q655">
        <v>354</v>
      </c>
      <c r="R655">
        <v>338</v>
      </c>
      <c r="S655">
        <v>353</v>
      </c>
      <c r="U655">
        <v>1000</v>
      </c>
      <c r="V655" t="s">
        <v>30</v>
      </c>
      <c r="W655" t="s">
        <v>528</v>
      </c>
      <c r="X655" t="s">
        <v>565</v>
      </c>
    </row>
    <row r="656" spans="1:24" x14ac:dyDescent="0.25">
      <c r="A656">
        <v>2025</v>
      </c>
      <c r="B656" t="s">
        <v>718</v>
      </c>
      <c r="C656" t="s">
        <v>717</v>
      </c>
      <c r="D656" t="s">
        <v>719</v>
      </c>
      <c r="E656">
        <v>1.5</v>
      </c>
      <c r="F656">
        <v>4</v>
      </c>
      <c r="G656" t="s">
        <v>618</v>
      </c>
      <c r="H656">
        <v>8</v>
      </c>
      <c r="I656" t="s">
        <v>107</v>
      </c>
      <c r="J656">
        <v>25</v>
      </c>
      <c r="K656">
        <v>28</v>
      </c>
      <c r="L656">
        <v>26</v>
      </c>
      <c r="M656" t="s">
        <v>118</v>
      </c>
      <c r="N656">
        <v>2000</v>
      </c>
      <c r="O656">
        <v>5</v>
      </c>
      <c r="P656">
        <v>5</v>
      </c>
      <c r="Q656">
        <v>354</v>
      </c>
      <c r="R656">
        <v>312</v>
      </c>
      <c r="S656">
        <v>339</v>
      </c>
      <c r="U656">
        <v>500</v>
      </c>
      <c r="V656" t="s">
        <v>30</v>
      </c>
      <c r="W656" t="s">
        <v>528</v>
      </c>
      <c r="X656" t="s">
        <v>565</v>
      </c>
    </row>
    <row r="657" spans="1:24" x14ac:dyDescent="0.25">
      <c r="A657">
        <v>2025</v>
      </c>
      <c r="B657" t="s">
        <v>718</v>
      </c>
      <c r="C657" t="s">
        <v>717</v>
      </c>
      <c r="D657" t="s">
        <v>716</v>
      </c>
      <c r="E657">
        <v>2</v>
      </c>
      <c r="F657">
        <v>4</v>
      </c>
      <c r="G657" t="s">
        <v>559</v>
      </c>
      <c r="H657">
        <v>6</v>
      </c>
      <c r="I657" t="s">
        <v>107</v>
      </c>
      <c r="J657">
        <v>23</v>
      </c>
      <c r="K657">
        <v>29</v>
      </c>
      <c r="L657">
        <v>26</v>
      </c>
      <c r="M657" t="s">
        <v>118</v>
      </c>
      <c r="N657">
        <v>2000</v>
      </c>
      <c r="O657">
        <v>5</v>
      </c>
      <c r="P657">
        <v>5</v>
      </c>
      <c r="Q657">
        <v>377</v>
      </c>
      <c r="R657">
        <v>302</v>
      </c>
      <c r="S657">
        <v>343</v>
      </c>
      <c r="U657">
        <v>500</v>
      </c>
      <c r="V657" t="s">
        <v>30</v>
      </c>
      <c r="W657" t="s">
        <v>558</v>
      </c>
      <c r="X657" t="s">
        <v>565</v>
      </c>
    </row>
    <row r="658" spans="1:24" x14ac:dyDescent="0.25">
      <c r="A658">
        <v>2025</v>
      </c>
      <c r="B658" t="s">
        <v>718</v>
      </c>
      <c r="C658" t="s">
        <v>717</v>
      </c>
      <c r="D658" t="s">
        <v>716</v>
      </c>
      <c r="E658">
        <v>2.4</v>
      </c>
      <c r="F658">
        <v>4</v>
      </c>
      <c r="G658" t="s">
        <v>559</v>
      </c>
      <c r="H658">
        <v>6</v>
      </c>
      <c r="I658" t="s">
        <v>107</v>
      </c>
      <c r="J658">
        <v>23</v>
      </c>
      <c r="K658">
        <v>28</v>
      </c>
      <c r="L658">
        <v>25</v>
      </c>
      <c r="M658" t="s">
        <v>118</v>
      </c>
      <c r="N658">
        <v>2100</v>
      </c>
      <c r="O658">
        <v>5</v>
      </c>
      <c r="P658">
        <v>5</v>
      </c>
      <c r="Q658">
        <v>383</v>
      </c>
      <c r="R658">
        <v>309</v>
      </c>
      <c r="S658">
        <v>350</v>
      </c>
      <c r="U658">
        <v>1000</v>
      </c>
      <c r="V658" t="s">
        <v>30</v>
      </c>
      <c r="W658" t="s">
        <v>558</v>
      </c>
      <c r="X658" t="s">
        <v>565</v>
      </c>
    </row>
    <row r="659" spans="1:24" x14ac:dyDescent="0.25">
      <c r="A659">
        <v>2025</v>
      </c>
      <c r="B659" t="s">
        <v>323</v>
      </c>
      <c r="C659" t="s">
        <v>324</v>
      </c>
      <c r="D659" t="s">
        <v>715</v>
      </c>
      <c r="E659">
        <v>2.5</v>
      </c>
      <c r="F659">
        <v>4</v>
      </c>
      <c r="G659" t="s">
        <v>562</v>
      </c>
      <c r="H659">
        <v>1</v>
      </c>
      <c r="I659" t="s">
        <v>128</v>
      </c>
      <c r="J659">
        <v>27</v>
      </c>
      <c r="K659">
        <v>39</v>
      </c>
      <c r="L659">
        <v>32</v>
      </c>
      <c r="M659" t="s">
        <v>186</v>
      </c>
      <c r="N659">
        <v>1650</v>
      </c>
      <c r="O659">
        <v>6</v>
      </c>
      <c r="P659">
        <v>6</v>
      </c>
      <c r="Q659">
        <v>322</v>
      </c>
      <c r="R659">
        <v>230</v>
      </c>
      <c r="S659">
        <v>281</v>
      </c>
      <c r="T659">
        <v>1250</v>
      </c>
      <c r="V659" t="s">
        <v>30</v>
      </c>
      <c r="W659" t="s">
        <v>558</v>
      </c>
      <c r="X659" t="s">
        <v>565</v>
      </c>
    </row>
    <row r="660" spans="1:24" x14ac:dyDescent="0.25">
      <c r="A660">
        <v>2025</v>
      </c>
      <c r="B660" t="s">
        <v>323</v>
      </c>
      <c r="C660" t="s">
        <v>324</v>
      </c>
      <c r="D660" t="s">
        <v>714</v>
      </c>
      <c r="E660">
        <v>2.5</v>
      </c>
      <c r="F660">
        <v>4</v>
      </c>
      <c r="G660" t="s">
        <v>562</v>
      </c>
      <c r="H660">
        <v>1</v>
      </c>
      <c r="I660" t="s">
        <v>28</v>
      </c>
      <c r="J660">
        <v>25</v>
      </c>
      <c r="K660">
        <v>34</v>
      </c>
      <c r="L660">
        <v>28</v>
      </c>
      <c r="M660" t="s">
        <v>186</v>
      </c>
      <c r="N660">
        <v>1900</v>
      </c>
      <c r="O660">
        <v>6</v>
      </c>
      <c r="P660">
        <v>6</v>
      </c>
      <c r="Q660">
        <v>355</v>
      </c>
      <c r="R660">
        <v>261</v>
      </c>
      <c r="S660">
        <v>317</v>
      </c>
      <c r="T660">
        <v>0</v>
      </c>
      <c r="V660" t="s">
        <v>30</v>
      </c>
      <c r="W660" t="s">
        <v>558</v>
      </c>
      <c r="X660" t="s">
        <v>565</v>
      </c>
    </row>
    <row r="661" spans="1:24" x14ac:dyDescent="0.25">
      <c r="A661">
        <v>2025</v>
      </c>
      <c r="B661" t="s">
        <v>323</v>
      </c>
      <c r="C661" t="s">
        <v>324</v>
      </c>
      <c r="D661" t="s">
        <v>713</v>
      </c>
      <c r="E661">
        <v>2.5</v>
      </c>
      <c r="F661">
        <v>4</v>
      </c>
      <c r="G661" t="s">
        <v>562</v>
      </c>
      <c r="H661">
        <v>1</v>
      </c>
      <c r="I661" t="s">
        <v>128</v>
      </c>
      <c r="J661">
        <v>27</v>
      </c>
      <c r="K661">
        <v>37</v>
      </c>
      <c r="L661">
        <v>31</v>
      </c>
      <c r="M661" t="s">
        <v>186</v>
      </c>
      <c r="N661">
        <v>1700</v>
      </c>
      <c r="O661">
        <v>6</v>
      </c>
      <c r="P661">
        <v>6</v>
      </c>
      <c r="Q661">
        <v>328</v>
      </c>
      <c r="R661">
        <v>238</v>
      </c>
      <c r="S661">
        <v>287</v>
      </c>
      <c r="T661">
        <v>1000</v>
      </c>
      <c r="V661" t="s">
        <v>30</v>
      </c>
      <c r="W661" t="s">
        <v>558</v>
      </c>
      <c r="X661" t="s">
        <v>565</v>
      </c>
    </row>
    <row r="662" spans="1:24" x14ac:dyDescent="0.25">
      <c r="A662">
        <v>2025</v>
      </c>
      <c r="B662" t="s">
        <v>323</v>
      </c>
      <c r="C662" t="s">
        <v>324</v>
      </c>
      <c r="D662" t="s">
        <v>712</v>
      </c>
      <c r="E662">
        <v>3.5</v>
      </c>
      <c r="F662">
        <v>6</v>
      </c>
      <c r="G662" t="s">
        <v>686</v>
      </c>
      <c r="H662">
        <v>9</v>
      </c>
      <c r="I662" t="s">
        <v>46</v>
      </c>
      <c r="J662">
        <v>16</v>
      </c>
      <c r="K662">
        <v>20</v>
      </c>
      <c r="L662">
        <v>18</v>
      </c>
      <c r="M662" t="s">
        <v>47</v>
      </c>
      <c r="N662">
        <v>3550</v>
      </c>
      <c r="O662">
        <v>4</v>
      </c>
      <c r="P662">
        <v>4</v>
      </c>
      <c r="Q662">
        <v>540</v>
      </c>
      <c r="R662">
        <v>444</v>
      </c>
      <c r="S662">
        <v>497</v>
      </c>
      <c r="U662">
        <v>8250</v>
      </c>
      <c r="V662" t="s">
        <v>30</v>
      </c>
      <c r="W662" t="s">
        <v>528</v>
      </c>
      <c r="X662" t="s">
        <v>524</v>
      </c>
    </row>
    <row r="663" spans="1:24" x14ac:dyDescent="0.25">
      <c r="A663">
        <v>2025</v>
      </c>
      <c r="B663" t="s">
        <v>323</v>
      </c>
      <c r="C663" t="s">
        <v>324</v>
      </c>
      <c r="D663" t="s">
        <v>711</v>
      </c>
      <c r="E663">
        <v>3.5</v>
      </c>
      <c r="F663">
        <v>6</v>
      </c>
      <c r="G663" t="s">
        <v>686</v>
      </c>
      <c r="H663">
        <v>9</v>
      </c>
      <c r="I663" t="s">
        <v>107</v>
      </c>
      <c r="J663">
        <v>16</v>
      </c>
      <c r="K663">
        <v>19</v>
      </c>
      <c r="L663">
        <v>17</v>
      </c>
      <c r="M663" t="s">
        <v>29</v>
      </c>
      <c r="N663">
        <v>3750</v>
      </c>
      <c r="O663">
        <v>3</v>
      </c>
      <c r="P663">
        <v>3</v>
      </c>
      <c r="Q663">
        <v>557</v>
      </c>
      <c r="R663">
        <v>469</v>
      </c>
      <c r="S663">
        <v>524</v>
      </c>
      <c r="U663">
        <v>9250</v>
      </c>
      <c r="V663" t="s">
        <v>30</v>
      </c>
      <c r="W663" t="s">
        <v>528</v>
      </c>
      <c r="X663" t="s">
        <v>524</v>
      </c>
    </row>
    <row r="664" spans="1:24" x14ac:dyDescent="0.25">
      <c r="A664">
        <v>2025</v>
      </c>
      <c r="B664" t="s">
        <v>323</v>
      </c>
      <c r="C664" t="s">
        <v>324</v>
      </c>
      <c r="D664" t="s">
        <v>710</v>
      </c>
      <c r="E664">
        <v>3.5</v>
      </c>
      <c r="F664">
        <v>6</v>
      </c>
      <c r="G664" t="s">
        <v>686</v>
      </c>
      <c r="H664">
        <v>9</v>
      </c>
      <c r="I664" t="s">
        <v>107</v>
      </c>
      <c r="J664">
        <v>15</v>
      </c>
      <c r="K664">
        <v>18</v>
      </c>
      <c r="L664">
        <v>16</v>
      </c>
      <c r="M664" t="s">
        <v>29</v>
      </c>
      <c r="N664">
        <v>4000</v>
      </c>
      <c r="O664">
        <v>3</v>
      </c>
      <c r="P664">
        <v>3</v>
      </c>
      <c r="Q664">
        <v>594</v>
      </c>
      <c r="R664">
        <v>488</v>
      </c>
      <c r="S664">
        <v>556</v>
      </c>
      <c r="U664">
        <v>10500</v>
      </c>
      <c r="V664" t="s">
        <v>30</v>
      </c>
      <c r="W664" t="s">
        <v>528</v>
      </c>
      <c r="X664" t="s">
        <v>524</v>
      </c>
    </row>
    <row r="665" spans="1:24" x14ac:dyDescent="0.25">
      <c r="A665">
        <v>2025</v>
      </c>
      <c r="B665" t="s">
        <v>323</v>
      </c>
      <c r="C665" t="s">
        <v>324</v>
      </c>
      <c r="D665" t="s">
        <v>709</v>
      </c>
      <c r="E665">
        <v>3.8</v>
      </c>
      <c r="F665">
        <v>6</v>
      </c>
      <c r="G665" t="s">
        <v>686</v>
      </c>
      <c r="H665">
        <v>9</v>
      </c>
      <c r="I665" t="s">
        <v>46</v>
      </c>
      <c r="J665">
        <v>19</v>
      </c>
      <c r="K665">
        <v>24</v>
      </c>
      <c r="L665">
        <v>21</v>
      </c>
      <c r="M665" t="s">
        <v>463</v>
      </c>
      <c r="N665">
        <v>2500</v>
      </c>
      <c r="O665">
        <v>4</v>
      </c>
      <c r="P665">
        <v>4</v>
      </c>
      <c r="Q665">
        <v>481</v>
      </c>
      <c r="R665">
        <v>372</v>
      </c>
      <c r="S665">
        <v>432</v>
      </c>
      <c r="U665">
        <v>3000</v>
      </c>
      <c r="V665" t="s">
        <v>30</v>
      </c>
      <c r="W665" t="s">
        <v>558</v>
      </c>
      <c r="X665" t="s">
        <v>524</v>
      </c>
    </row>
    <row r="666" spans="1:24" x14ac:dyDescent="0.25">
      <c r="A666">
        <v>2025</v>
      </c>
      <c r="B666" t="s">
        <v>323</v>
      </c>
      <c r="C666" t="s">
        <v>324</v>
      </c>
      <c r="D666" t="s">
        <v>708</v>
      </c>
      <c r="E666">
        <v>3.8</v>
      </c>
      <c r="F666">
        <v>6</v>
      </c>
      <c r="G666" t="s">
        <v>686</v>
      </c>
      <c r="H666">
        <v>9</v>
      </c>
      <c r="I666" t="s">
        <v>400</v>
      </c>
      <c r="J666">
        <v>17</v>
      </c>
      <c r="K666">
        <v>21</v>
      </c>
      <c r="L666">
        <v>19</v>
      </c>
      <c r="M666" t="s">
        <v>135</v>
      </c>
      <c r="N666">
        <v>2750</v>
      </c>
      <c r="O666">
        <v>4</v>
      </c>
      <c r="P666">
        <v>4</v>
      </c>
      <c r="Q666">
        <v>525</v>
      </c>
      <c r="R666">
        <v>425</v>
      </c>
      <c r="S666">
        <v>470</v>
      </c>
      <c r="U666">
        <v>4250</v>
      </c>
      <c r="V666" t="s">
        <v>30</v>
      </c>
      <c r="W666" t="s">
        <v>558</v>
      </c>
      <c r="X666" t="s">
        <v>524</v>
      </c>
    </row>
    <row r="667" spans="1:24" x14ac:dyDescent="0.25">
      <c r="A667">
        <v>2025</v>
      </c>
      <c r="B667" t="s">
        <v>323</v>
      </c>
      <c r="C667" t="s">
        <v>324</v>
      </c>
      <c r="D667" t="s">
        <v>707</v>
      </c>
      <c r="E667">
        <v>3.8</v>
      </c>
      <c r="F667">
        <v>6</v>
      </c>
      <c r="G667" t="s">
        <v>686</v>
      </c>
      <c r="H667">
        <v>9</v>
      </c>
      <c r="I667" t="s">
        <v>400</v>
      </c>
      <c r="J667">
        <v>16</v>
      </c>
      <c r="K667">
        <v>20</v>
      </c>
      <c r="L667">
        <v>18</v>
      </c>
      <c r="M667" t="s">
        <v>135</v>
      </c>
      <c r="N667">
        <v>2900</v>
      </c>
      <c r="O667">
        <v>4</v>
      </c>
      <c r="P667">
        <v>4</v>
      </c>
      <c r="Q667">
        <v>556</v>
      </c>
      <c r="R667">
        <v>446</v>
      </c>
      <c r="S667">
        <v>495</v>
      </c>
      <c r="U667">
        <v>5000</v>
      </c>
      <c r="V667" t="s">
        <v>30</v>
      </c>
      <c r="W667" t="s">
        <v>558</v>
      </c>
      <c r="X667" t="s">
        <v>524</v>
      </c>
    </row>
    <row r="668" spans="1:24" x14ac:dyDescent="0.25">
      <c r="A668">
        <v>2025</v>
      </c>
      <c r="B668" t="s">
        <v>323</v>
      </c>
      <c r="C668" t="s">
        <v>324</v>
      </c>
      <c r="D668" t="s">
        <v>706</v>
      </c>
      <c r="E668">
        <v>2</v>
      </c>
      <c r="F668">
        <v>4</v>
      </c>
      <c r="G668" t="s">
        <v>562</v>
      </c>
      <c r="H668">
        <v>1</v>
      </c>
      <c r="I668" t="s">
        <v>128</v>
      </c>
      <c r="J668">
        <v>28</v>
      </c>
      <c r="K668">
        <v>35</v>
      </c>
      <c r="L668">
        <v>31</v>
      </c>
      <c r="M668" t="s">
        <v>115</v>
      </c>
      <c r="N668">
        <v>1700</v>
      </c>
      <c r="O668">
        <v>6</v>
      </c>
      <c r="P668">
        <v>6</v>
      </c>
      <c r="Q668">
        <v>318</v>
      </c>
      <c r="R668">
        <v>253</v>
      </c>
      <c r="S668">
        <v>287</v>
      </c>
      <c r="T668">
        <v>1000</v>
      </c>
      <c r="V668" t="s">
        <v>30</v>
      </c>
      <c r="W668" t="s">
        <v>558</v>
      </c>
      <c r="X668" t="s">
        <v>524</v>
      </c>
    </row>
    <row r="669" spans="1:24" x14ac:dyDescent="0.25">
      <c r="A669">
        <v>2025</v>
      </c>
      <c r="B669" t="s">
        <v>323</v>
      </c>
      <c r="C669" t="s">
        <v>324</v>
      </c>
      <c r="D669" t="s">
        <v>705</v>
      </c>
      <c r="E669">
        <v>2</v>
      </c>
      <c r="F669">
        <v>4</v>
      </c>
      <c r="G669" t="s">
        <v>562</v>
      </c>
      <c r="H669">
        <v>1</v>
      </c>
      <c r="I669" t="s">
        <v>28</v>
      </c>
      <c r="J669">
        <v>27</v>
      </c>
      <c r="K669">
        <v>34</v>
      </c>
      <c r="L669">
        <v>30</v>
      </c>
      <c r="M669" t="s">
        <v>118</v>
      </c>
      <c r="N669">
        <v>1750</v>
      </c>
      <c r="O669">
        <v>6</v>
      </c>
      <c r="P669">
        <v>6</v>
      </c>
      <c r="Q669">
        <v>330</v>
      </c>
      <c r="R669">
        <v>261</v>
      </c>
      <c r="S669">
        <v>299</v>
      </c>
      <c r="T669">
        <v>750</v>
      </c>
      <c r="V669" t="s">
        <v>30</v>
      </c>
      <c r="W669" t="s">
        <v>558</v>
      </c>
      <c r="X669" t="s">
        <v>565</v>
      </c>
    </row>
    <row r="670" spans="1:24" x14ac:dyDescent="0.25">
      <c r="A670">
        <v>2025</v>
      </c>
      <c r="B670" t="s">
        <v>323</v>
      </c>
      <c r="C670" t="s">
        <v>324</v>
      </c>
      <c r="D670" t="s">
        <v>704</v>
      </c>
      <c r="E670">
        <v>1.6</v>
      </c>
      <c r="F670">
        <v>4</v>
      </c>
      <c r="G670" t="s">
        <v>562</v>
      </c>
      <c r="H670">
        <v>1</v>
      </c>
      <c r="I670" t="s">
        <v>128</v>
      </c>
      <c r="J670">
        <v>31</v>
      </c>
      <c r="K670">
        <v>36</v>
      </c>
      <c r="L670">
        <v>33</v>
      </c>
      <c r="M670" t="s">
        <v>186</v>
      </c>
      <c r="N670">
        <v>1600</v>
      </c>
      <c r="O670">
        <v>6</v>
      </c>
      <c r="P670">
        <v>6</v>
      </c>
      <c r="Q670">
        <v>287</v>
      </c>
      <c r="R670">
        <v>246</v>
      </c>
      <c r="S670">
        <v>268</v>
      </c>
      <c r="T670">
        <v>1500</v>
      </c>
      <c r="V670" t="s">
        <v>30</v>
      </c>
      <c r="W670" t="s">
        <v>558</v>
      </c>
      <c r="X670" t="s">
        <v>565</v>
      </c>
    </row>
    <row r="671" spans="1:24" x14ac:dyDescent="0.25">
      <c r="A671">
        <v>2025</v>
      </c>
      <c r="B671" t="s">
        <v>323</v>
      </c>
      <c r="C671" t="s">
        <v>324</v>
      </c>
      <c r="D671" t="s">
        <v>703</v>
      </c>
      <c r="E671">
        <v>2</v>
      </c>
      <c r="F671">
        <v>4</v>
      </c>
      <c r="G671" t="s">
        <v>686</v>
      </c>
      <c r="H671">
        <v>9</v>
      </c>
      <c r="I671" t="s">
        <v>28</v>
      </c>
      <c r="J671">
        <v>21</v>
      </c>
      <c r="K671">
        <v>27</v>
      </c>
      <c r="L671">
        <v>23</v>
      </c>
      <c r="M671" t="s">
        <v>118</v>
      </c>
      <c r="N671">
        <v>2300</v>
      </c>
      <c r="O671">
        <v>5</v>
      </c>
      <c r="P671">
        <v>5</v>
      </c>
      <c r="Q671">
        <v>424</v>
      </c>
      <c r="R671">
        <v>326</v>
      </c>
      <c r="S671">
        <v>387</v>
      </c>
      <c r="U671">
        <v>2000</v>
      </c>
      <c r="V671" t="s">
        <v>30</v>
      </c>
      <c r="W671" t="s">
        <v>528</v>
      </c>
      <c r="X671" t="s">
        <v>524</v>
      </c>
    </row>
    <row r="672" spans="1:24" x14ac:dyDescent="0.25">
      <c r="A672">
        <v>2025</v>
      </c>
      <c r="B672" t="s">
        <v>323</v>
      </c>
      <c r="C672" t="s">
        <v>324</v>
      </c>
      <c r="D672" t="s">
        <v>702</v>
      </c>
      <c r="E672">
        <v>2</v>
      </c>
      <c r="F672">
        <v>4</v>
      </c>
      <c r="G672" t="s">
        <v>686</v>
      </c>
      <c r="H672">
        <v>9</v>
      </c>
      <c r="I672" t="s">
        <v>128</v>
      </c>
      <c r="J672">
        <v>21</v>
      </c>
      <c r="K672">
        <v>27</v>
      </c>
      <c r="L672">
        <v>23</v>
      </c>
      <c r="M672" t="s">
        <v>115</v>
      </c>
      <c r="N672">
        <v>2300</v>
      </c>
      <c r="O672">
        <v>5</v>
      </c>
      <c r="P672">
        <v>5</v>
      </c>
      <c r="Q672">
        <v>424</v>
      </c>
      <c r="R672">
        <v>330</v>
      </c>
      <c r="S672">
        <v>387</v>
      </c>
      <c r="U672">
        <v>2000</v>
      </c>
      <c r="V672" t="s">
        <v>30</v>
      </c>
      <c r="W672" t="s">
        <v>528</v>
      </c>
      <c r="X672" t="s">
        <v>524</v>
      </c>
    </row>
    <row r="673" spans="1:24" x14ac:dyDescent="0.25">
      <c r="A673">
        <v>2025</v>
      </c>
      <c r="B673" t="s">
        <v>323</v>
      </c>
      <c r="C673" t="s">
        <v>324</v>
      </c>
      <c r="D673" t="s">
        <v>701</v>
      </c>
      <c r="E673">
        <v>3.5</v>
      </c>
      <c r="F673">
        <v>6</v>
      </c>
      <c r="G673" t="s">
        <v>686</v>
      </c>
      <c r="H673">
        <v>9</v>
      </c>
      <c r="I673" t="s">
        <v>128</v>
      </c>
      <c r="J673">
        <v>20</v>
      </c>
      <c r="K673">
        <v>27</v>
      </c>
      <c r="L673">
        <v>23</v>
      </c>
      <c r="M673" t="s">
        <v>115</v>
      </c>
      <c r="N673">
        <v>2300</v>
      </c>
      <c r="O673">
        <v>5</v>
      </c>
      <c r="P673">
        <v>5</v>
      </c>
      <c r="Q673">
        <v>436</v>
      </c>
      <c r="R673">
        <v>334</v>
      </c>
      <c r="S673">
        <v>390</v>
      </c>
      <c r="U673">
        <v>2000</v>
      </c>
      <c r="V673" t="s">
        <v>30</v>
      </c>
      <c r="W673" t="s">
        <v>558</v>
      </c>
      <c r="X673" t="s">
        <v>524</v>
      </c>
    </row>
    <row r="674" spans="1:24" x14ac:dyDescent="0.25">
      <c r="A674">
        <v>2025</v>
      </c>
      <c r="B674" t="s">
        <v>323</v>
      </c>
      <c r="C674" t="s">
        <v>324</v>
      </c>
      <c r="D674" t="s">
        <v>700</v>
      </c>
      <c r="E674">
        <v>3.5</v>
      </c>
      <c r="F674">
        <v>6</v>
      </c>
      <c r="G674" t="s">
        <v>686</v>
      </c>
      <c r="H674">
        <v>9</v>
      </c>
      <c r="I674" t="s">
        <v>107</v>
      </c>
      <c r="J674">
        <v>21</v>
      </c>
      <c r="K674">
        <v>27</v>
      </c>
      <c r="L674">
        <v>23</v>
      </c>
      <c r="M674" t="s">
        <v>118</v>
      </c>
      <c r="N674">
        <v>2300</v>
      </c>
      <c r="O674">
        <v>5</v>
      </c>
      <c r="P674">
        <v>5</v>
      </c>
      <c r="Q674">
        <v>424</v>
      </c>
      <c r="R674">
        <v>325</v>
      </c>
      <c r="S674">
        <v>379</v>
      </c>
      <c r="U674">
        <v>2000</v>
      </c>
      <c r="V674" t="s">
        <v>30</v>
      </c>
      <c r="W674" t="s">
        <v>558</v>
      </c>
      <c r="X674" t="s">
        <v>524</v>
      </c>
    </row>
    <row r="675" spans="1:24" x14ac:dyDescent="0.25">
      <c r="A675">
        <v>2025</v>
      </c>
      <c r="B675" t="s">
        <v>323</v>
      </c>
      <c r="C675" t="s">
        <v>324</v>
      </c>
      <c r="D675" t="s">
        <v>699</v>
      </c>
      <c r="E675">
        <v>3.5</v>
      </c>
      <c r="F675">
        <v>6</v>
      </c>
      <c r="G675" t="s">
        <v>686</v>
      </c>
      <c r="H675">
        <v>9</v>
      </c>
      <c r="I675" t="s">
        <v>107</v>
      </c>
      <c r="J675">
        <v>20</v>
      </c>
      <c r="K675">
        <v>25</v>
      </c>
      <c r="L675">
        <v>22</v>
      </c>
      <c r="M675" t="s">
        <v>29</v>
      </c>
      <c r="N675">
        <v>2400</v>
      </c>
      <c r="O675">
        <v>5</v>
      </c>
      <c r="P675">
        <v>5</v>
      </c>
      <c r="Q675">
        <v>441</v>
      </c>
      <c r="R675">
        <v>350</v>
      </c>
      <c r="S675">
        <v>400</v>
      </c>
      <c r="U675">
        <v>2500</v>
      </c>
      <c r="V675" t="s">
        <v>30</v>
      </c>
      <c r="W675" t="s">
        <v>558</v>
      </c>
      <c r="X675" t="s">
        <v>524</v>
      </c>
    </row>
    <row r="676" spans="1:24" x14ac:dyDescent="0.25">
      <c r="A676">
        <v>2025</v>
      </c>
      <c r="B676" t="s">
        <v>323</v>
      </c>
      <c r="C676" t="s">
        <v>324</v>
      </c>
      <c r="D676" t="s">
        <v>698</v>
      </c>
      <c r="E676">
        <v>3.5</v>
      </c>
      <c r="F676">
        <v>6</v>
      </c>
      <c r="G676" t="s">
        <v>686</v>
      </c>
      <c r="H676">
        <v>9</v>
      </c>
      <c r="I676" t="s">
        <v>107</v>
      </c>
      <c r="J676">
        <v>20</v>
      </c>
      <c r="K676">
        <v>23</v>
      </c>
      <c r="L676">
        <v>21</v>
      </c>
      <c r="M676" t="s">
        <v>118</v>
      </c>
      <c r="N676">
        <v>3050</v>
      </c>
      <c r="O676">
        <v>4</v>
      </c>
      <c r="P676">
        <v>4</v>
      </c>
      <c r="Q676">
        <v>452</v>
      </c>
      <c r="R676">
        <v>377</v>
      </c>
      <c r="S676">
        <v>418</v>
      </c>
      <c r="U676">
        <v>5750</v>
      </c>
      <c r="V676" t="s">
        <v>30</v>
      </c>
      <c r="W676" t="s">
        <v>558</v>
      </c>
      <c r="X676" t="s">
        <v>524</v>
      </c>
    </row>
    <row r="677" spans="1:24" x14ac:dyDescent="0.25">
      <c r="A677">
        <v>2025</v>
      </c>
      <c r="B677" t="s">
        <v>323</v>
      </c>
      <c r="C677" t="s">
        <v>324</v>
      </c>
      <c r="D677" t="s">
        <v>697</v>
      </c>
      <c r="E677">
        <v>1.5</v>
      </c>
      <c r="F677">
        <v>3</v>
      </c>
      <c r="G677" t="s">
        <v>618</v>
      </c>
      <c r="H677">
        <v>8</v>
      </c>
      <c r="I677" t="s">
        <v>28</v>
      </c>
      <c r="J677">
        <v>28</v>
      </c>
      <c r="K677">
        <v>35</v>
      </c>
      <c r="L677">
        <v>31</v>
      </c>
      <c r="M677" t="s">
        <v>118</v>
      </c>
      <c r="N677">
        <v>1700</v>
      </c>
      <c r="O677">
        <v>6</v>
      </c>
      <c r="P677">
        <v>6</v>
      </c>
      <c r="Q677">
        <v>317</v>
      </c>
      <c r="R677">
        <v>254</v>
      </c>
      <c r="S677">
        <v>287</v>
      </c>
      <c r="T677">
        <v>1000</v>
      </c>
      <c r="V677" t="s">
        <v>30</v>
      </c>
      <c r="W677" t="s">
        <v>528</v>
      </c>
      <c r="X677" t="s">
        <v>524</v>
      </c>
    </row>
    <row r="678" spans="1:24" x14ac:dyDescent="0.25">
      <c r="A678">
        <v>2025</v>
      </c>
      <c r="B678" t="s">
        <v>323</v>
      </c>
      <c r="C678" t="s">
        <v>324</v>
      </c>
      <c r="D678" t="s">
        <v>696</v>
      </c>
      <c r="E678">
        <v>1.5</v>
      </c>
      <c r="F678">
        <v>3</v>
      </c>
      <c r="G678" t="s">
        <v>618</v>
      </c>
      <c r="H678">
        <v>8</v>
      </c>
      <c r="I678" t="s">
        <v>28</v>
      </c>
      <c r="J678">
        <v>27</v>
      </c>
      <c r="K678">
        <v>32</v>
      </c>
      <c r="L678">
        <v>29</v>
      </c>
      <c r="M678" t="s">
        <v>118</v>
      </c>
      <c r="N678">
        <v>1800</v>
      </c>
      <c r="O678">
        <v>6</v>
      </c>
      <c r="P678">
        <v>6</v>
      </c>
      <c r="Q678">
        <v>330</v>
      </c>
      <c r="R678">
        <v>278</v>
      </c>
      <c r="S678">
        <v>307</v>
      </c>
      <c r="T678">
        <v>500</v>
      </c>
      <c r="V678" t="s">
        <v>30</v>
      </c>
      <c r="W678" t="s">
        <v>528</v>
      </c>
      <c r="X678" t="s">
        <v>524</v>
      </c>
    </row>
    <row r="679" spans="1:24" x14ac:dyDescent="0.25">
      <c r="A679">
        <v>2025</v>
      </c>
      <c r="B679" t="s">
        <v>323</v>
      </c>
      <c r="C679" t="s">
        <v>324</v>
      </c>
      <c r="D679" t="s">
        <v>695</v>
      </c>
      <c r="E679">
        <v>1.5</v>
      </c>
      <c r="F679">
        <v>3</v>
      </c>
      <c r="G679" t="s">
        <v>618</v>
      </c>
      <c r="H679">
        <v>8</v>
      </c>
      <c r="I679" t="s">
        <v>28</v>
      </c>
      <c r="J679">
        <v>28</v>
      </c>
      <c r="K679">
        <v>34</v>
      </c>
      <c r="L679">
        <v>31</v>
      </c>
      <c r="M679" t="s">
        <v>118</v>
      </c>
      <c r="N679">
        <v>1700</v>
      </c>
      <c r="O679">
        <v>6</v>
      </c>
      <c r="P679">
        <v>6</v>
      </c>
      <c r="Q679">
        <v>318</v>
      </c>
      <c r="R679">
        <v>262</v>
      </c>
      <c r="S679">
        <v>287</v>
      </c>
      <c r="T679">
        <v>1000</v>
      </c>
      <c r="V679" t="s">
        <v>30</v>
      </c>
      <c r="W679" t="s">
        <v>528</v>
      </c>
      <c r="X679" t="s">
        <v>524</v>
      </c>
    </row>
    <row r="680" spans="1:24" x14ac:dyDescent="0.25">
      <c r="A680">
        <v>2025</v>
      </c>
      <c r="B680" t="s">
        <v>323</v>
      </c>
      <c r="C680" t="s">
        <v>324</v>
      </c>
      <c r="D680" t="s">
        <v>694</v>
      </c>
      <c r="E680">
        <v>1.5</v>
      </c>
      <c r="F680">
        <v>3</v>
      </c>
      <c r="G680" t="s">
        <v>618</v>
      </c>
      <c r="H680">
        <v>8</v>
      </c>
      <c r="I680" t="s">
        <v>128</v>
      </c>
      <c r="J680">
        <v>30</v>
      </c>
      <c r="K680">
        <v>37</v>
      </c>
      <c r="L680">
        <v>33</v>
      </c>
      <c r="M680" t="s">
        <v>115</v>
      </c>
      <c r="N680">
        <v>1600</v>
      </c>
      <c r="O680">
        <v>6</v>
      </c>
      <c r="P680">
        <v>6</v>
      </c>
      <c r="Q680">
        <v>296</v>
      </c>
      <c r="R680">
        <v>240</v>
      </c>
      <c r="S680">
        <v>269</v>
      </c>
      <c r="T680">
        <v>1500</v>
      </c>
      <c r="V680" t="s">
        <v>30</v>
      </c>
      <c r="W680" t="s">
        <v>528</v>
      </c>
      <c r="X680" t="s">
        <v>524</v>
      </c>
    </row>
    <row r="681" spans="1:24" x14ac:dyDescent="0.25">
      <c r="A681">
        <v>2025</v>
      </c>
      <c r="B681" t="s">
        <v>323</v>
      </c>
      <c r="C681" t="s">
        <v>324</v>
      </c>
      <c r="D681" t="s">
        <v>693</v>
      </c>
      <c r="E681">
        <v>1.5</v>
      </c>
      <c r="F681">
        <v>3</v>
      </c>
      <c r="G681" t="s">
        <v>618</v>
      </c>
      <c r="H681">
        <v>8</v>
      </c>
      <c r="I681" t="s">
        <v>128</v>
      </c>
      <c r="J681">
        <v>29</v>
      </c>
      <c r="K681">
        <v>36</v>
      </c>
      <c r="L681">
        <v>32</v>
      </c>
      <c r="M681" t="s">
        <v>115</v>
      </c>
      <c r="N681">
        <v>1650</v>
      </c>
      <c r="O681">
        <v>6</v>
      </c>
      <c r="P681">
        <v>6</v>
      </c>
      <c r="Q681">
        <v>307</v>
      </c>
      <c r="R681">
        <v>247</v>
      </c>
      <c r="S681">
        <v>278</v>
      </c>
      <c r="T681">
        <v>1250</v>
      </c>
      <c r="V681" t="s">
        <v>30</v>
      </c>
      <c r="W681" t="s">
        <v>528</v>
      </c>
      <c r="X681" t="s">
        <v>524</v>
      </c>
    </row>
    <row r="682" spans="1:24" x14ac:dyDescent="0.25">
      <c r="A682">
        <v>2025</v>
      </c>
      <c r="B682" t="s">
        <v>323</v>
      </c>
      <c r="C682" t="s">
        <v>324</v>
      </c>
      <c r="D682" t="s">
        <v>692</v>
      </c>
      <c r="E682">
        <v>2</v>
      </c>
      <c r="F682">
        <v>4</v>
      </c>
      <c r="G682" t="s">
        <v>562</v>
      </c>
      <c r="H682">
        <v>1</v>
      </c>
      <c r="I682" t="s">
        <v>128</v>
      </c>
      <c r="J682">
        <v>30</v>
      </c>
      <c r="K682">
        <v>40</v>
      </c>
      <c r="L682">
        <v>34</v>
      </c>
      <c r="M682" t="s">
        <v>186</v>
      </c>
      <c r="N682">
        <v>1550</v>
      </c>
      <c r="O682">
        <v>7</v>
      </c>
      <c r="P682">
        <v>7</v>
      </c>
      <c r="Q682">
        <v>297</v>
      </c>
      <c r="R682">
        <v>220</v>
      </c>
      <c r="S682">
        <v>262</v>
      </c>
      <c r="T682">
        <v>1750</v>
      </c>
      <c r="V682" t="s">
        <v>30</v>
      </c>
      <c r="W682" t="s">
        <v>558</v>
      </c>
      <c r="X682" t="s">
        <v>524</v>
      </c>
    </row>
    <row r="683" spans="1:24" x14ac:dyDescent="0.25">
      <c r="A683">
        <v>2025</v>
      </c>
      <c r="B683" t="s">
        <v>323</v>
      </c>
      <c r="C683" t="s">
        <v>324</v>
      </c>
      <c r="D683" t="s">
        <v>691</v>
      </c>
      <c r="E683">
        <v>2</v>
      </c>
      <c r="F683">
        <v>4</v>
      </c>
      <c r="G683" t="s">
        <v>562</v>
      </c>
      <c r="H683">
        <v>1</v>
      </c>
      <c r="I683" t="s">
        <v>128</v>
      </c>
      <c r="J683">
        <v>30</v>
      </c>
      <c r="K683">
        <v>38</v>
      </c>
      <c r="L683">
        <v>33</v>
      </c>
      <c r="M683" t="s">
        <v>186</v>
      </c>
      <c r="N683">
        <v>1600</v>
      </c>
      <c r="O683">
        <v>6</v>
      </c>
      <c r="P683">
        <v>6</v>
      </c>
      <c r="Q683">
        <v>297</v>
      </c>
      <c r="R683">
        <v>234</v>
      </c>
      <c r="S683">
        <v>270</v>
      </c>
      <c r="T683">
        <v>1500</v>
      </c>
      <c r="V683" t="s">
        <v>30</v>
      </c>
      <c r="W683" t="s">
        <v>558</v>
      </c>
      <c r="X683" t="s">
        <v>524</v>
      </c>
    </row>
    <row r="684" spans="1:24" x14ac:dyDescent="0.25">
      <c r="A684">
        <v>2025</v>
      </c>
      <c r="B684" t="s">
        <v>323</v>
      </c>
      <c r="C684" t="s">
        <v>324</v>
      </c>
      <c r="D684" t="s">
        <v>690</v>
      </c>
      <c r="E684">
        <v>1.6</v>
      </c>
      <c r="F684">
        <v>4</v>
      </c>
      <c r="G684" t="s">
        <v>562</v>
      </c>
      <c r="H684">
        <v>1</v>
      </c>
      <c r="I684" t="s">
        <v>128</v>
      </c>
      <c r="J684">
        <v>32</v>
      </c>
      <c r="K684">
        <v>40</v>
      </c>
      <c r="L684">
        <v>35</v>
      </c>
      <c r="M684" t="s">
        <v>75</v>
      </c>
      <c r="N684">
        <v>1500</v>
      </c>
      <c r="O684">
        <v>7</v>
      </c>
      <c r="P684">
        <v>7</v>
      </c>
      <c r="Q684">
        <v>280</v>
      </c>
      <c r="R684">
        <v>221</v>
      </c>
      <c r="S684">
        <v>253</v>
      </c>
      <c r="T684">
        <v>2000</v>
      </c>
      <c r="V684" t="s">
        <v>30</v>
      </c>
      <c r="W684" t="s">
        <v>558</v>
      </c>
      <c r="X684" t="s">
        <v>565</v>
      </c>
    </row>
    <row r="685" spans="1:24" x14ac:dyDescent="0.25">
      <c r="A685">
        <v>2025</v>
      </c>
      <c r="B685" t="s">
        <v>323</v>
      </c>
      <c r="C685" t="s">
        <v>324</v>
      </c>
      <c r="D685" t="s">
        <v>690</v>
      </c>
      <c r="E685">
        <v>1.6</v>
      </c>
      <c r="F685">
        <v>4</v>
      </c>
      <c r="G685" t="s">
        <v>689</v>
      </c>
      <c r="H685">
        <v>5</v>
      </c>
      <c r="I685" t="s">
        <v>128</v>
      </c>
      <c r="J685">
        <v>27</v>
      </c>
      <c r="K685">
        <v>35</v>
      </c>
      <c r="L685">
        <v>30</v>
      </c>
      <c r="M685" t="s">
        <v>75</v>
      </c>
      <c r="N685">
        <v>1750</v>
      </c>
      <c r="O685">
        <v>6</v>
      </c>
      <c r="P685">
        <v>6</v>
      </c>
      <c r="Q685">
        <v>328</v>
      </c>
      <c r="R685">
        <v>254</v>
      </c>
      <c r="S685">
        <v>296</v>
      </c>
      <c r="T685">
        <v>750</v>
      </c>
      <c r="V685" t="s">
        <v>30</v>
      </c>
      <c r="W685" t="s">
        <v>558</v>
      </c>
      <c r="X685" t="s">
        <v>565</v>
      </c>
    </row>
    <row r="686" spans="1:24" x14ac:dyDescent="0.25">
      <c r="A686">
        <v>2025</v>
      </c>
      <c r="B686" t="s">
        <v>323</v>
      </c>
      <c r="C686" t="s">
        <v>324</v>
      </c>
      <c r="D686" t="s">
        <v>688</v>
      </c>
      <c r="E686">
        <v>3</v>
      </c>
      <c r="F686">
        <v>6</v>
      </c>
      <c r="G686" t="s">
        <v>546</v>
      </c>
      <c r="H686">
        <v>6</v>
      </c>
      <c r="I686" t="s">
        <v>46</v>
      </c>
      <c r="J686">
        <v>18</v>
      </c>
      <c r="K686">
        <v>24</v>
      </c>
      <c r="L686">
        <v>20</v>
      </c>
      <c r="M686" t="s">
        <v>108</v>
      </c>
      <c r="N686">
        <v>3200</v>
      </c>
      <c r="O686">
        <v>4</v>
      </c>
      <c r="P686">
        <v>4</v>
      </c>
      <c r="Q686">
        <v>489</v>
      </c>
      <c r="R686">
        <v>368</v>
      </c>
      <c r="S686">
        <v>435</v>
      </c>
      <c r="U686">
        <v>6500</v>
      </c>
      <c r="V686" t="s">
        <v>30</v>
      </c>
      <c r="W686" t="s">
        <v>528</v>
      </c>
      <c r="X686" t="s">
        <v>565</v>
      </c>
    </row>
    <row r="687" spans="1:24" x14ac:dyDescent="0.25">
      <c r="A687">
        <v>2025</v>
      </c>
      <c r="B687" t="s">
        <v>323</v>
      </c>
      <c r="C687" t="s">
        <v>324</v>
      </c>
      <c r="D687" t="s">
        <v>688</v>
      </c>
      <c r="E687">
        <v>3</v>
      </c>
      <c r="F687">
        <v>6</v>
      </c>
      <c r="G687" t="s">
        <v>686</v>
      </c>
      <c r="H687">
        <v>9</v>
      </c>
      <c r="I687" t="s">
        <v>46</v>
      </c>
      <c r="J687">
        <v>19</v>
      </c>
      <c r="K687">
        <v>28</v>
      </c>
      <c r="L687">
        <v>22</v>
      </c>
      <c r="M687" t="s">
        <v>108</v>
      </c>
      <c r="N687">
        <v>2900</v>
      </c>
      <c r="O687">
        <v>5</v>
      </c>
      <c r="P687">
        <v>5</v>
      </c>
      <c r="Q687">
        <v>469</v>
      </c>
      <c r="R687">
        <v>318</v>
      </c>
      <c r="S687">
        <v>405</v>
      </c>
      <c r="U687">
        <v>5000</v>
      </c>
      <c r="V687" t="s">
        <v>30</v>
      </c>
      <c r="W687" t="s">
        <v>528</v>
      </c>
      <c r="X687" t="s">
        <v>565</v>
      </c>
    </row>
    <row r="688" spans="1:24" x14ac:dyDescent="0.25">
      <c r="A688">
        <v>2025</v>
      </c>
      <c r="B688" t="s">
        <v>323</v>
      </c>
      <c r="C688" t="s">
        <v>324</v>
      </c>
      <c r="D688" t="s">
        <v>687</v>
      </c>
      <c r="E688">
        <v>3</v>
      </c>
      <c r="F688">
        <v>6</v>
      </c>
      <c r="G688" t="s">
        <v>686</v>
      </c>
      <c r="H688">
        <v>9</v>
      </c>
      <c r="I688" t="s">
        <v>46</v>
      </c>
      <c r="J688">
        <v>17</v>
      </c>
      <c r="K688">
        <v>24</v>
      </c>
      <c r="L688">
        <v>19</v>
      </c>
      <c r="M688" t="s">
        <v>108</v>
      </c>
      <c r="N688">
        <v>3350</v>
      </c>
      <c r="O688">
        <v>4</v>
      </c>
      <c r="P688">
        <v>4</v>
      </c>
      <c r="Q688">
        <v>524</v>
      </c>
      <c r="R688">
        <v>371</v>
      </c>
      <c r="S688">
        <v>469</v>
      </c>
      <c r="U688">
        <v>7250</v>
      </c>
      <c r="V688" t="s">
        <v>30</v>
      </c>
      <c r="W688" t="s">
        <v>528</v>
      </c>
      <c r="X688" t="s">
        <v>565</v>
      </c>
    </row>
    <row r="689" spans="1:24" x14ac:dyDescent="0.25">
      <c r="A689">
        <v>2025</v>
      </c>
      <c r="B689" t="s">
        <v>360</v>
      </c>
      <c r="C689" t="s">
        <v>360</v>
      </c>
      <c r="D689" t="s">
        <v>685</v>
      </c>
      <c r="E689">
        <v>2</v>
      </c>
      <c r="F689">
        <v>4</v>
      </c>
      <c r="G689" t="s">
        <v>546</v>
      </c>
      <c r="H689">
        <v>6</v>
      </c>
      <c r="I689" t="s">
        <v>46</v>
      </c>
      <c r="J689">
        <v>20</v>
      </c>
      <c r="K689">
        <v>25</v>
      </c>
      <c r="L689">
        <v>22</v>
      </c>
      <c r="M689" t="s">
        <v>108</v>
      </c>
      <c r="N689">
        <v>2900</v>
      </c>
      <c r="O689">
        <v>5</v>
      </c>
      <c r="P689">
        <v>5</v>
      </c>
      <c r="Q689">
        <v>452</v>
      </c>
      <c r="R689">
        <v>358</v>
      </c>
      <c r="S689">
        <v>409</v>
      </c>
      <c r="U689">
        <v>5000</v>
      </c>
      <c r="V689" t="s">
        <v>30</v>
      </c>
      <c r="W689" t="s">
        <v>528</v>
      </c>
      <c r="X689" t="s">
        <v>524</v>
      </c>
    </row>
    <row r="690" spans="1:24" x14ac:dyDescent="0.25">
      <c r="A690">
        <v>2025</v>
      </c>
      <c r="B690" t="s">
        <v>360</v>
      </c>
      <c r="C690" t="s">
        <v>360</v>
      </c>
      <c r="D690" t="s">
        <v>685</v>
      </c>
      <c r="E690">
        <v>2</v>
      </c>
      <c r="F690">
        <v>4</v>
      </c>
      <c r="G690" t="s">
        <v>543</v>
      </c>
      <c r="H690">
        <v>7</v>
      </c>
      <c r="I690" t="s">
        <v>46</v>
      </c>
      <c r="J690">
        <v>21</v>
      </c>
      <c r="K690">
        <v>27</v>
      </c>
      <c r="L690">
        <v>24</v>
      </c>
      <c r="M690" t="s">
        <v>108</v>
      </c>
      <c r="N690">
        <v>2650</v>
      </c>
      <c r="O690">
        <v>5</v>
      </c>
      <c r="P690">
        <v>5</v>
      </c>
      <c r="Q690">
        <v>414</v>
      </c>
      <c r="R690">
        <v>328</v>
      </c>
      <c r="S690">
        <v>375</v>
      </c>
      <c r="U690">
        <v>3750</v>
      </c>
      <c r="V690" t="s">
        <v>30</v>
      </c>
      <c r="W690" t="s">
        <v>528</v>
      </c>
      <c r="X690" t="s">
        <v>524</v>
      </c>
    </row>
    <row r="691" spans="1:24" x14ac:dyDescent="0.25">
      <c r="A691">
        <v>2025</v>
      </c>
      <c r="B691" t="s">
        <v>360</v>
      </c>
      <c r="C691" t="s">
        <v>360</v>
      </c>
      <c r="D691" t="s">
        <v>684</v>
      </c>
      <c r="E691">
        <v>4</v>
      </c>
      <c r="F691">
        <v>6</v>
      </c>
      <c r="G691" t="s">
        <v>546</v>
      </c>
      <c r="H691">
        <v>6</v>
      </c>
      <c r="I691" t="s">
        <v>46</v>
      </c>
      <c r="J691">
        <v>17</v>
      </c>
      <c r="K691">
        <v>24</v>
      </c>
      <c r="L691">
        <v>19</v>
      </c>
      <c r="M691" t="s">
        <v>108</v>
      </c>
      <c r="N691">
        <v>3350</v>
      </c>
      <c r="O691">
        <v>4</v>
      </c>
      <c r="P691">
        <v>4</v>
      </c>
      <c r="Q691">
        <v>523</v>
      </c>
      <c r="R691">
        <v>377</v>
      </c>
      <c r="S691">
        <v>458</v>
      </c>
      <c r="U691">
        <v>7250</v>
      </c>
      <c r="V691" t="s">
        <v>30</v>
      </c>
      <c r="W691" t="s">
        <v>558</v>
      </c>
      <c r="X691" t="s">
        <v>565</v>
      </c>
    </row>
    <row r="692" spans="1:24" x14ac:dyDescent="0.25">
      <c r="A692">
        <v>2025</v>
      </c>
      <c r="B692" t="s">
        <v>360</v>
      </c>
      <c r="C692" t="s">
        <v>360</v>
      </c>
      <c r="D692" t="s">
        <v>684</v>
      </c>
      <c r="E692">
        <v>4</v>
      </c>
      <c r="F692">
        <v>6</v>
      </c>
      <c r="G692" t="s">
        <v>543</v>
      </c>
      <c r="H692">
        <v>7</v>
      </c>
      <c r="I692" t="s">
        <v>46</v>
      </c>
      <c r="J692">
        <v>19</v>
      </c>
      <c r="K692">
        <v>24</v>
      </c>
      <c r="L692">
        <v>21</v>
      </c>
      <c r="M692" t="s">
        <v>108</v>
      </c>
      <c r="N692">
        <v>3050</v>
      </c>
      <c r="O692">
        <v>4</v>
      </c>
      <c r="P692">
        <v>4</v>
      </c>
      <c r="Q692">
        <v>460</v>
      </c>
      <c r="R692">
        <v>367</v>
      </c>
      <c r="S692">
        <v>418</v>
      </c>
      <c r="U692">
        <v>5750</v>
      </c>
      <c r="V692" t="s">
        <v>30</v>
      </c>
      <c r="W692" t="s">
        <v>558</v>
      </c>
      <c r="X692" t="s">
        <v>565</v>
      </c>
    </row>
    <row r="693" spans="1:24" x14ac:dyDescent="0.25">
      <c r="A693">
        <v>2025</v>
      </c>
      <c r="B693" t="s">
        <v>360</v>
      </c>
      <c r="C693" t="s">
        <v>360</v>
      </c>
      <c r="D693" t="s">
        <v>683</v>
      </c>
      <c r="E693">
        <v>2.5</v>
      </c>
      <c r="F693">
        <v>4</v>
      </c>
      <c r="G693" t="s">
        <v>546</v>
      </c>
      <c r="H693">
        <v>6</v>
      </c>
      <c r="I693" t="s">
        <v>46</v>
      </c>
      <c r="J693">
        <v>19</v>
      </c>
      <c r="K693">
        <v>24</v>
      </c>
      <c r="L693">
        <v>21</v>
      </c>
      <c r="M693" t="s">
        <v>108</v>
      </c>
      <c r="N693">
        <v>3050</v>
      </c>
      <c r="O693">
        <v>4</v>
      </c>
      <c r="P693">
        <v>4</v>
      </c>
      <c r="Q693">
        <v>472</v>
      </c>
      <c r="R693">
        <v>363</v>
      </c>
      <c r="S693">
        <v>423</v>
      </c>
      <c r="U693">
        <v>5750</v>
      </c>
      <c r="V693" t="s">
        <v>30</v>
      </c>
      <c r="W693" t="s">
        <v>528</v>
      </c>
      <c r="X693" t="s">
        <v>524</v>
      </c>
    </row>
    <row r="694" spans="1:24" x14ac:dyDescent="0.25">
      <c r="A694">
        <v>2025</v>
      </c>
      <c r="B694" t="s">
        <v>360</v>
      </c>
      <c r="C694" t="s">
        <v>360</v>
      </c>
      <c r="D694" t="s">
        <v>683</v>
      </c>
      <c r="E694">
        <v>2.5</v>
      </c>
      <c r="F694">
        <v>4</v>
      </c>
      <c r="G694" t="s">
        <v>543</v>
      </c>
      <c r="H694">
        <v>7</v>
      </c>
      <c r="I694" t="s">
        <v>46</v>
      </c>
      <c r="J694">
        <v>19</v>
      </c>
      <c r="K694">
        <v>25</v>
      </c>
      <c r="L694">
        <v>22</v>
      </c>
      <c r="M694" t="s">
        <v>108</v>
      </c>
      <c r="N694">
        <v>2900</v>
      </c>
      <c r="O694">
        <v>5</v>
      </c>
      <c r="P694">
        <v>5</v>
      </c>
      <c r="Q694">
        <v>461</v>
      </c>
      <c r="R694">
        <v>348</v>
      </c>
      <c r="S694">
        <v>410</v>
      </c>
      <c r="U694">
        <v>5000</v>
      </c>
      <c r="V694" t="s">
        <v>30</v>
      </c>
      <c r="W694" t="s">
        <v>528</v>
      </c>
      <c r="X694" t="s">
        <v>524</v>
      </c>
    </row>
    <row r="695" spans="1:24" x14ac:dyDescent="0.25">
      <c r="A695">
        <v>2025</v>
      </c>
      <c r="B695" t="s">
        <v>360</v>
      </c>
      <c r="C695" t="s">
        <v>360</v>
      </c>
      <c r="D695" t="s">
        <v>682</v>
      </c>
      <c r="E695">
        <v>2</v>
      </c>
      <c r="F695">
        <v>4</v>
      </c>
      <c r="G695" t="s">
        <v>546</v>
      </c>
      <c r="H695">
        <v>6</v>
      </c>
      <c r="I695" t="s">
        <v>46</v>
      </c>
      <c r="J695">
        <v>20</v>
      </c>
      <c r="K695">
        <v>25</v>
      </c>
      <c r="L695">
        <v>22</v>
      </c>
      <c r="M695" t="s">
        <v>108</v>
      </c>
      <c r="N695">
        <v>2900</v>
      </c>
      <c r="O695">
        <v>5</v>
      </c>
      <c r="P695">
        <v>5</v>
      </c>
      <c r="Q695">
        <v>452</v>
      </c>
      <c r="R695">
        <v>358</v>
      </c>
      <c r="S695">
        <v>409</v>
      </c>
      <c r="U695">
        <v>5000</v>
      </c>
      <c r="V695" t="s">
        <v>30</v>
      </c>
      <c r="W695" t="s">
        <v>528</v>
      </c>
      <c r="X695" t="s">
        <v>524</v>
      </c>
    </row>
    <row r="696" spans="1:24" x14ac:dyDescent="0.25">
      <c r="A696">
        <v>2025</v>
      </c>
      <c r="B696" t="s">
        <v>360</v>
      </c>
      <c r="C696" t="s">
        <v>360</v>
      </c>
      <c r="D696" t="s">
        <v>682</v>
      </c>
      <c r="E696">
        <v>2</v>
      </c>
      <c r="F696">
        <v>4</v>
      </c>
      <c r="G696" t="s">
        <v>543</v>
      </c>
      <c r="H696">
        <v>7</v>
      </c>
      <c r="I696" t="s">
        <v>46</v>
      </c>
      <c r="J696">
        <v>21</v>
      </c>
      <c r="K696">
        <v>27</v>
      </c>
      <c r="L696">
        <v>24</v>
      </c>
      <c r="M696" t="s">
        <v>108</v>
      </c>
      <c r="N696">
        <v>2650</v>
      </c>
      <c r="O696">
        <v>5</v>
      </c>
      <c r="P696">
        <v>5</v>
      </c>
      <c r="Q696">
        <v>414</v>
      </c>
      <c r="R696">
        <v>328</v>
      </c>
      <c r="S696">
        <v>375</v>
      </c>
      <c r="U696">
        <v>3750</v>
      </c>
      <c r="V696" t="s">
        <v>30</v>
      </c>
      <c r="W696" t="s">
        <v>528</v>
      </c>
      <c r="X696" t="s">
        <v>524</v>
      </c>
    </row>
    <row r="697" spans="1:24" x14ac:dyDescent="0.25">
      <c r="A697">
        <v>2025</v>
      </c>
      <c r="B697" t="s">
        <v>360</v>
      </c>
      <c r="C697" t="s">
        <v>360</v>
      </c>
      <c r="D697" t="s">
        <v>681</v>
      </c>
      <c r="E697">
        <v>4</v>
      </c>
      <c r="F697">
        <v>6</v>
      </c>
      <c r="G697" t="s">
        <v>546</v>
      </c>
      <c r="H697">
        <v>6</v>
      </c>
      <c r="I697" t="s">
        <v>46</v>
      </c>
      <c r="J697">
        <v>17</v>
      </c>
      <c r="K697">
        <v>24</v>
      </c>
      <c r="L697">
        <v>19</v>
      </c>
      <c r="M697" t="s">
        <v>108</v>
      </c>
      <c r="N697">
        <v>3350</v>
      </c>
      <c r="O697">
        <v>4</v>
      </c>
      <c r="P697">
        <v>4</v>
      </c>
      <c r="Q697">
        <v>523</v>
      </c>
      <c r="R697">
        <v>377</v>
      </c>
      <c r="S697">
        <v>458</v>
      </c>
      <c r="U697">
        <v>7250</v>
      </c>
      <c r="V697" t="s">
        <v>30</v>
      </c>
      <c r="W697" t="s">
        <v>558</v>
      </c>
      <c r="X697" t="s">
        <v>565</v>
      </c>
    </row>
    <row r="698" spans="1:24" x14ac:dyDescent="0.25">
      <c r="A698">
        <v>2025</v>
      </c>
      <c r="B698" t="s">
        <v>360</v>
      </c>
      <c r="C698" t="s">
        <v>360</v>
      </c>
      <c r="D698" t="s">
        <v>681</v>
      </c>
      <c r="E698">
        <v>4</v>
      </c>
      <c r="F698">
        <v>6</v>
      </c>
      <c r="G698" t="s">
        <v>543</v>
      </c>
      <c r="H698">
        <v>7</v>
      </c>
      <c r="I698" t="s">
        <v>46</v>
      </c>
      <c r="J698">
        <v>19</v>
      </c>
      <c r="K698">
        <v>24</v>
      </c>
      <c r="L698">
        <v>21</v>
      </c>
      <c r="M698" t="s">
        <v>108</v>
      </c>
      <c r="N698">
        <v>3050</v>
      </c>
      <c r="O698">
        <v>4</v>
      </c>
      <c r="P698">
        <v>4</v>
      </c>
      <c r="Q698">
        <v>460</v>
      </c>
      <c r="R698">
        <v>367</v>
      </c>
      <c r="S698">
        <v>418</v>
      </c>
      <c r="U698">
        <v>5750</v>
      </c>
      <c r="V698" t="s">
        <v>30</v>
      </c>
      <c r="W698" t="s">
        <v>558</v>
      </c>
      <c r="X698" t="s">
        <v>565</v>
      </c>
    </row>
    <row r="699" spans="1:24" x14ac:dyDescent="0.25">
      <c r="A699">
        <v>2025</v>
      </c>
      <c r="B699" t="s">
        <v>360</v>
      </c>
      <c r="C699" t="s">
        <v>360</v>
      </c>
      <c r="D699" t="s">
        <v>680</v>
      </c>
      <c r="E699">
        <v>2.5</v>
      </c>
      <c r="F699">
        <v>4</v>
      </c>
      <c r="G699" t="s">
        <v>546</v>
      </c>
      <c r="H699">
        <v>6</v>
      </c>
      <c r="I699" t="s">
        <v>46</v>
      </c>
      <c r="J699">
        <v>19</v>
      </c>
      <c r="K699">
        <v>24</v>
      </c>
      <c r="L699">
        <v>21</v>
      </c>
      <c r="M699" t="s">
        <v>108</v>
      </c>
      <c r="N699">
        <v>3050</v>
      </c>
      <c r="O699">
        <v>4</v>
      </c>
      <c r="P699">
        <v>4</v>
      </c>
      <c r="Q699">
        <v>472</v>
      </c>
      <c r="R699">
        <v>363</v>
      </c>
      <c r="S699">
        <v>423</v>
      </c>
      <c r="U699">
        <v>5750</v>
      </c>
      <c r="V699" t="s">
        <v>30</v>
      </c>
      <c r="W699" t="s">
        <v>528</v>
      </c>
      <c r="X699" t="s">
        <v>524</v>
      </c>
    </row>
    <row r="700" spans="1:24" x14ac:dyDescent="0.25">
      <c r="A700">
        <v>2025</v>
      </c>
      <c r="B700" t="s">
        <v>360</v>
      </c>
      <c r="C700" t="s">
        <v>360</v>
      </c>
      <c r="D700" t="s">
        <v>680</v>
      </c>
      <c r="E700">
        <v>2.5</v>
      </c>
      <c r="F700">
        <v>4</v>
      </c>
      <c r="G700" t="s">
        <v>543</v>
      </c>
      <c r="H700">
        <v>7</v>
      </c>
      <c r="I700" t="s">
        <v>46</v>
      </c>
      <c r="J700">
        <v>19</v>
      </c>
      <c r="K700">
        <v>25</v>
      </c>
      <c r="L700">
        <v>22</v>
      </c>
      <c r="M700" t="s">
        <v>108</v>
      </c>
      <c r="N700">
        <v>2900</v>
      </c>
      <c r="O700">
        <v>5</v>
      </c>
      <c r="P700">
        <v>5</v>
      </c>
      <c r="Q700">
        <v>461</v>
      </c>
      <c r="R700">
        <v>348</v>
      </c>
      <c r="S700">
        <v>410</v>
      </c>
      <c r="U700">
        <v>5000</v>
      </c>
      <c r="V700" t="s">
        <v>30</v>
      </c>
      <c r="W700" t="s">
        <v>528</v>
      </c>
      <c r="X700" t="s">
        <v>524</v>
      </c>
    </row>
    <row r="701" spans="1:24" x14ac:dyDescent="0.25">
      <c r="A701">
        <v>2025</v>
      </c>
      <c r="B701" t="s">
        <v>360</v>
      </c>
      <c r="C701" t="s">
        <v>360</v>
      </c>
      <c r="D701" t="s">
        <v>679</v>
      </c>
      <c r="E701">
        <v>4</v>
      </c>
      <c r="F701">
        <v>6</v>
      </c>
      <c r="G701" t="s">
        <v>543</v>
      </c>
      <c r="H701">
        <v>7</v>
      </c>
      <c r="I701" t="s">
        <v>46</v>
      </c>
      <c r="J701">
        <v>15</v>
      </c>
      <c r="K701">
        <v>19</v>
      </c>
      <c r="L701">
        <v>16</v>
      </c>
      <c r="M701" t="s">
        <v>108</v>
      </c>
      <c r="N701">
        <v>4000</v>
      </c>
      <c r="O701">
        <v>3</v>
      </c>
      <c r="P701">
        <v>3</v>
      </c>
      <c r="Q701">
        <v>605</v>
      </c>
      <c r="R701">
        <v>469</v>
      </c>
      <c r="S701">
        <v>544</v>
      </c>
      <c r="U701">
        <v>10500</v>
      </c>
      <c r="V701" t="s">
        <v>633</v>
      </c>
      <c r="W701" t="s">
        <v>558</v>
      </c>
      <c r="X701" t="s">
        <v>524</v>
      </c>
    </row>
    <row r="702" spans="1:24" x14ac:dyDescent="0.25">
      <c r="A702">
        <v>2025</v>
      </c>
      <c r="B702" t="s">
        <v>360</v>
      </c>
      <c r="C702" t="s">
        <v>360</v>
      </c>
      <c r="D702" t="s">
        <v>678</v>
      </c>
      <c r="E702">
        <v>4</v>
      </c>
      <c r="F702">
        <v>6</v>
      </c>
      <c r="G702" t="s">
        <v>543</v>
      </c>
      <c r="H702">
        <v>7</v>
      </c>
      <c r="I702" t="s">
        <v>46</v>
      </c>
      <c r="J702">
        <v>14</v>
      </c>
      <c r="K702">
        <v>19</v>
      </c>
      <c r="L702">
        <v>16</v>
      </c>
      <c r="M702" t="s">
        <v>108</v>
      </c>
      <c r="N702">
        <v>4000</v>
      </c>
      <c r="O702">
        <v>3</v>
      </c>
      <c r="P702">
        <v>3</v>
      </c>
      <c r="Q702">
        <v>621</v>
      </c>
      <c r="R702">
        <v>466</v>
      </c>
      <c r="S702">
        <v>551</v>
      </c>
      <c r="U702">
        <v>10500</v>
      </c>
      <c r="V702" t="s">
        <v>633</v>
      </c>
      <c r="W702" t="s">
        <v>558</v>
      </c>
      <c r="X702" t="s">
        <v>524</v>
      </c>
    </row>
    <row r="703" spans="1:24" x14ac:dyDescent="0.25">
      <c r="A703">
        <v>2025</v>
      </c>
      <c r="B703" t="s">
        <v>360</v>
      </c>
      <c r="C703" t="s">
        <v>360</v>
      </c>
      <c r="D703" t="s">
        <v>677</v>
      </c>
      <c r="E703">
        <v>3</v>
      </c>
      <c r="F703">
        <v>6</v>
      </c>
      <c r="G703" t="s">
        <v>648</v>
      </c>
      <c r="H703">
        <v>8</v>
      </c>
      <c r="I703" t="s">
        <v>46</v>
      </c>
      <c r="J703">
        <v>18</v>
      </c>
      <c r="K703">
        <v>25</v>
      </c>
      <c r="L703">
        <v>21</v>
      </c>
      <c r="M703" t="s">
        <v>155</v>
      </c>
      <c r="N703">
        <v>3050</v>
      </c>
      <c r="O703">
        <v>4</v>
      </c>
      <c r="P703">
        <v>4</v>
      </c>
      <c r="Q703">
        <v>486</v>
      </c>
      <c r="R703">
        <v>348</v>
      </c>
      <c r="S703">
        <v>424</v>
      </c>
      <c r="U703">
        <v>5750</v>
      </c>
      <c r="V703" t="s">
        <v>30</v>
      </c>
      <c r="W703" t="s">
        <v>528</v>
      </c>
      <c r="X703" t="s">
        <v>524</v>
      </c>
    </row>
    <row r="704" spans="1:24" x14ac:dyDescent="0.25">
      <c r="A704">
        <v>2025</v>
      </c>
      <c r="B704" t="s">
        <v>360</v>
      </c>
      <c r="C704" t="s">
        <v>360</v>
      </c>
      <c r="D704" t="s">
        <v>676</v>
      </c>
      <c r="E704">
        <v>3.6</v>
      </c>
      <c r="F704">
        <v>6</v>
      </c>
      <c r="G704" t="s">
        <v>648</v>
      </c>
      <c r="H704">
        <v>8</v>
      </c>
      <c r="I704" t="s">
        <v>28</v>
      </c>
      <c r="J704">
        <v>17</v>
      </c>
      <c r="K704">
        <v>23</v>
      </c>
      <c r="L704">
        <v>19</v>
      </c>
      <c r="M704" t="s">
        <v>155</v>
      </c>
      <c r="N704">
        <v>3350</v>
      </c>
      <c r="O704">
        <v>4</v>
      </c>
      <c r="P704">
        <v>4</v>
      </c>
      <c r="Q704">
        <v>521</v>
      </c>
      <c r="R704">
        <v>388</v>
      </c>
      <c r="S704">
        <v>461</v>
      </c>
      <c r="U704">
        <v>7250</v>
      </c>
      <c r="V704" t="s">
        <v>30</v>
      </c>
      <c r="W704" t="s">
        <v>528</v>
      </c>
      <c r="X704" t="s">
        <v>524</v>
      </c>
    </row>
    <row r="705" spans="1:24" x14ac:dyDescent="0.25">
      <c r="A705">
        <v>2025</v>
      </c>
      <c r="B705" t="s">
        <v>360</v>
      </c>
      <c r="C705" t="s">
        <v>360</v>
      </c>
      <c r="D705" t="s">
        <v>675</v>
      </c>
      <c r="E705">
        <v>3.6</v>
      </c>
      <c r="F705">
        <v>6</v>
      </c>
      <c r="G705" t="s">
        <v>648</v>
      </c>
      <c r="H705">
        <v>8</v>
      </c>
      <c r="I705" t="s">
        <v>28</v>
      </c>
      <c r="J705">
        <v>17</v>
      </c>
      <c r="K705">
        <v>23</v>
      </c>
      <c r="L705">
        <v>19</v>
      </c>
      <c r="M705" t="s">
        <v>155</v>
      </c>
      <c r="N705">
        <v>3350</v>
      </c>
      <c r="O705">
        <v>4</v>
      </c>
      <c r="P705">
        <v>4</v>
      </c>
      <c r="Q705">
        <v>512</v>
      </c>
      <c r="R705">
        <v>383</v>
      </c>
      <c r="S705">
        <v>468</v>
      </c>
      <c r="U705">
        <v>7250</v>
      </c>
      <c r="V705" t="s">
        <v>30</v>
      </c>
      <c r="W705" t="s">
        <v>528</v>
      </c>
      <c r="X705" t="s">
        <v>524</v>
      </c>
    </row>
    <row r="706" spans="1:24" x14ac:dyDescent="0.25">
      <c r="A706">
        <v>2025</v>
      </c>
      <c r="B706" t="s">
        <v>360</v>
      </c>
      <c r="C706" t="s">
        <v>360</v>
      </c>
      <c r="D706" t="s">
        <v>674</v>
      </c>
      <c r="E706">
        <v>3</v>
      </c>
      <c r="F706">
        <v>6</v>
      </c>
      <c r="G706" t="s">
        <v>648</v>
      </c>
      <c r="H706">
        <v>8</v>
      </c>
      <c r="I706" t="s">
        <v>46</v>
      </c>
      <c r="J706">
        <v>18</v>
      </c>
      <c r="K706">
        <v>25</v>
      </c>
      <c r="L706">
        <v>21</v>
      </c>
      <c r="M706" t="s">
        <v>155</v>
      </c>
      <c r="N706">
        <v>3050</v>
      </c>
      <c r="O706">
        <v>4</v>
      </c>
      <c r="P706">
        <v>4</v>
      </c>
      <c r="Q706">
        <v>489</v>
      </c>
      <c r="R706">
        <v>354</v>
      </c>
      <c r="S706">
        <v>429</v>
      </c>
      <c r="U706">
        <v>5750</v>
      </c>
      <c r="V706" t="s">
        <v>30</v>
      </c>
      <c r="W706" t="s">
        <v>528</v>
      </c>
      <c r="X706" t="s">
        <v>524</v>
      </c>
    </row>
    <row r="707" spans="1:24" x14ac:dyDescent="0.25">
      <c r="A707">
        <v>2025</v>
      </c>
      <c r="B707" t="s">
        <v>360</v>
      </c>
      <c r="C707" t="s">
        <v>360</v>
      </c>
      <c r="D707" t="s">
        <v>673</v>
      </c>
      <c r="E707">
        <v>3.6</v>
      </c>
      <c r="F707">
        <v>6</v>
      </c>
      <c r="G707" t="s">
        <v>648</v>
      </c>
      <c r="H707">
        <v>8</v>
      </c>
      <c r="I707" t="s">
        <v>46</v>
      </c>
      <c r="J707">
        <v>17</v>
      </c>
      <c r="K707">
        <v>24</v>
      </c>
      <c r="L707">
        <v>20</v>
      </c>
      <c r="M707" t="s">
        <v>155</v>
      </c>
      <c r="N707">
        <v>3200</v>
      </c>
      <c r="O707">
        <v>4</v>
      </c>
      <c r="P707">
        <v>4</v>
      </c>
      <c r="Q707">
        <v>499</v>
      </c>
      <c r="R707">
        <v>368</v>
      </c>
      <c r="S707">
        <v>440</v>
      </c>
      <c r="U707">
        <v>6500</v>
      </c>
      <c r="V707" t="s">
        <v>30</v>
      </c>
      <c r="W707" t="s">
        <v>528</v>
      </c>
      <c r="X707" t="s">
        <v>524</v>
      </c>
    </row>
    <row r="708" spans="1:24" x14ac:dyDescent="0.25">
      <c r="A708">
        <v>2025</v>
      </c>
      <c r="B708" t="s">
        <v>360</v>
      </c>
      <c r="C708" t="s">
        <v>360</v>
      </c>
      <c r="D708" t="s">
        <v>672</v>
      </c>
      <c r="E708">
        <v>3.6</v>
      </c>
      <c r="F708">
        <v>6</v>
      </c>
      <c r="G708" t="s">
        <v>648</v>
      </c>
      <c r="H708">
        <v>8</v>
      </c>
      <c r="I708" t="s">
        <v>46</v>
      </c>
      <c r="J708">
        <v>17</v>
      </c>
      <c r="K708">
        <v>23</v>
      </c>
      <c r="L708">
        <v>19</v>
      </c>
      <c r="M708" t="s">
        <v>155</v>
      </c>
      <c r="N708">
        <v>3350</v>
      </c>
      <c r="O708">
        <v>4</v>
      </c>
      <c r="P708">
        <v>4</v>
      </c>
      <c r="Q708">
        <v>520</v>
      </c>
      <c r="R708">
        <v>383</v>
      </c>
      <c r="S708">
        <v>459</v>
      </c>
      <c r="U708">
        <v>7250</v>
      </c>
      <c r="V708" t="s">
        <v>30</v>
      </c>
      <c r="W708" t="s">
        <v>528</v>
      </c>
      <c r="X708" t="s">
        <v>524</v>
      </c>
    </row>
    <row r="709" spans="1:24" x14ac:dyDescent="0.25">
      <c r="A709">
        <v>2025</v>
      </c>
      <c r="B709" t="s">
        <v>360</v>
      </c>
      <c r="C709" t="s">
        <v>360</v>
      </c>
      <c r="D709" t="s">
        <v>672</v>
      </c>
      <c r="E709">
        <v>3.6</v>
      </c>
      <c r="F709">
        <v>6</v>
      </c>
      <c r="G709" t="s">
        <v>648</v>
      </c>
      <c r="H709">
        <v>8</v>
      </c>
      <c r="I709" t="s">
        <v>46</v>
      </c>
      <c r="J709">
        <v>17</v>
      </c>
      <c r="K709">
        <v>23</v>
      </c>
      <c r="L709">
        <v>19</v>
      </c>
      <c r="M709" t="s">
        <v>155</v>
      </c>
      <c r="N709">
        <v>3350</v>
      </c>
      <c r="O709">
        <v>4</v>
      </c>
      <c r="P709">
        <v>4</v>
      </c>
      <c r="Q709">
        <v>520</v>
      </c>
      <c r="R709">
        <v>383</v>
      </c>
      <c r="S709">
        <v>459</v>
      </c>
      <c r="U709">
        <v>7250</v>
      </c>
      <c r="V709" t="s">
        <v>30</v>
      </c>
      <c r="W709" t="s">
        <v>528</v>
      </c>
      <c r="X709" t="s">
        <v>524</v>
      </c>
    </row>
    <row r="710" spans="1:24" x14ac:dyDescent="0.25">
      <c r="A710">
        <v>2025</v>
      </c>
      <c r="B710" t="s">
        <v>360</v>
      </c>
      <c r="C710" t="s">
        <v>360</v>
      </c>
      <c r="D710" t="s">
        <v>671</v>
      </c>
      <c r="E710">
        <v>3</v>
      </c>
      <c r="F710">
        <v>6</v>
      </c>
      <c r="G710" t="s">
        <v>648</v>
      </c>
      <c r="H710">
        <v>8</v>
      </c>
      <c r="I710" t="s">
        <v>46</v>
      </c>
      <c r="J710">
        <v>17</v>
      </c>
      <c r="K710">
        <v>24</v>
      </c>
      <c r="L710">
        <v>20</v>
      </c>
      <c r="M710" t="s">
        <v>155</v>
      </c>
      <c r="N710">
        <v>3200</v>
      </c>
      <c r="O710">
        <v>4</v>
      </c>
      <c r="P710">
        <v>4</v>
      </c>
      <c r="Q710">
        <v>490</v>
      </c>
      <c r="R710">
        <v>361</v>
      </c>
      <c r="S710">
        <v>432</v>
      </c>
      <c r="U710">
        <v>6500</v>
      </c>
      <c r="V710" t="s">
        <v>30</v>
      </c>
      <c r="W710" t="s">
        <v>528</v>
      </c>
      <c r="X710" t="s">
        <v>524</v>
      </c>
    </row>
    <row r="711" spans="1:24" x14ac:dyDescent="0.25">
      <c r="A711">
        <v>2025</v>
      </c>
      <c r="B711" t="s">
        <v>360</v>
      </c>
      <c r="C711" t="s">
        <v>360</v>
      </c>
      <c r="D711" t="s">
        <v>670</v>
      </c>
      <c r="E711">
        <v>3</v>
      </c>
      <c r="F711">
        <v>6</v>
      </c>
      <c r="G711" t="s">
        <v>648</v>
      </c>
      <c r="H711">
        <v>8</v>
      </c>
      <c r="I711" t="s">
        <v>46</v>
      </c>
      <c r="J711">
        <v>17</v>
      </c>
      <c r="K711">
        <v>24</v>
      </c>
      <c r="L711">
        <v>20</v>
      </c>
      <c r="M711" t="s">
        <v>155</v>
      </c>
      <c r="N711">
        <v>3200</v>
      </c>
      <c r="O711">
        <v>4</v>
      </c>
      <c r="P711">
        <v>4</v>
      </c>
      <c r="Q711">
        <v>500</v>
      </c>
      <c r="R711">
        <v>357</v>
      </c>
      <c r="S711">
        <v>436</v>
      </c>
      <c r="U711">
        <v>6500</v>
      </c>
      <c r="V711" t="s">
        <v>30</v>
      </c>
      <c r="W711" t="s">
        <v>528</v>
      </c>
      <c r="X711" t="s">
        <v>524</v>
      </c>
    </row>
    <row r="712" spans="1:24" x14ac:dyDescent="0.25">
      <c r="A712">
        <v>2025</v>
      </c>
      <c r="B712" t="s">
        <v>360</v>
      </c>
      <c r="C712" t="s">
        <v>360</v>
      </c>
      <c r="D712" t="s">
        <v>669</v>
      </c>
      <c r="E712">
        <v>3</v>
      </c>
      <c r="F712">
        <v>6</v>
      </c>
      <c r="G712" t="s">
        <v>546</v>
      </c>
      <c r="H712">
        <v>6</v>
      </c>
      <c r="I712" t="s">
        <v>46</v>
      </c>
      <c r="J712">
        <v>17</v>
      </c>
      <c r="K712">
        <v>25</v>
      </c>
      <c r="L712">
        <v>20</v>
      </c>
      <c r="M712" t="s">
        <v>155</v>
      </c>
      <c r="N712">
        <v>3200</v>
      </c>
      <c r="O712">
        <v>4</v>
      </c>
      <c r="P712">
        <v>4</v>
      </c>
      <c r="Q712">
        <v>523</v>
      </c>
      <c r="R712">
        <v>356</v>
      </c>
      <c r="S712">
        <v>448</v>
      </c>
      <c r="U712">
        <v>6500</v>
      </c>
      <c r="V712" t="s">
        <v>30</v>
      </c>
      <c r="W712" t="s">
        <v>528</v>
      </c>
      <c r="X712" t="s">
        <v>524</v>
      </c>
    </row>
    <row r="713" spans="1:24" x14ac:dyDescent="0.25">
      <c r="A713">
        <v>2025</v>
      </c>
      <c r="B713" t="s">
        <v>360</v>
      </c>
      <c r="C713" t="s">
        <v>360</v>
      </c>
      <c r="D713" t="s">
        <v>668</v>
      </c>
      <c r="E713">
        <v>3</v>
      </c>
      <c r="F713">
        <v>6</v>
      </c>
      <c r="G713" t="s">
        <v>546</v>
      </c>
      <c r="H713">
        <v>6</v>
      </c>
      <c r="I713" t="s">
        <v>46</v>
      </c>
      <c r="J713">
        <v>17</v>
      </c>
      <c r="K713">
        <v>25</v>
      </c>
      <c r="L713">
        <v>19</v>
      </c>
      <c r="M713" t="s">
        <v>155</v>
      </c>
      <c r="N713">
        <v>3350</v>
      </c>
      <c r="O713">
        <v>4</v>
      </c>
      <c r="P713">
        <v>4</v>
      </c>
      <c r="Q713">
        <v>526</v>
      </c>
      <c r="R713">
        <v>356</v>
      </c>
      <c r="S713">
        <v>469</v>
      </c>
      <c r="U713">
        <v>7250</v>
      </c>
      <c r="V713" t="s">
        <v>30</v>
      </c>
      <c r="W713" t="s">
        <v>528</v>
      </c>
      <c r="X713" t="s">
        <v>524</v>
      </c>
    </row>
    <row r="714" spans="1:24" x14ac:dyDescent="0.25">
      <c r="A714">
        <v>2025</v>
      </c>
      <c r="B714" t="s">
        <v>360</v>
      </c>
      <c r="C714" t="s">
        <v>360</v>
      </c>
      <c r="D714" t="s">
        <v>667</v>
      </c>
      <c r="E714">
        <v>3.6</v>
      </c>
      <c r="F714">
        <v>6</v>
      </c>
      <c r="G714" t="s">
        <v>648</v>
      </c>
      <c r="H714">
        <v>8</v>
      </c>
      <c r="I714" t="s">
        <v>28</v>
      </c>
      <c r="J714">
        <v>17</v>
      </c>
      <c r="K714">
        <v>23</v>
      </c>
      <c r="L714">
        <v>19</v>
      </c>
      <c r="M714" t="s">
        <v>155</v>
      </c>
      <c r="N714">
        <v>3350</v>
      </c>
      <c r="O714">
        <v>4</v>
      </c>
      <c r="P714">
        <v>4</v>
      </c>
      <c r="Q714">
        <v>516</v>
      </c>
      <c r="R714">
        <v>381</v>
      </c>
      <c r="S714">
        <v>468</v>
      </c>
      <c r="U714">
        <v>7250</v>
      </c>
      <c r="V714" t="s">
        <v>30</v>
      </c>
      <c r="W714" t="s">
        <v>528</v>
      </c>
      <c r="X714" t="s">
        <v>524</v>
      </c>
    </row>
    <row r="715" spans="1:24" x14ac:dyDescent="0.25">
      <c r="A715">
        <v>2025</v>
      </c>
      <c r="B715" t="s">
        <v>360</v>
      </c>
      <c r="C715" t="s">
        <v>360</v>
      </c>
      <c r="D715" t="s">
        <v>666</v>
      </c>
      <c r="E715">
        <v>3.7</v>
      </c>
      <c r="F715">
        <v>6</v>
      </c>
      <c r="G715" t="s">
        <v>648</v>
      </c>
      <c r="H715">
        <v>8</v>
      </c>
      <c r="I715" t="s">
        <v>28</v>
      </c>
      <c r="J715">
        <v>14</v>
      </c>
      <c r="K715">
        <v>21</v>
      </c>
      <c r="L715">
        <v>17</v>
      </c>
      <c r="M715" t="s">
        <v>155</v>
      </c>
      <c r="N715">
        <v>3750</v>
      </c>
      <c r="O715">
        <v>3</v>
      </c>
      <c r="P715">
        <v>3</v>
      </c>
      <c r="Q715">
        <v>620</v>
      </c>
      <c r="R715">
        <v>430</v>
      </c>
      <c r="S715">
        <v>534</v>
      </c>
      <c r="U715">
        <v>9250</v>
      </c>
      <c r="V715" t="s">
        <v>633</v>
      </c>
      <c r="W715" t="s">
        <v>528</v>
      </c>
      <c r="X715" t="s">
        <v>524</v>
      </c>
    </row>
    <row r="716" spans="1:24" x14ac:dyDescent="0.25">
      <c r="A716">
        <v>2025</v>
      </c>
      <c r="B716" t="s">
        <v>360</v>
      </c>
      <c r="C716" t="s">
        <v>360</v>
      </c>
      <c r="D716" t="s">
        <v>665</v>
      </c>
      <c r="E716">
        <v>3.7</v>
      </c>
      <c r="F716">
        <v>6</v>
      </c>
      <c r="G716" t="s">
        <v>648</v>
      </c>
      <c r="H716">
        <v>8</v>
      </c>
      <c r="I716" t="s">
        <v>28</v>
      </c>
      <c r="J716">
        <v>14</v>
      </c>
      <c r="K716">
        <v>20</v>
      </c>
      <c r="L716">
        <v>16</v>
      </c>
      <c r="M716" t="s">
        <v>155</v>
      </c>
      <c r="N716">
        <v>4000</v>
      </c>
      <c r="O716">
        <v>3</v>
      </c>
      <c r="P716">
        <v>3</v>
      </c>
      <c r="Q716">
        <v>637</v>
      </c>
      <c r="R716">
        <v>435</v>
      </c>
      <c r="S716">
        <v>546</v>
      </c>
      <c r="U716">
        <v>10500</v>
      </c>
      <c r="V716" t="s">
        <v>633</v>
      </c>
      <c r="W716" t="s">
        <v>528</v>
      </c>
      <c r="X716" t="s">
        <v>524</v>
      </c>
    </row>
    <row r="717" spans="1:24" x14ac:dyDescent="0.25">
      <c r="A717">
        <v>2025</v>
      </c>
      <c r="B717" t="s">
        <v>360</v>
      </c>
      <c r="C717" t="s">
        <v>360</v>
      </c>
      <c r="D717" t="s">
        <v>664</v>
      </c>
      <c r="E717">
        <v>3.7</v>
      </c>
      <c r="F717">
        <v>6</v>
      </c>
      <c r="G717" t="s">
        <v>648</v>
      </c>
      <c r="H717">
        <v>8</v>
      </c>
      <c r="I717" t="s">
        <v>28</v>
      </c>
      <c r="J717">
        <v>14</v>
      </c>
      <c r="K717">
        <v>20</v>
      </c>
      <c r="L717">
        <v>16</v>
      </c>
      <c r="M717" t="s">
        <v>155</v>
      </c>
      <c r="N717">
        <v>4000</v>
      </c>
      <c r="O717">
        <v>3</v>
      </c>
      <c r="P717">
        <v>3</v>
      </c>
      <c r="Q717">
        <v>627</v>
      </c>
      <c r="R717">
        <v>445</v>
      </c>
      <c r="S717">
        <v>556</v>
      </c>
      <c r="U717">
        <v>10500</v>
      </c>
      <c r="V717" t="s">
        <v>633</v>
      </c>
      <c r="W717" t="s">
        <v>528</v>
      </c>
      <c r="X717" t="s">
        <v>524</v>
      </c>
    </row>
    <row r="718" spans="1:24" x14ac:dyDescent="0.25">
      <c r="A718">
        <v>2025</v>
      </c>
      <c r="B718" t="s">
        <v>360</v>
      </c>
      <c r="C718" t="s">
        <v>360</v>
      </c>
      <c r="D718" t="s">
        <v>663</v>
      </c>
      <c r="E718">
        <v>3.7</v>
      </c>
      <c r="F718">
        <v>6</v>
      </c>
      <c r="G718" t="s">
        <v>648</v>
      </c>
      <c r="H718">
        <v>8</v>
      </c>
      <c r="I718" t="s">
        <v>28</v>
      </c>
      <c r="J718">
        <v>14</v>
      </c>
      <c r="K718">
        <v>20</v>
      </c>
      <c r="L718">
        <v>16</v>
      </c>
      <c r="M718" t="s">
        <v>155</v>
      </c>
      <c r="N718">
        <v>4000</v>
      </c>
      <c r="O718">
        <v>3</v>
      </c>
      <c r="P718">
        <v>3</v>
      </c>
      <c r="Q718">
        <v>633</v>
      </c>
      <c r="R718">
        <v>447</v>
      </c>
      <c r="S718">
        <v>549</v>
      </c>
      <c r="U718">
        <v>10500</v>
      </c>
      <c r="V718" t="s">
        <v>633</v>
      </c>
      <c r="W718" t="s">
        <v>528</v>
      </c>
      <c r="X718" t="s">
        <v>524</v>
      </c>
    </row>
    <row r="719" spans="1:24" x14ac:dyDescent="0.25">
      <c r="A719">
        <v>2025</v>
      </c>
      <c r="B719" t="s">
        <v>360</v>
      </c>
      <c r="C719" t="s">
        <v>360</v>
      </c>
      <c r="D719" t="s">
        <v>662</v>
      </c>
      <c r="E719">
        <v>3</v>
      </c>
      <c r="F719">
        <v>6</v>
      </c>
      <c r="G719" t="s">
        <v>526</v>
      </c>
      <c r="H719">
        <v>8</v>
      </c>
      <c r="I719" t="s">
        <v>28</v>
      </c>
      <c r="J719">
        <v>17</v>
      </c>
      <c r="K719">
        <v>23</v>
      </c>
      <c r="L719">
        <v>19</v>
      </c>
      <c r="M719" t="s">
        <v>29</v>
      </c>
      <c r="N719">
        <v>3350</v>
      </c>
      <c r="O719">
        <v>4</v>
      </c>
      <c r="P719">
        <v>4</v>
      </c>
      <c r="Q719">
        <v>524</v>
      </c>
      <c r="R719">
        <v>388</v>
      </c>
      <c r="S719">
        <v>469</v>
      </c>
      <c r="U719">
        <v>7250</v>
      </c>
      <c r="V719" t="s">
        <v>30</v>
      </c>
      <c r="W719" t="s">
        <v>528</v>
      </c>
      <c r="X719" t="s">
        <v>524</v>
      </c>
    </row>
    <row r="720" spans="1:24" x14ac:dyDescent="0.25">
      <c r="A720">
        <v>2025</v>
      </c>
      <c r="B720" t="s">
        <v>360</v>
      </c>
      <c r="C720" t="s">
        <v>360</v>
      </c>
      <c r="D720" t="s">
        <v>661</v>
      </c>
      <c r="E720">
        <v>3</v>
      </c>
      <c r="F720">
        <v>6</v>
      </c>
      <c r="G720" t="s">
        <v>526</v>
      </c>
      <c r="H720">
        <v>8</v>
      </c>
      <c r="I720" t="s">
        <v>28</v>
      </c>
      <c r="J720">
        <v>17</v>
      </c>
      <c r="K720">
        <v>23</v>
      </c>
      <c r="L720">
        <v>19</v>
      </c>
      <c r="M720" t="s">
        <v>29</v>
      </c>
      <c r="N720">
        <v>3350</v>
      </c>
      <c r="O720">
        <v>4</v>
      </c>
      <c r="P720">
        <v>4</v>
      </c>
      <c r="Q720">
        <v>524</v>
      </c>
      <c r="R720">
        <v>386</v>
      </c>
      <c r="S720">
        <v>469</v>
      </c>
      <c r="U720">
        <v>7250</v>
      </c>
      <c r="V720" t="s">
        <v>30</v>
      </c>
      <c r="W720" t="s">
        <v>528</v>
      </c>
      <c r="X720" t="s">
        <v>524</v>
      </c>
    </row>
    <row r="721" spans="1:24" x14ac:dyDescent="0.25">
      <c r="A721">
        <v>2025</v>
      </c>
      <c r="B721" t="s">
        <v>360</v>
      </c>
      <c r="C721" t="s">
        <v>360</v>
      </c>
      <c r="D721" t="s">
        <v>660</v>
      </c>
      <c r="E721">
        <v>4</v>
      </c>
      <c r="F721">
        <v>8</v>
      </c>
      <c r="G721" t="s">
        <v>526</v>
      </c>
      <c r="H721">
        <v>8</v>
      </c>
      <c r="I721" t="s">
        <v>28</v>
      </c>
      <c r="J721">
        <v>15</v>
      </c>
      <c r="K721">
        <v>22</v>
      </c>
      <c r="L721">
        <v>18</v>
      </c>
      <c r="M721" t="s">
        <v>29</v>
      </c>
      <c r="N721">
        <v>3550</v>
      </c>
      <c r="O721">
        <v>4</v>
      </c>
      <c r="P721">
        <v>4</v>
      </c>
      <c r="Q721">
        <v>570</v>
      </c>
      <c r="R721">
        <v>410</v>
      </c>
      <c r="S721">
        <v>498</v>
      </c>
      <c r="U721">
        <v>8250</v>
      </c>
      <c r="V721" t="s">
        <v>30</v>
      </c>
      <c r="W721" t="s">
        <v>528</v>
      </c>
      <c r="X721" t="s">
        <v>524</v>
      </c>
    </row>
    <row r="722" spans="1:24" x14ac:dyDescent="0.25">
      <c r="A722">
        <v>2025</v>
      </c>
      <c r="B722" t="s">
        <v>360</v>
      </c>
      <c r="C722" t="s">
        <v>360</v>
      </c>
      <c r="D722" t="s">
        <v>659</v>
      </c>
      <c r="E722">
        <v>4</v>
      </c>
      <c r="F722">
        <v>8</v>
      </c>
      <c r="G722" t="s">
        <v>526</v>
      </c>
      <c r="H722">
        <v>8</v>
      </c>
      <c r="I722" t="s">
        <v>28</v>
      </c>
      <c r="J722">
        <v>16</v>
      </c>
      <c r="K722">
        <v>22</v>
      </c>
      <c r="L722">
        <v>18</v>
      </c>
      <c r="M722" t="s">
        <v>29</v>
      </c>
      <c r="N722">
        <v>3550</v>
      </c>
      <c r="O722">
        <v>4</v>
      </c>
      <c r="P722">
        <v>4</v>
      </c>
      <c r="Q722">
        <v>557</v>
      </c>
      <c r="R722">
        <v>405</v>
      </c>
      <c r="S722">
        <v>489</v>
      </c>
      <c r="U722">
        <v>8250</v>
      </c>
      <c r="V722" t="s">
        <v>30</v>
      </c>
      <c r="W722" t="s">
        <v>528</v>
      </c>
      <c r="X722" t="s">
        <v>524</v>
      </c>
    </row>
    <row r="723" spans="1:24" x14ac:dyDescent="0.25">
      <c r="A723">
        <v>2025</v>
      </c>
      <c r="B723" t="s">
        <v>360</v>
      </c>
      <c r="C723" t="s">
        <v>360</v>
      </c>
      <c r="D723" t="s">
        <v>658</v>
      </c>
      <c r="E723">
        <v>4</v>
      </c>
      <c r="F723">
        <v>8</v>
      </c>
      <c r="G723" t="s">
        <v>526</v>
      </c>
      <c r="H723">
        <v>8</v>
      </c>
      <c r="I723" t="s">
        <v>28</v>
      </c>
      <c r="J723">
        <v>16</v>
      </c>
      <c r="K723">
        <v>21</v>
      </c>
      <c r="L723">
        <v>18</v>
      </c>
      <c r="M723" t="s">
        <v>29</v>
      </c>
      <c r="N723">
        <v>3550</v>
      </c>
      <c r="O723">
        <v>4</v>
      </c>
      <c r="P723">
        <v>4</v>
      </c>
      <c r="Q723">
        <v>549</v>
      </c>
      <c r="R723">
        <v>423</v>
      </c>
      <c r="S723">
        <v>492</v>
      </c>
      <c r="U723">
        <v>8250</v>
      </c>
      <c r="V723" t="s">
        <v>30</v>
      </c>
      <c r="W723" t="s">
        <v>528</v>
      </c>
      <c r="X723" t="s">
        <v>524</v>
      </c>
    </row>
    <row r="724" spans="1:24" x14ac:dyDescent="0.25">
      <c r="A724">
        <v>2025</v>
      </c>
      <c r="B724" t="s">
        <v>360</v>
      </c>
      <c r="C724" t="s">
        <v>360</v>
      </c>
      <c r="D724" t="s">
        <v>657</v>
      </c>
      <c r="E724">
        <v>4</v>
      </c>
      <c r="F724">
        <v>8</v>
      </c>
      <c r="G724" t="s">
        <v>526</v>
      </c>
      <c r="H724">
        <v>8</v>
      </c>
      <c r="I724" t="s">
        <v>28</v>
      </c>
      <c r="J724">
        <v>16</v>
      </c>
      <c r="K724">
        <v>21</v>
      </c>
      <c r="L724">
        <v>18</v>
      </c>
      <c r="M724" t="s">
        <v>29</v>
      </c>
      <c r="N724">
        <v>3550</v>
      </c>
      <c r="O724">
        <v>4</v>
      </c>
      <c r="P724">
        <v>4</v>
      </c>
      <c r="Q724">
        <v>549</v>
      </c>
      <c r="R724">
        <v>423</v>
      </c>
      <c r="S724">
        <v>492</v>
      </c>
      <c r="U724">
        <v>8250</v>
      </c>
      <c r="V724" t="s">
        <v>30</v>
      </c>
      <c r="W724" t="s">
        <v>528</v>
      </c>
      <c r="X724" t="s">
        <v>524</v>
      </c>
    </row>
    <row r="725" spans="1:24" x14ac:dyDescent="0.25">
      <c r="A725">
        <v>2025</v>
      </c>
      <c r="B725" t="s">
        <v>360</v>
      </c>
      <c r="C725" t="s">
        <v>360</v>
      </c>
      <c r="D725" t="s">
        <v>656</v>
      </c>
      <c r="E725">
        <v>4</v>
      </c>
      <c r="F725">
        <v>8</v>
      </c>
      <c r="G725" t="s">
        <v>526</v>
      </c>
      <c r="H725">
        <v>8</v>
      </c>
      <c r="I725" t="s">
        <v>28</v>
      </c>
      <c r="J725">
        <v>15</v>
      </c>
      <c r="K725">
        <v>20</v>
      </c>
      <c r="L725">
        <v>17</v>
      </c>
      <c r="M725" t="s">
        <v>29</v>
      </c>
      <c r="N725">
        <v>3750</v>
      </c>
      <c r="O725">
        <v>3</v>
      </c>
      <c r="P725">
        <v>3</v>
      </c>
      <c r="Q725">
        <v>583</v>
      </c>
      <c r="R725">
        <v>444</v>
      </c>
      <c r="S725">
        <v>521</v>
      </c>
      <c r="U725">
        <v>9250</v>
      </c>
      <c r="V725" t="s">
        <v>30</v>
      </c>
      <c r="W725" t="s">
        <v>528</v>
      </c>
      <c r="X725" t="s">
        <v>524</v>
      </c>
    </row>
    <row r="726" spans="1:24" x14ac:dyDescent="0.25">
      <c r="A726">
        <v>2025</v>
      </c>
      <c r="B726" t="s">
        <v>360</v>
      </c>
      <c r="C726" t="s">
        <v>360</v>
      </c>
      <c r="D726" t="s">
        <v>655</v>
      </c>
      <c r="E726">
        <v>2</v>
      </c>
      <c r="F726">
        <v>4</v>
      </c>
      <c r="G726" t="s">
        <v>543</v>
      </c>
      <c r="H726">
        <v>7</v>
      </c>
      <c r="I726" t="s">
        <v>28</v>
      </c>
      <c r="J726">
        <v>19</v>
      </c>
      <c r="K726">
        <v>25</v>
      </c>
      <c r="L726">
        <v>21</v>
      </c>
      <c r="M726" t="s">
        <v>118</v>
      </c>
      <c r="N726">
        <v>3050</v>
      </c>
      <c r="O726">
        <v>4</v>
      </c>
      <c r="P726">
        <v>4</v>
      </c>
      <c r="Q726">
        <v>468</v>
      </c>
      <c r="R726">
        <v>352</v>
      </c>
      <c r="S726">
        <v>424</v>
      </c>
      <c r="U726">
        <v>5750</v>
      </c>
      <c r="V726" t="s">
        <v>30</v>
      </c>
      <c r="W726" t="s">
        <v>528</v>
      </c>
      <c r="X726" t="s">
        <v>524</v>
      </c>
    </row>
    <row r="727" spans="1:24" x14ac:dyDescent="0.25">
      <c r="A727">
        <v>2025</v>
      </c>
      <c r="B727" t="s">
        <v>360</v>
      </c>
      <c r="C727" t="s">
        <v>360</v>
      </c>
      <c r="D727" t="s">
        <v>654</v>
      </c>
      <c r="E727">
        <v>2.9</v>
      </c>
      <c r="F727">
        <v>6</v>
      </c>
      <c r="G727" t="s">
        <v>543</v>
      </c>
      <c r="H727">
        <v>7</v>
      </c>
      <c r="I727" t="s">
        <v>28</v>
      </c>
      <c r="J727">
        <v>17</v>
      </c>
      <c r="K727">
        <v>22</v>
      </c>
      <c r="L727">
        <v>19</v>
      </c>
      <c r="M727" t="s">
        <v>118</v>
      </c>
      <c r="N727">
        <v>3350</v>
      </c>
      <c r="O727">
        <v>4</v>
      </c>
      <c r="P727">
        <v>4</v>
      </c>
      <c r="Q727">
        <v>506</v>
      </c>
      <c r="R727">
        <v>403</v>
      </c>
      <c r="S727">
        <v>466</v>
      </c>
      <c r="U727">
        <v>7250</v>
      </c>
      <c r="V727" t="s">
        <v>30</v>
      </c>
      <c r="W727" t="s">
        <v>528</v>
      </c>
      <c r="X727" t="s">
        <v>524</v>
      </c>
    </row>
    <row r="728" spans="1:24" x14ac:dyDescent="0.25">
      <c r="A728">
        <v>2025</v>
      </c>
      <c r="B728" t="s">
        <v>360</v>
      </c>
      <c r="C728" t="s">
        <v>360</v>
      </c>
      <c r="D728" t="s">
        <v>653</v>
      </c>
      <c r="E728">
        <v>2.9</v>
      </c>
      <c r="F728">
        <v>6</v>
      </c>
      <c r="G728" t="s">
        <v>543</v>
      </c>
      <c r="H728">
        <v>7</v>
      </c>
      <c r="I728" t="s">
        <v>28</v>
      </c>
      <c r="J728">
        <v>17</v>
      </c>
      <c r="K728">
        <v>23</v>
      </c>
      <c r="L728">
        <v>19</v>
      </c>
      <c r="M728" t="s">
        <v>118</v>
      </c>
      <c r="N728">
        <v>3350</v>
      </c>
      <c r="O728">
        <v>4</v>
      </c>
      <c r="P728">
        <v>4</v>
      </c>
      <c r="Q728">
        <v>520</v>
      </c>
      <c r="R728">
        <v>381</v>
      </c>
      <c r="S728">
        <v>466</v>
      </c>
      <c r="U728">
        <v>7250</v>
      </c>
      <c r="V728" t="s">
        <v>30</v>
      </c>
      <c r="W728" t="s">
        <v>528</v>
      </c>
      <c r="X728" t="s">
        <v>524</v>
      </c>
    </row>
    <row r="729" spans="1:24" x14ac:dyDescent="0.25">
      <c r="A729">
        <v>2025</v>
      </c>
      <c r="B729" t="s">
        <v>360</v>
      </c>
      <c r="C729" t="s">
        <v>360</v>
      </c>
      <c r="D729" t="s">
        <v>652</v>
      </c>
      <c r="E729">
        <v>2</v>
      </c>
      <c r="F729">
        <v>4</v>
      </c>
      <c r="G729" t="s">
        <v>543</v>
      </c>
      <c r="H729">
        <v>7</v>
      </c>
      <c r="I729" t="s">
        <v>28</v>
      </c>
      <c r="J729">
        <v>19</v>
      </c>
      <c r="K729">
        <v>25</v>
      </c>
      <c r="L729">
        <v>21</v>
      </c>
      <c r="M729" t="s">
        <v>118</v>
      </c>
      <c r="N729">
        <v>3050</v>
      </c>
      <c r="O729">
        <v>4</v>
      </c>
      <c r="P729">
        <v>4</v>
      </c>
      <c r="Q729">
        <v>463</v>
      </c>
      <c r="R729">
        <v>361</v>
      </c>
      <c r="S729">
        <v>417</v>
      </c>
      <c r="U729">
        <v>5750</v>
      </c>
      <c r="V729" t="s">
        <v>30</v>
      </c>
      <c r="W729" t="s">
        <v>528</v>
      </c>
      <c r="X729" t="s">
        <v>524</v>
      </c>
    </row>
    <row r="730" spans="1:24" x14ac:dyDescent="0.25">
      <c r="A730">
        <v>2025</v>
      </c>
      <c r="B730" t="s">
        <v>360</v>
      </c>
      <c r="C730" t="s">
        <v>360</v>
      </c>
      <c r="D730" t="s">
        <v>651</v>
      </c>
      <c r="E730">
        <v>2.9</v>
      </c>
      <c r="F730">
        <v>6</v>
      </c>
      <c r="G730" t="s">
        <v>648</v>
      </c>
      <c r="H730">
        <v>8</v>
      </c>
      <c r="I730" t="s">
        <v>46</v>
      </c>
      <c r="J730">
        <v>18</v>
      </c>
      <c r="K730">
        <v>25</v>
      </c>
      <c r="L730">
        <v>21</v>
      </c>
      <c r="M730" t="s">
        <v>95</v>
      </c>
      <c r="N730">
        <v>3050</v>
      </c>
      <c r="O730">
        <v>4</v>
      </c>
      <c r="P730">
        <v>4</v>
      </c>
      <c r="Q730">
        <v>493</v>
      </c>
      <c r="R730">
        <v>355</v>
      </c>
      <c r="S730">
        <v>431</v>
      </c>
      <c r="U730">
        <v>5750</v>
      </c>
      <c r="V730" t="s">
        <v>30</v>
      </c>
      <c r="W730" t="s">
        <v>528</v>
      </c>
      <c r="X730" t="s">
        <v>524</v>
      </c>
    </row>
    <row r="731" spans="1:24" x14ac:dyDescent="0.25">
      <c r="A731">
        <v>2025</v>
      </c>
      <c r="B731" t="s">
        <v>360</v>
      </c>
      <c r="C731" t="s">
        <v>360</v>
      </c>
      <c r="D731" t="s">
        <v>650</v>
      </c>
      <c r="E731">
        <v>2.9</v>
      </c>
      <c r="F731">
        <v>6</v>
      </c>
      <c r="G731" t="s">
        <v>648</v>
      </c>
      <c r="H731">
        <v>8</v>
      </c>
      <c r="I731" t="s">
        <v>28</v>
      </c>
      <c r="J731">
        <v>18</v>
      </c>
      <c r="K731">
        <v>25</v>
      </c>
      <c r="L731">
        <v>21</v>
      </c>
      <c r="M731" t="s">
        <v>95</v>
      </c>
      <c r="N731">
        <v>3050</v>
      </c>
      <c r="O731">
        <v>4</v>
      </c>
      <c r="P731">
        <v>4</v>
      </c>
      <c r="Q731">
        <v>496</v>
      </c>
      <c r="R731">
        <v>356</v>
      </c>
      <c r="S731">
        <v>425</v>
      </c>
      <c r="U731">
        <v>5750</v>
      </c>
      <c r="V731" t="s">
        <v>30</v>
      </c>
      <c r="W731" t="s">
        <v>528</v>
      </c>
      <c r="X731" t="s">
        <v>524</v>
      </c>
    </row>
    <row r="732" spans="1:24" x14ac:dyDescent="0.25">
      <c r="A732">
        <v>2025</v>
      </c>
      <c r="B732" t="s">
        <v>360</v>
      </c>
      <c r="C732" t="s">
        <v>360</v>
      </c>
      <c r="D732" t="s">
        <v>649</v>
      </c>
      <c r="E732">
        <v>4</v>
      </c>
      <c r="F732">
        <v>8</v>
      </c>
      <c r="G732" t="s">
        <v>648</v>
      </c>
      <c r="H732">
        <v>8</v>
      </c>
      <c r="I732" t="s">
        <v>28</v>
      </c>
      <c r="J732">
        <v>16</v>
      </c>
      <c r="K732">
        <v>24</v>
      </c>
      <c r="L732">
        <v>18</v>
      </c>
      <c r="M732" t="s">
        <v>95</v>
      </c>
      <c r="N732">
        <v>3550</v>
      </c>
      <c r="O732">
        <v>4</v>
      </c>
      <c r="P732">
        <v>4</v>
      </c>
      <c r="Q732">
        <v>557</v>
      </c>
      <c r="R732">
        <v>372</v>
      </c>
      <c r="S732">
        <v>495</v>
      </c>
      <c r="U732">
        <v>8250</v>
      </c>
      <c r="V732" t="s">
        <v>30</v>
      </c>
      <c r="W732" t="s">
        <v>528</v>
      </c>
      <c r="X732" t="s">
        <v>524</v>
      </c>
    </row>
    <row r="733" spans="1:24" x14ac:dyDescent="0.25">
      <c r="A733">
        <v>2025</v>
      </c>
      <c r="B733" t="s">
        <v>143</v>
      </c>
      <c r="C733" t="s">
        <v>643</v>
      </c>
      <c r="D733" t="s">
        <v>647</v>
      </c>
      <c r="E733">
        <v>3</v>
      </c>
      <c r="F733">
        <v>6</v>
      </c>
      <c r="G733" t="s">
        <v>641</v>
      </c>
      <c r="H733">
        <v>8</v>
      </c>
      <c r="I733" t="s">
        <v>46</v>
      </c>
      <c r="J733">
        <v>18</v>
      </c>
      <c r="K733">
        <v>25</v>
      </c>
      <c r="L733">
        <v>21</v>
      </c>
      <c r="M733" t="s">
        <v>463</v>
      </c>
      <c r="N733">
        <v>2500</v>
      </c>
      <c r="O733">
        <v>4</v>
      </c>
      <c r="P733">
        <v>4</v>
      </c>
      <c r="Q733">
        <v>497</v>
      </c>
      <c r="R733">
        <v>356</v>
      </c>
      <c r="S733">
        <v>433</v>
      </c>
      <c r="U733">
        <v>3000</v>
      </c>
      <c r="V733" t="s">
        <v>30</v>
      </c>
      <c r="W733" t="s">
        <v>528</v>
      </c>
      <c r="X733" t="s">
        <v>524</v>
      </c>
    </row>
    <row r="734" spans="1:24" x14ac:dyDescent="0.25">
      <c r="A734">
        <v>2025</v>
      </c>
      <c r="B734" t="s">
        <v>143</v>
      </c>
      <c r="C734" t="s">
        <v>643</v>
      </c>
      <c r="D734" t="s">
        <v>647</v>
      </c>
      <c r="E734">
        <v>3.6</v>
      </c>
      <c r="F734">
        <v>6</v>
      </c>
      <c r="G734" t="s">
        <v>641</v>
      </c>
      <c r="H734">
        <v>8</v>
      </c>
      <c r="I734" t="s">
        <v>46</v>
      </c>
      <c r="J734">
        <v>20</v>
      </c>
      <c r="K734">
        <v>25</v>
      </c>
      <c r="L734">
        <v>22</v>
      </c>
      <c r="M734" t="s">
        <v>463</v>
      </c>
      <c r="N734">
        <v>2400</v>
      </c>
      <c r="O734">
        <v>5</v>
      </c>
      <c r="P734">
        <v>5</v>
      </c>
      <c r="Q734">
        <v>451</v>
      </c>
      <c r="R734">
        <v>353</v>
      </c>
      <c r="S734">
        <v>407</v>
      </c>
      <c r="U734">
        <v>2500</v>
      </c>
      <c r="V734" t="s">
        <v>30</v>
      </c>
      <c r="W734" t="s">
        <v>558</v>
      </c>
      <c r="X734" t="s">
        <v>524</v>
      </c>
    </row>
    <row r="735" spans="1:24" x14ac:dyDescent="0.25">
      <c r="A735">
        <v>2025</v>
      </c>
      <c r="B735" t="s">
        <v>143</v>
      </c>
      <c r="C735" t="s">
        <v>643</v>
      </c>
      <c r="D735" t="s">
        <v>646</v>
      </c>
      <c r="E735">
        <v>3</v>
      </c>
      <c r="F735">
        <v>6</v>
      </c>
      <c r="G735" t="s">
        <v>641</v>
      </c>
      <c r="H735">
        <v>8</v>
      </c>
      <c r="I735" t="s">
        <v>107</v>
      </c>
      <c r="J735">
        <v>17</v>
      </c>
      <c r="K735">
        <v>24</v>
      </c>
      <c r="L735">
        <v>19</v>
      </c>
      <c r="M735" t="s">
        <v>135</v>
      </c>
      <c r="N735">
        <v>2750</v>
      </c>
      <c r="O735">
        <v>4</v>
      </c>
      <c r="P735">
        <v>4</v>
      </c>
      <c r="Q735">
        <v>529</v>
      </c>
      <c r="R735">
        <v>370</v>
      </c>
      <c r="S735">
        <v>458</v>
      </c>
      <c r="U735">
        <v>4250</v>
      </c>
      <c r="V735" t="s">
        <v>30</v>
      </c>
      <c r="W735" t="s">
        <v>528</v>
      </c>
      <c r="X735" t="s">
        <v>524</v>
      </c>
    </row>
    <row r="736" spans="1:24" x14ac:dyDescent="0.25">
      <c r="A736">
        <v>2025</v>
      </c>
      <c r="B736" t="s">
        <v>143</v>
      </c>
      <c r="C736" t="s">
        <v>643</v>
      </c>
      <c r="D736" t="s">
        <v>646</v>
      </c>
      <c r="E736">
        <v>3.6</v>
      </c>
      <c r="F736">
        <v>6</v>
      </c>
      <c r="G736" t="s">
        <v>641</v>
      </c>
      <c r="H736">
        <v>8</v>
      </c>
      <c r="I736" t="s">
        <v>107</v>
      </c>
      <c r="J736">
        <v>19</v>
      </c>
      <c r="K736">
        <v>24</v>
      </c>
      <c r="L736">
        <v>21</v>
      </c>
      <c r="M736" t="s">
        <v>135</v>
      </c>
      <c r="N736">
        <v>2500</v>
      </c>
      <c r="O736">
        <v>4</v>
      </c>
      <c r="P736">
        <v>4</v>
      </c>
      <c r="Q736">
        <v>458</v>
      </c>
      <c r="R736">
        <v>367</v>
      </c>
      <c r="S736">
        <v>417</v>
      </c>
      <c r="U736">
        <v>3000</v>
      </c>
      <c r="V736" t="s">
        <v>30</v>
      </c>
      <c r="W736" t="s">
        <v>558</v>
      </c>
      <c r="X736" t="s">
        <v>524</v>
      </c>
    </row>
    <row r="737" spans="1:24" x14ac:dyDescent="0.25">
      <c r="A737">
        <v>2025</v>
      </c>
      <c r="B737" t="s">
        <v>143</v>
      </c>
      <c r="C737" t="s">
        <v>643</v>
      </c>
      <c r="D737" t="s">
        <v>645</v>
      </c>
      <c r="E737">
        <v>3.6</v>
      </c>
      <c r="F737">
        <v>6</v>
      </c>
      <c r="G737" t="s">
        <v>641</v>
      </c>
      <c r="H737">
        <v>8</v>
      </c>
      <c r="I737" t="s">
        <v>46</v>
      </c>
      <c r="J737">
        <v>20</v>
      </c>
      <c r="K737">
        <v>26</v>
      </c>
      <c r="L737">
        <v>23</v>
      </c>
      <c r="M737" t="s">
        <v>463</v>
      </c>
      <c r="N737">
        <v>2300</v>
      </c>
      <c r="O737">
        <v>5</v>
      </c>
      <c r="P737">
        <v>5</v>
      </c>
      <c r="Q737">
        <v>438</v>
      </c>
      <c r="R737">
        <v>340</v>
      </c>
      <c r="S737">
        <v>394</v>
      </c>
      <c r="U737">
        <v>2000</v>
      </c>
      <c r="V737" t="s">
        <v>30</v>
      </c>
      <c r="W737" t="s">
        <v>558</v>
      </c>
      <c r="X737" t="s">
        <v>524</v>
      </c>
    </row>
    <row r="738" spans="1:24" x14ac:dyDescent="0.25">
      <c r="A738">
        <v>2025</v>
      </c>
      <c r="B738" t="s">
        <v>143</v>
      </c>
      <c r="C738" t="s">
        <v>643</v>
      </c>
      <c r="D738" t="s">
        <v>644</v>
      </c>
      <c r="E738">
        <v>3</v>
      </c>
      <c r="F738">
        <v>6</v>
      </c>
      <c r="G738" t="s">
        <v>641</v>
      </c>
      <c r="H738">
        <v>8</v>
      </c>
      <c r="I738" t="s">
        <v>107</v>
      </c>
      <c r="J738">
        <v>15</v>
      </c>
      <c r="K738">
        <v>21</v>
      </c>
      <c r="L738">
        <v>17</v>
      </c>
      <c r="M738" t="s">
        <v>135</v>
      </c>
      <c r="N738">
        <v>3750</v>
      </c>
      <c r="O738">
        <v>3</v>
      </c>
      <c r="P738">
        <v>3</v>
      </c>
      <c r="Q738">
        <v>593</v>
      </c>
      <c r="R738">
        <v>434</v>
      </c>
      <c r="S738">
        <v>521</v>
      </c>
      <c r="U738">
        <v>9250</v>
      </c>
      <c r="V738" t="s">
        <v>30</v>
      </c>
      <c r="W738" t="s">
        <v>528</v>
      </c>
      <c r="X738" t="s">
        <v>524</v>
      </c>
    </row>
    <row r="739" spans="1:24" x14ac:dyDescent="0.25">
      <c r="A739">
        <v>2025</v>
      </c>
      <c r="B739" t="s">
        <v>143</v>
      </c>
      <c r="C739" t="s">
        <v>643</v>
      </c>
      <c r="D739" t="s">
        <v>642</v>
      </c>
      <c r="E739">
        <v>3</v>
      </c>
      <c r="F739">
        <v>6</v>
      </c>
      <c r="G739" t="s">
        <v>641</v>
      </c>
      <c r="H739">
        <v>8</v>
      </c>
      <c r="I739" t="s">
        <v>107</v>
      </c>
      <c r="J739">
        <v>14</v>
      </c>
      <c r="K739">
        <v>16</v>
      </c>
      <c r="L739">
        <v>15</v>
      </c>
      <c r="M739" t="s">
        <v>135</v>
      </c>
      <c r="N739">
        <v>4250</v>
      </c>
      <c r="O739">
        <v>2</v>
      </c>
      <c r="P739">
        <v>2</v>
      </c>
      <c r="Q739">
        <v>634</v>
      </c>
      <c r="R739">
        <v>564</v>
      </c>
      <c r="S739">
        <v>602</v>
      </c>
      <c r="U739">
        <v>11750</v>
      </c>
      <c r="V739" t="s">
        <v>30</v>
      </c>
      <c r="W739" t="s">
        <v>528</v>
      </c>
      <c r="X739" t="s">
        <v>524</v>
      </c>
    </row>
    <row r="740" spans="1:24" x14ac:dyDescent="0.25">
      <c r="A740">
        <v>2025</v>
      </c>
      <c r="B740" t="s">
        <v>450</v>
      </c>
      <c r="C740" t="s">
        <v>451</v>
      </c>
      <c r="D740" t="s">
        <v>640</v>
      </c>
      <c r="E740">
        <v>6.7</v>
      </c>
      <c r="F740">
        <v>12</v>
      </c>
      <c r="G740" t="s">
        <v>526</v>
      </c>
      <c r="H740">
        <v>8</v>
      </c>
      <c r="I740" t="s">
        <v>28</v>
      </c>
      <c r="J740">
        <v>12</v>
      </c>
      <c r="K740">
        <v>19</v>
      </c>
      <c r="L740">
        <v>14</v>
      </c>
      <c r="M740" t="s">
        <v>29</v>
      </c>
      <c r="N740">
        <v>4550</v>
      </c>
      <c r="O740">
        <v>2</v>
      </c>
      <c r="P740">
        <v>2</v>
      </c>
      <c r="Q740">
        <v>732</v>
      </c>
      <c r="R740">
        <v>459</v>
      </c>
      <c r="S740">
        <v>609</v>
      </c>
      <c r="U740">
        <v>13250</v>
      </c>
      <c r="V740" t="s">
        <v>30</v>
      </c>
      <c r="W740" t="s">
        <v>528</v>
      </c>
      <c r="X740" t="s">
        <v>565</v>
      </c>
    </row>
    <row r="741" spans="1:24" x14ac:dyDescent="0.25">
      <c r="A741">
        <v>2025</v>
      </c>
      <c r="B741" t="s">
        <v>450</v>
      </c>
      <c r="C741" t="s">
        <v>451</v>
      </c>
      <c r="D741" t="s">
        <v>639</v>
      </c>
      <c r="E741">
        <v>6.7</v>
      </c>
      <c r="F741">
        <v>12</v>
      </c>
      <c r="G741" t="s">
        <v>526</v>
      </c>
      <c r="H741">
        <v>8</v>
      </c>
      <c r="I741" t="s">
        <v>28</v>
      </c>
      <c r="J741">
        <v>12</v>
      </c>
      <c r="K741">
        <v>19</v>
      </c>
      <c r="L741">
        <v>14</v>
      </c>
      <c r="M741" t="s">
        <v>95</v>
      </c>
      <c r="N741">
        <v>4550</v>
      </c>
      <c r="O741">
        <v>2</v>
      </c>
      <c r="P741">
        <v>2</v>
      </c>
      <c r="Q741">
        <v>732</v>
      </c>
      <c r="R741">
        <v>459</v>
      </c>
      <c r="S741">
        <v>609</v>
      </c>
      <c r="U741">
        <v>13250</v>
      </c>
      <c r="V741" t="s">
        <v>633</v>
      </c>
      <c r="W741" t="s">
        <v>528</v>
      </c>
      <c r="X741" t="s">
        <v>565</v>
      </c>
    </row>
    <row r="742" spans="1:24" x14ac:dyDescent="0.25">
      <c r="A742">
        <v>2025</v>
      </c>
      <c r="B742" t="s">
        <v>450</v>
      </c>
      <c r="C742" t="s">
        <v>451</v>
      </c>
      <c r="D742" t="s">
        <v>638</v>
      </c>
      <c r="E742">
        <v>6.7</v>
      </c>
      <c r="F742">
        <v>12</v>
      </c>
      <c r="G742" t="s">
        <v>526</v>
      </c>
      <c r="H742">
        <v>8</v>
      </c>
      <c r="I742" t="s">
        <v>28</v>
      </c>
      <c r="J742">
        <v>12</v>
      </c>
      <c r="K742">
        <v>19</v>
      </c>
      <c r="L742">
        <v>14</v>
      </c>
      <c r="M742" t="s">
        <v>29</v>
      </c>
      <c r="N742">
        <v>4550</v>
      </c>
      <c r="O742">
        <v>2</v>
      </c>
      <c r="P742">
        <v>2</v>
      </c>
      <c r="Q742">
        <v>732</v>
      </c>
      <c r="R742">
        <v>459</v>
      </c>
      <c r="S742">
        <v>609</v>
      </c>
      <c r="U742">
        <v>13250</v>
      </c>
      <c r="V742" t="s">
        <v>30</v>
      </c>
      <c r="W742" t="s">
        <v>528</v>
      </c>
      <c r="X742" t="s">
        <v>565</v>
      </c>
    </row>
    <row r="743" spans="1:24" x14ac:dyDescent="0.25">
      <c r="A743">
        <v>2025</v>
      </c>
      <c r="B743" t="s">
        <v>450</v>
      </c>
      <c r="C743" t="s">
        <v>451</v>
      </c>
      <c r="D743" t="s">
        <v>637</v>
      </c>
      <c r="E743">
        <v>6.7</v>
      </c>
      <c r="F743">
        <v>12</v>
      </c>
      <c r="G743" t="s">
        <v>526</v>
      </c>
      <c r="H743">
        <v>8</v>
      </c>
      <c r="I743" t="s">
        <v>28</v>
      </c>
      <c r="J743">
        <v>12</v>
      </c>
      <c r="K743">
        <v>19</v>
      </c>
      <c r="L743">
        <v>14</v>
      </c>
      <c r="M743" t="s">
        <v>95</v>
      </c>
      <c r="N743">
        <v>4550</v>
      </c>
      <c r="O743">
        <v>2</v>
      </c>
      <c r="P743">
        <v>2</v>
      </c>
      <c r="Q743">
        <v>732</v>
      </c>
      <c r="R743">
        <v>459</v>
      </c>
      <c r="S743">
        <v>609</v>
      </c>
      <c r="U743">
        <v>13250</v>
      </c>
      <c r="V743" t="s">
        <v>633</v>
      </c>
      <c r="W743" t="s">
        <v>528</v>
      </c>
      <c r="X743" t="s">
        <v>565</v>
      </c>
    </row>
    <row r="744" spans="1:24" x14ac:dyDescent="0.25">
      <c r="A744">
        <v>2025</v>
      </c>
      <c r="B744" t="s">
        <v>450</v>
      </c>
      <c r="C744" t="s">
        <v>451</v>
      </c>
      <c r="D744" t="s">
        <v>636</v>
      </c>
      <c r="E744">
        <v>6.7</v>
      </c>
      <c r="F744">
        <v>12</v>
      </c>
      <c r="G744" t="s">
        <v>526</v>
      </c>
      <c r="H744">
        <v>8</v>
      </c>
      <c r="I744" t="s">
        <v>28</v>
      </c>
      <c r="J744">
        <v>12</v>
      </c>
      <c r="K744">
        <v>19</v>
      </c>
      <c r="L744">
        <v>14</v>
      </c>
      <c r="M744" t="s">
        <v>95</v>
      </c>
      <c r="N744">
        <v>4550</v>
      </c>
      <c r="O744">
        <v>2</v>
      </c>
      <c r="P744">
        <v>2</v>
      </c>
      <c r="Q744">
        <v>732</v>
      </c>
      <c r="R744">
        <v>459</v>
      </c>
      <c r="S744">
        <v>609</v>
      </c>
      <c r="U744">
        <v>13250</v>
      </c>
      <c r="V744" t="s">
        <v>633</v>
      </c>
      <c r="W744" t="s">
        <v>528</v>
      </c>
      <c r="X744" t="s">
        <v>565</v>
      </c>
    </row>
    <row r="745" spans="1:24" x14ac:dyDescent="0.25">
      <c r="A745">
        <v>2025</v>
      </c>
      <c r="B745" t="s">
        <v>450</v>
      </c>
      <c r="C745" t="s">
        <v>451</v>
      </c>
      <c r="D745" t="s">
        <v>635</v>
      </c>
      <c r="E745">
        <v>6.7</v>
      </c>
      <c r="F745">
        <v>12</v>
      </c>
      <c r="G745" t="s">
        <v>526</v>
      </c>
      <c r="H745">
        <v>8</v>
      </c>
      <c r="I745" t="s">
        <v>46</v>
      </c>
      <c r="J745">
        <v>12</v>
      </c>
      <c r="K745">
        <v>19</v>
      </c>
      <c r="L745">
        <v>14</v>
      </c>
      <c r="M745" t="s">
        <v>95</v>
      </c>
      <c r="N745">
        <v>4550</v>
      </c>
      <c r="O745">
        <v>2</v>
      </c>
      <c r="P745">
        <v>2</v>
      </c>
      <c r="Q745">
        <v>732</v>
      </c>
      <c r="R745">
        <v>459</v>
      </c>
      <c r="S745">
        <v>609</v>
      </c>
      <c r="U745">
        <v>13250</v>
      </c>
      <c r="V745" t="s">
        <v>633</v>
      </c>
      <c r="W745" t="s">
        <v>528</v>
      </c>
      <c r="X745" t="s">
        <v>565</v>
      </c>
    </row>
    <row r="746" spans="1:24" x14ac:dyDescent="0.25">
      <c r="A746">
        <v>2025</v>
      </c>
      <c r="B746" t="s">
        <v>450</v>
      </c>
      <c r="C746" t="s">
        <v>451</v>
      </c>
      <c r="D746" t="s">
        <v>634</v>
      </c>
      <c r="E746">
        <v>6.7</v>
      </c>
      <c r="F746">
        <v>12</v>
      </c>
      <c r="G746" t="s">
        <v>526</v>
      </c>
      <c r="H746">
        <v>8</v>
      </c>
      <c r="I746" t="s">
        <v>46</v>
      </c>
      <c r="J746">
        <v>12</v>
      </c>
      <c r="K746">
        <v>19</v>
      </c>
      <c r="L746">
        <v>14</v>
      </c>
      <c r="M746" t="s">
        <v>95</v>
      </c>
      <c r="N746">
        <v>4550</v>
      </c>
      <c r="O746">
        <v>2</v>
      </c>
      <c r="P746">
        <v>2</v>
      </c>
      <c r="Q746">
        <v>732</v>
      </c>
      <c r="R746">
        <v>459</v>
      </c>
      <c r="S746">
        <v>609</v>
      </c>
      <c r="U746">
        <v>13250</v>
      </c>
      <c r="V746" t="s">
        <v>633</v>
      </c>
      <c r="W746" t="s">
        <v>528</v>
      </c>
      <c r="X746" t="s">
        <v>565</v>
      </c>
    </row>
    <row r="747" spans="1:24" x14ac:dyDescent="0.25">
      <c r="A747">
        <v>2025</v>
      </c>
      <c r="B747" t="s">
        <v>456</v>
      </c>
      <c r="C747" t="s">
        <v>456</v>
      </c>
      <c r="D747" t="s">
        <v>632</v>
      </c>
      <c r="E747">
        <v>2.4</v>
      </c>
      <c r="F747">
        <v>4</v>
      </c>
      <c r="G747" t="s">
        <v>618</v>
      </c>
      <c r="H747">
        <v>8</v>
      </c>
      <c r="I747" t="s">
        <v>28</v>
      </c>
      <c r="J747">
        <v>20</v>
      </c>
      <c r="K747">
        <v>26</v>
      </c>
      <c r="L747">
        <v>22</v>
      </c>
      <c r="M747" t="s">
        <v>29</v>
      </c>
      <c r="N747">
        <v>2400</v>
      </c>
      <c r="O747">
        <v>5</v>
      </c>
      <c r="P747">
        <v>5</v>
      </c>
      <c r="Q747">
        <v>444</v>
      </c>
      <c r="R747">
        <v>343</v>
      </c>
      <c r="S747">
        <v>398</v>
      </c>
      <c r="U747">
        <v>2500</v>
      </c>
      <c r="V747" t="s">
        <v>30</v>
      </c>
      <c r="W747" t="s">
        <v>528</v>
      </c>
      <c r="X747" t="s">
        <v>565</v>
      </c>
    </row>
    <row r="748" spans="1:24" x14ac:dyDescent="0.25">
      <c r="A748">
        <v>2025</v>
      </c>
      <c r="B748" t="s">
        <v>456</v>
      </c>
      <c r="C748" t="s">
        <v>456</v>
      </c>
      <c r="D748" t="s">
        <v>631</v>
      </c>
      <c r="E748">
        <v>2.4</v>
      </c>
      <c r="F748">
        <v>4</v>
      </c>
      <c r="G748" t="s">
        <v>618</v>
      </c>
      <c r="H748">
        <v>8</v>
      </c>
      <c r="I748" t="s">
        <v>28</v>
      </c>
      <c r="J748">
        <v>19</v>
      </c>
      <c r="K748">
        <v>25</v>
      </c>
      <c r="L748">
        <v>21</v>
      </c>
      <c r="M748" t="s">
        <v>29</v>
      </c>
      <c r="N748">
        <v>2500</v>
      </c>
      <c r="O748">
        <v>4</v>
      </c>
      <c r="P748">
        <v>4</v>
      </c>
      <c r="Q748">
        <v>470</v>
      </c>
      <c r="R748">
        <v>356</v>
      </c>
      <c r="S748">
        <v>419</v>
      </c>
      <c r="U748">
        <v>3000</v>
      </c>
      <c r="V748" t="s">
        <v>30</v>
      </c>
      <c r="W748" t="s">
        <v>528</v>
      </c>
      <c r="X748" t="s">
        <v>565</v>
      </c>
    </row>
    <row r="749" spans="1:24" x14ac:dyDescent="0.25">
      <c r="A749">
        <v>2025</v>
      </c>
      <c r="B749" t="s">
        <v>456</v>
      </c>
      <c r="C749" t="s">
        <v>456</v>
      </c>
      <c r="D749" t="s">
        <v>630</v>
      </c>
      <c r="E749">
        <v>2.4</v>
      </c>
      <c r="F749">
        <v>4</v>
      </c>
      <c r="G749" t="s">
        <v>546</v>
      </c>
      <c r="H749">
        <v>6</v>
      </c>
      <c r="I749" t="s">
        <v>46</v>
      </c>
      <c r="J749">
        <v>20</v>
      </c>
      <c r="K749">
        <v>27</v>
      </c>
      <c r="L749">
        <v>22</v>
      </c>
      <c r="M749" t="s">
        <v>155</v>
      </c>
      <c r="N749">
        <v>2900</v>
      </c>
      <c r="O749">
        <v>5</v>
      </c>
      <c r="P749">
        <v>5</v>
      </c>
      <c r="Q749">
        <v>452</v>
      </c>
      <c r="R749">
        <v>332</v>
      </c>
      <c r="S749">
        <v>398</v>
      </c>
      <c r="U749">
        <v>5000</v>
      </c>
      <c r="V749" t="s">
        <v>30</v>
      </c>
      <c r="W749" t="s">
        <v>558</v>
      </c>
      <c r="X749" t="s">
        <v>565</v>
      </c>
    </row>
    <row r="750" spans="1:24" x14ac:dyDescent="0.25">
      <c r="A750">
        <v>2025</v>
      </c>
      <c r="B750" t="s">
        <v>456</v>
      </c>
      <c r="C750" t="s">
        <v>456</v>
      </c>
      <c r="D750" t="s">
        <v>630</v>
      </c>
      <c r="E750">
        <v>2.4</v>
      </c>
      <c r="F750">
        <v>4</v>
      </c>
      <c r="G750" t="s">
        <v>594</v>
      </c>
      <c r="H750">
        <v>6</v>
      </c>
      <c r="I750" t="s">
        <v>46</v>
      </c>
      <c r="J750">
        <v>21</v>
      </c>
      <c r="K750">
        <v>30</v>
      </c>
      <c r="L750">
        <v>25</v>
      </c>
      <c r="M750" t="s">
        <v>155</v>
      </c>
      <c r="N750">
        <v>2550</v>
      </c>
      <c r="O750">
        <v>5</v>
      </c>
      <c r="P750">
        <v>5</v>
      </c>
      <c r="Q750">
        <v>419</v>
      </c>
      <c r="R750">
        <v>292</v>
      </c>
      <c r="S750">
        <v>362</v>
      </c>
      <c r="U750">
        <v>3250</v>
      </c>
      <c r="V750" t="s">
        <v>30</v>
      </c>
      <c r="W750" t="s">
        <v>558</v>
      </c>
      <c r="X750" t="s">
        <v>565</v>
      </c>
    </row>
    <row r="751" spans="1:24" x14ac:dyDescent="0.25">
      <c r="A751">
        <v>2025</v>
      </c>
      <c r="B751" t="s">
        <v>456</v>
      </c>
      <c r="C751" t="s">
        <v>456</v>
      </c>
      <c r="D751" t="s">
        <v>629</v>
      </c>
      <c r="E751">
        <v>2</v>
      </c>
      <c r="F751">
        <v>4</v>
      </c>
      <c r="G751" t="s">
        <v>618</v>
      </c>
      <c r="H751">
        <v>8</v>
      </c>
      <c r="I751" t="s">
        <v>28</v>
      </c>
      <c r="J751">
        <v>27</v>
      </c>
      <c r="K751">
        <v>34</v>
      </c>
      <c r="L751">
        <v>29</v>
      </c>
      <c r="M751" t="s">
        <v>118</v>
      </c>
      <c r="N751">
        <v>1800</v>
      </c>
      <c r="O751">
        <v>6</v>
      </c>
      <c r="P751">
        <v>6</v>
      </c>
      <c r="Q751">
        <v>331</v>
      </c>
      <c r="R751">
        <v>263</v>
      </c>
      <c r="S751">
        <v>300</v>
      </c>
      <c r="T751">
        <v>500</v>
      </c>
      <c r="V751" t="s">
        <v>30</v>
      </c>
      <c r="W751" t="s">
        <v>558</v>
      </c>
      <c r="X751" t="s">
        <v>524</v>
      </c>
    </row>
    <row r="752" spans="1:24" x14ac:dyDescent="0.25">
      <c r="A752">
        <v>2025</v>
      </c>
      <c r="B752" t="s">
        <v>456</v>
      </c>
      <c r="C752" t="s">
        <v>456</v>
      </c>
      <c r="D752" t="s">
        <v>629</v>
      </c>
      <c r="E752">
        <v>2.5</v>
      </c>
      <c r="F752">
        <v>4</v>
      </c>
      <c r="G752" t="s">
        <v>618</v>
      </c>
      <c r="H752">
        <v>8</v>
      </c>
      <c r="I752" t="s">
        <v>28</v>
      </c>
      <c r="J752">
        <v>27</v>
      </c>
      <c r="K752">
        <v>33</v>
      </c>
      <c r="L752">
        <v>29</v>
      </c>
      <c r="M752" t="s">
        <v>118</v>
      </c>
      <c r="N752">
        <v>1800</v>
      </c>
      <c r="O752">
        <v>6</v>
      </c>
      <c r="P752">
        <v>6</v>
      </c>
      <c r="Q752">
        <v>334</v>
      </c>
      <c r="R752">
        <v>270</v>
      </c>
      <c r="S752">
        <v>305</v>
      </c>
      <c r="T752">
        <v>500</v>
      </c>
      <c r="V752" t="s">
        <v>30</v>
      </c>
      <c r="W752" t="s">
        <v>558</v>
      </c>
      <c r="X752" t="s">
        <v>524</v>
      </c>
    </row>
    <row r="753" spans="1:24" x14ac:dyDescent="0.25">
      <c r="A753">
        <v>2025</v>
      </c>
      <c r="B753" t="s">
        <v>456</v>
      </c>
      <c r="C753" t="s">
        <v>456</v>
      </c>
      <c r="D753" t="s">
        <v>628</v>
      </c>
      <c r="E753">
        <v>2.5</v>
      </c>
      <c r="F753">
        <v>4</v>
      </c>
      <c r="G753" t="s">
        <v>618</v>
      </c>
      <c r="H753">
        <v>8</v>
      </c>
      <c r="I753" t="s">
        <v>28</v>
      </c>
      <c r="J753">
        <v>25</v>
      </c>
      <c r="K753">
        <v>29</v>
      </c>
      <c r="L753">
        <v>27</v>
      </c>
      <c r="M753" t="s">
        <v>118</v>
      </c>
      <c r="N753">
        <v>1950</v>
      </c>
      <c r="O753">
        <v>5</v>
      </c>
      <c r="P753">
        <v>5</v>
      </c>
      <c r="Q753">
        <v>353</v>
      </c>
      <c r="R753">
        <v>306</v>
      </c>
      <c r="S753">
        <v>332</v>
      </c>
      <c r="U753">
        <v>250</v>
      </c>
      <c r="V753" t="s">
        <v>30</v>
      </c>
      <c r="W753" t="s">
        <v>558</v>
      </c>
      <c r="X753" t="s">
        <v>524</v>
      </c>
    </row>
    <row r="754" spans="1:24" x14ac:dyDescent="0.25">
      <c r="A754">
        <v>2025</v>
      </c>
      <c r="B754" t="s">
        <v>456</v>
      </c>
      <c r="C754" t="s">
        <v>456</v>
      </c>
      <c r="D754" t="s">
        <v>627</v>
      </c>
      <c r="E754">
        <v>2.5</v>
      </c>
      <c r="F754">
        <v>4</v>
      </c>
      <c r="G754" t="s">
        <v>618</v>
      </c>
      <c r="H754">
        <v>8</v>
      </c>
      <c r="I754" t="s">
        <v>28</v>
      </c>
      <c r="J754">
        <v>26</v>
      </c>
      <c r="K754">
        <v>33</v>
      </c>
      <c r="L754">
        <v>29</v>
      </c>
      <c r="M754" t="s">
        <v>118</v>
      </c>
      <c r="N754">
        <v>1800</v>
      </c>
      <c r="O754">
        <v>6</v>
      </c>
      <c r="P754">
        <v>6</v>
      </c>
      <c r="Q754">
        <v>343</v>
      </c>
      <c r="R754">
        <v>269</v>
      </c>
      <c r="S754">
        <v>310</v>
      </c>
      <c r="T754">
        <v>500</v>
      </c>
      <c r="V754" t="s">
        <v>30</v>
      </c>
      <c r="W754" t="s">
        <v>558</v>
      </c>
      <c r="X754" t="s">
        <v>524</v>
      </c>
    </row>
    <row r="755" spans="1:24" x14ac:dyDescent="0.25">
      <c r="A755">
        <v>2025</v>
      </c>
      <c r="B755" t="s">
        <v>456</v>
      </c>
      <c r="C755" t="s">
        <v>456</v>
      </c>
      <c r="D755" t="s">
        <v>626</v>
      </c>
      <c r="E755">
        <v>2.5</v>
      </c>
      <c r="F755">
        <v>4</v>
      </c>
      <c r="G755" t="s">
        <v>559</v>
      </c>
      <c r="H755">
        <v>6</v>
      </c>
      <c r="I755" t="s">
        <v>28</v>
      </c>
      <c r="J755">
        <v>35</v>
      </c>
      <c r="K755">
        <v>34</v>
      </c>
      <c r="L755">
        <v>35</v>
      </c>
      <c r="M755" t="s">
        <v>118</v>
      </c>
      <c r="N755">
        <v>1500</v>
      </c>
      <c r="O755">
        <v>7</v>
      </c>
      <c r="P755">
        <v>7</v>
      </c>
      <c r="Q755">
        <v>251</v>
      </c>
      <c r="R755">
        <v>260</v>
      </c>
      <c r="S755">
        <v>255</v>
      </c>
      <c r="T755">
        <v>2000</v>
      </c>
      <c r="V755" t="s">
        <v>30</v>
      </c>
      <c r="W755" t="s">
        <v>558</v>
      </c>
      <c r="X755" t="s">
        <v>524</v>
      </c>
    </row>
    <row r="756" spans="1:24" x14ac:dyDescent="0.25">
      <c r="A756">
        <v>2025</v>
      </c>
      <c r="B756" t="s">
        <v>456</v>
      </c>
      <c r="C756" t="s">
        <v>456</v>
      </c>
      <c r="D756" t="s">
        <v>625</v>
      </c>
      <c r="E756">
        <v>2.5</v>
      </c>
      <c r="F756">
        <v>4</v>
      </c>
      <c r="G756" t="s">
        <v>618</v>
      </c>
      <c r="H756">
        <v>8</v>
      </c>
      <c r="I756" t="s">
        <v>28</v>
      </c>
      <c r="J756">
        <v>25</v>
      </c>
      <c r="K756">
        <v>32</v>
      </c>
      <c r="L756">
        <v>28</v>
      </c>
      <c r="M756" t="s">
        <v>118</v>
      </c>
      <c r="N756">
        <v>1900</v>
      </c>
      <c r="O756">
        <v>6</v>
      </c>
      <c r="P756">
        <v>6</v>
      </c>
      <c r="Q756">
        <v>350</v>
      </c>
      <c r="R756">
        <v>278</v>
      </c>
      <c r="S756">
        <v>317</v>
      </c>
      <c r="T756">
        <v>0</v>
      </c>
      <c r="V756" t="s">
        <v>30</v>
      </c>
      <c r="W756" t="s">
        <v>558</v>
      </c>
      <c r="X756" t="s">
        <v>524</v>
      </c>
    </row>
    <row r="757" spans="1:24" x14ac:dyDescent="0.25">
      <c r="A757">
        <v>2025</v>
      </c>
      <c r="B757" t="s">
        <v>456</v>
      </c>
      <c r="C757" t="s">
        <v>456</v>
      </c>
      <c r="D757" t="s">
        <v>624</v>
      </c>
      <c r="E757">
        <v>2.5</v>
      </c>
      <c r="F757">
        <v>4</v>
      </c>
      <c r="G757" t="s">
        <v>618</v>
      </c>
      <c r="H757">
        <v>8</v>
      </c>
      <c r="I757" t="s">
        <v>28</v>
      </c>
      <c r="J757">
        <v>25</v>
      </c>
      <c r="K757">
        <v>28</v>
      </c>
      <c r="L757">
        <v>26</v>
      </c>
      <c r="M757" t="s">
        <v>118</v>
      </c>
      <c r="N757">
        <v>2000</v>
      </c>
      <c r="O757">
        <v>5</v>
      </c>
      <c r="P757">
        <v>5</v>
      </c>
      <c r="Q757">
        <v>359</v>
      </c>
      <c r="R757">
        <v>313</v>
      </c>
      <c r="S757">
        <v>338</v>
      </c>
      <c r="U757">
        <v>500</v>
      </c>
      <c r="V757" t="s">
        <v>30</v>
      </c>
      <c r="W757" t="s">
        <v>558</v>
      </c>
      <c r="X757" t="s">
        <v>524</v>
      </c>
    </row>
    <row r="758" spans="1:24" x14ac:dyDescent="0.25">
      <c r="A758">
        <v>2025</v>
      </c>
      <c r="B758" t="s">
        <v>456</v>
      </c>
      <c r="C758" t="s">
        <v>456</v>
      </c>
      <c r="D758" t="s">
        <v>623</v>
      </c>
      <c r="E758">
        <v>2</v>
      </c>
      <c r="F758">
        <v>4</v>
      </c>
      <c r="G758" t="s">
        <v>618</v>
      </c>
      <c r="H758">
        <v>8</v>
      </c>
      <c r="I758" t="s">
        <v>28</v>
      </c>
      <c r="J758">
        <v>27</v>
      </c>
      <c r="K758">
        <v>34</v>
      </c>
      <c r="L758">
        <v>30</v>
      </c>
      <c r="M758" t="s">
        <v>122</v>
      </c>
      <c r="N758">
        <v>1750</v>
      </c>
      <c r="O758">
        <v>6</v>
      </c>
      <c r="P758">
        <v>6</v>
      </c>
      <c r="Q758">
        <v>328</v>
      </c>
      <c r="R758">
        <v>260</v>
      </c>
      <c r="S758">
        <v>297</v>
      </c>
      <c r="T758">
        <v>750</v>
      </c>
      <c r="V758" t="s">
        <v>30</v>
      </c>
      <c r="W758" t="s">
        <v>558</v>
      </c>
      <c r="X758" t="s">
        <v>524</v>
      </c>
    </row>
    <row r="759" spans="1:24" x14ac:dyDescent="0.25">
      <c r="A759">
        <v>2025</v>
      </c>
      <c r="B759" t="s">
        <v>456</v>
      </c>
      <c r="C759" t="s">
        <v>456</v>
      </c>
      <c r="D759" t="s">
        <v>623</v>
      </c>
      <c r="E759">
        <v>2.5</v>
      </c>
      <c r="F759">
        <v>4</v>
      </c>
      <c r="G759" t="s">
        <v>618</v>
      </c>
      <c r="H759">
        <v>8</v>
      </c>
      <c r="I759" t="s">
        <v>28</v>
      </c>
      <c r="J759">
        <v>26</v>
      </c>
      <c r="K759">
        <v>33</v>
      </c>
      <c r="L759">
        <v>29</v>
      </c>
      <c r="M759" t="s">
        <v>122</v>
      </c>
      <c r="N759">
        <v>1800</v>
      </c>
      <c r="O759">
        <v>6</v>
      </c>
      <c r="P759">
        <v>6</v>
      </c>
      <c r="Q759">
        <v>337</v>
      </c>
      <c r="R759">
        <v>268</v>
      </c>
      <c r="S759">
        <v>306</v>
      </c>
      <c r="T759">
        <v>500</v>
      </c>
      <c r="V759" t="s">
        <v>30</v>
      </c>
      <c r="W759" t="s">
        <v>558</v>
      </c>
      <c r="X759" t="s">
        <v>524</v>
      </c>
    </row>
    <row r="760" spans="1:24" x14ac:dyDescent="0.25">
      <c r="A760">
        <v>2025</v>
      </c>
      <c r="B760" t="s">
        <v>456</v>
      </c>
      <c r="C760" t="s">
        <v>456</v>
      </c>
      <c r="D760" t="s">
        <v>622</v>
      </c>
      <c r="E760">
        <v>2.5</v>
      </c>
      <c r="F760">
        <v>4</v>
      </c>
      <c r="G760" t="s">
        <v>618</v>
      </c>
      <c r="H760">
        <v>8</v>
      </c>
      <c r="I760" t="s">
        <v>28</v>
      </c>
      <c r="J760">
        <v>27</v>
      </c>
      <c r="K760">
        <v>35</v>
      </c>
      <c r="L760">
        <v>30</v>
      </c>
      <c r="M760" t="s">
        <v>186</v>
      </c>
      <c r="N760">
        <v>1750</v>
      </c>
      <c r="O760">
        <v>6</v>
      </c>
      <c r="P760">
        <v>6</v>
      </c>
      <c r="Q760">
        <v>330</v>
      </c>
      <c r="R760">
        <v>253</v>
      </c>
      <c r="S760">
        <v>295</v>
      </c>
      <c r="T760">
        <v>750</v>
      </c>
      <c r="V760" t="s">
        <v>30</v>
      </c>
      <c r="W760" t="s">
        <v>558</v>
      </c>
      <c r="X760" t="s">
        <v>524</v>
      </c>
    </row>
    <row r="761" spans="1:24" x14ac:dyDescent="0.25">
      <c r="A761">
        <v>2025</v>
      </c>
      <c r="B761" t="s">
        <v>456</v>
      </c>
      <c r="C761" t="s">
        <v>456</v>
      </c>
      <c r="D761" t="s">
        <v>622</v>
      </c>
      <c r="E761">
        <v>2.4</v>
      </c>
      <c r="F761">
        <v>4</v>
      </c>
      <c r="G761" t="s">
        <v>618</v>
      </c>
      <c r="H761">
        <v>8</v>
      </c>
      <c r="I761" t="s">
        <v>28</v>
      </c>
      <c r="J761">
        <v>23</v>
      </c>
      <c r="K761">
        <v>31</v>
      </c>
      <c r="L761">
        <v>26</v>
      </c>
      <c r="M761" t="s">
        <v>186</v>
      </c>
      <c r="N761">
        <v>2000</v>
      </c>
      <c r="O761">
        <v>5</v>
      </c>
      <c r="P761">
        <v>5</v>
      </c>
      <c r="Q761">
        <v>381</v>
      </c>
      <c r="R761">
        <v>283</v>
      </c>
      <c r="S761">
        <v>337</v>
      </c>
      <c r="U761">
        <v>500</v>
      </c>
      <c r="V761" t="s">
        <v>30</v>
      </c>
      <c r="W761" t="s">
        <v>528</v>
      </c>
      <c r="X761" t="s">
        <v>524</v>
      </c>
    </row>
    <row r="762" spans="1:24" x14ac:dyDescent="0.25">
      <c r="A762">
        <v>2025</v>
      </c>
      <c r="B762" t="s">
        <v>456</v>
      </c>
      <c r="C762" t="s">
        <v>456</v>
      </c>
      <c r="D762" t="s">
        <v>621</v>
      </c>
      <c r="E762">
        <v>2.5</v>
      </c>
      <c r="F762">
        <v>4</v>
      </c>
      <c r="G762" t="s">
        <v>618</v>
      </c>
      <c r="H762">
        <v>8</v>
      </c>
      <c r="I762" t="s">
        <v>28</v>
      </c>
      <c r="J762">
        <v>26</v>
      </c>
      <c r="K762">
        <v>32</v>
      </c>
      <c r="L762">
        <v>28</v>
      </c>
      <c r="M762" t="s">
        <v>118</v>
      </c>
      <c r="N762">
        <v>1900</v>
      </c>
      <c r="O762">
        <v>6</v>
      </c>
      <c r="P762">
        <v>6</v>
      </c>
      <c r="Q762">
        <v>345</v>
      </c>
      <c r="R762">
        <v>276</v>
      </c>
      <c r="S762">
        <v>314</v>
      </c>
      <c r="T762">
        <v>0</v>
      </c>
      <c r="V762" t="s">
        <v>30</v>
      </c>
      <c r="W762" t="s">
        <v>558</v>
      </c>
      <c r="X762" t="s">
        <v>524</v>
      </c>
    </row>
    <row r="763" spans="1:24" x14ac:dyDescent="0.25">
      <c r="A763">
        <v>2025</v>
      </c>
      <c r="B763" t="s">
        <v>456</v>
      </c>
      <c r="C763" t="s">
        <v>456</v>
      </c>
      <c r="D763" t="s">
        <v>621</v>
      </c>
      <c r="E763">
        <v>2.4</v>
      </c>
      <c r="F763">
        <v>4</v>
      </c>
      <c r="G763" t="s">
        <v>618</v>
      </c>
      <c r="H763">
        <v>8</v>
      </c>
      <c r="I763" t="s">
        <v>28</v>
      </c>
      <c r="J763">
        <v>22</v>
      </c>
      <c r="K763">
        <v>29</v>
      </c>
      <c r="L763">
        <v>25</v>
      </c>
      <c r="M763" t="s">
        <v>118</v>
      </c>
      <c r="N763">
        <v>2100</v>
      </c>
      <c r="O763">
        <v>5</v>
      </c>
      <c r="P763">
        <v>5</v>
      </c>
      <c r="Q763">
        <v>398</v>
      </c>
      <c r="R763">
        <v>304</v>
      </c>
      <c r="S763">
        <v>356</v>
      </c>
      <c r="U763">
        <v>1000</v>
      </c>
      <c r="V763" t="s">
        <v>30</v>
      </c>
      <c r="W763" t="s">
        <v>528</v>
      </c>
      <c r="X763" t="s">
        <v>524</v>
      </c>
    </row>
    <row r="764" spans="1:24" x14ac:dyDescent="0.25">
      <c r="A764">
        <v>2025</v>
      </c>
      <c r="B764" t="s">
        <v>456</v>
      </c>
      <c r="C764" t="s">
        <v>456</v>
      </c>
      <c r="D764" t="s">
        <v>620</v>
      </c>
      <c r="E764">
        <v>2.4</v>
      </c>
      <c r="F764">
        <v>4</v>
      </c>
      <c r="G764" t="s">
        <v>618</v>
      </c>
      <c r="H764">
        <v>8</v>
      </c>
      <c r="I764" t="s">
        <v>28</v>
      </c>
      <c r="J764">
        <v>21</v>
      </c>
      <c r="K764">
        <v>26</v>
      </c>
      <c r="L764">
        <v>23</v>
      </c>
      <c r="M764" t="s">
        <v>118</v>
      </c>
      <c r="N764">
        <v>2300</v>
      </c>
      <c r="O764">
        <v>5</v>
      </c>
      <c r="P764">
        <v>5</v>
      </c>
      <c r="Q764">
        <v>412</v>
      </c>
      <c r="R764">
        <v>336</v>
      </c>
      <c r="S764">
        <v>378</v>
      </c>
      <c r="U764">
        <v>2000</v>
      </c>
      <c r="V764" t="s">
        <v>30</v>
      </c>
      <c r="W764" t="s">
        <v>528</v>
      </c>
      <c r="X764" t="s">
        <v>524</v>
      </c>
    </row>
    <row r="765" spans="1:24" x14ac:dyDescent="0.25">
      <c r="A765">
        <v>2025</v>
      </c>
      <c r="B765" t="s">
        <v>456</v>
      </c>
      <c r="C765" t="s">
        <v>456</v>
      </c>
      <c r="D765" t="s">
        <v>619</v>
      </c>
      <c r="E765">
        <v>2.4</v>
      </c>
      <c r="F765">
        <v>4</v>
      </c>
      <c r="G765" t="s">
        <v>546</v>
      </c>
      <c r="H765">
        <v>6</v>
      </c>
      <c r="I765" t="s">
        <v>28</v>
      </c>
      <c r="J765">
        <v>19</v>
      </c>
      <c r="K765">
        <v>26</v>
      </c>
      <c r="L765">
        <v>22</v>
      </c>
      <c r="M765" t="s">
        <v>186</v>
      </c>
      <c r="N765">
        <v>2900</v>
      </c>
      <c r="O765">
        <v>5</v>
      </c>
      <c r="P765">
        <v>5</v>
      </c>
      <c r="Q765">
        <v>471</v>
      </c>
      <c r="R765">
        <v>343</v>
      </c>
      <c r="S765">
        <v>413</v>
      </c>
      <c r="U765">
        <v>5000</v>
      </c>
      <c r="V765" t="s">
        <v>30</v>
      </c>
      <c r="W765" t="s">
        <v>528</v>
      </c>
      <c r="X765" t="s">
        <v>565</v>
      </c>
    </row>
    <row r="766" spans="1:24" x14ac:dyDescent="0.25">
      <c r="A766">
        <v>2025</v>
      </c>
      <c r="B766" t="s">
        <v>456</v>
      </c>
      <c r="C766" t="s">
        <v>456</v>
      </c>
      <c r="D766" t="s">
        <v>619</v>
      </c>
      <c r="E766">
        <v>2.4</v>
      </c>
      <c r="F766">
        <v>4</v>
      </c>
      <c r="G766" t="s">
        <v>618</v>
      </c>
      <c r="H766">
        <v>8</v>
      </c>
      <c r="I766" t="s">
        <v>28</v>
      </c>
      <c r="J766">
        <v>18</v>
      </c>
      <c r="K766">
        <v>25</v>
      </c>
      <c r="L766">
        <v>21</v>
      </c>
      <c r="M766" t="s">
        <v>186</v>
      </c>
      <c r="N766">
        <v>3050</v>
      </c>
      <c r="O766">
        <v>4</v>
      </c>
      <c r="P766">
        <v>4</v>
      </c>
      <c r="Q766">
        <v>478</v>
      </c>
      <c r="R766">
        <v>353</v>
      </c>
      <c r="S766">
        <v>422</v>
      </c>
      <c r="U766">
        <v>5750</v>
      </c>
      <c r="V766" t="s">
        <v>30</v>
      </c>
      <c r="W766" t="s">
        <v>528</v>
      </c>
      <c r="X766" t="s">
        <v>565</v>
      </c>
    </row>
    <row r="767" spans="1:24" x14ac:dyDescent="0.25">
      <c r="A767">
        <v>2025</v>
      </c>
      <c r="B767" t="s">
        <v>253</v>
      </c>
      <c r="C767" t="s">
        <v>488</v>
      </c>
      <c r="D767" t="s">
        <v>617</v>
      </c>
      <c r="E767">
        <v>2.4</v>
      </c>
      <c r="F767">
        <v>4</v>
      </c>
      <c r="G767" t="s">
        <v>526</v>
      </c>
      <c r="H767">
        <v>8</v>
      </c>
      <c r="I767" t="s">
        <v>46</v>
      </c>
      <c r="J767">
        <v>20</v>
      </c>
      <c r="K767">
        <v>26</v>
      </c>
      <c r="L767">
        <v>22</v>
      </c>
      <c r="M767" t="s">
        <v>47</v>
      </c>
      <c r="N767">
        <v>2400</v>
      </c>
      <c r="O767">
        <v>5</v>
      </c>
      <c r="P767">
        <v>5</v>
      </c>
      <c r="Q767">
        <v>445</v>
      </c>
      <c r="R767">
        <v>343</v>
      </c>
      <c r="S767">
        <v>399</v>
      </c>
      <c r="U767">
        <v>2500</v>
      </c>
      <c r="V767" t="s">
        <v>30</v>
      </c>
      <c r="W767" t="s">
        <v>528</v>
      </c>
      <c r="X767" t="s">
        <v>565</v>
      </c>
    </row>
    <row r="768" spans="1:24" x14ac:dyDescent="0.25">
      <c r="A768">
        <v>2025</v>
      </c>
      <c r="B768" t="s">
        <v>253</v>
      </c>
      <c r="C768" t="s">
        <v>488</v>
      </c>
      <c r="D768" t="s">
        <v>617</v>
      </c>
      <c r="E768">
        <v>2.4</v>
      </c>
      <c r="F768">
        <v>4</v>
      </c>
      <c r="G768" t="s">
        <v>526</v>
      </c>
      <c r="H768">
        <v>8</v>
      </c>
      <c r="I768" t="s">
        <v>46</v>
      </c>
      <c r="J768">
        <v>20</v>
      </c>
      <c r="K768">
        <v>24</v>
      </c>
      <c r="L768">
        <v>22</v>
      </c>
      <c r="M768" t="s">
        <v>47</v>
      </c>
      <c r="N768">
        <v>2400</v>
      </c>
      <c r="O768">
        <v>5</v>
      </c>
      <c r="P768">
        <v>5</v>
      </c>
      <c r="Q768">
        <v>436</v>
      </c>
      <c r="R768">
        <v>365</v>
      </c>
      <c r="S768">
        <v>404</v>
      </c>
      <c r="U768">
        <v>2500</v>
      </c>
      <c r="V768" t="s">
        <v>30</v>
      </c>
      <c r="W768" t="s">
        <v>528</v>
      </c>
      <c r="X768" t="s">
        <v>524</v>
      </c>
    </row>
    <row r="769" spans="1:24" x14ac:dyDescent="0.25">
      <c r="A769">
        <v>2025</v>
      </c>
      <c r="B769" t="s">
        <v>253</v>
      </c>
      <c r="C769" t="s">
        <v>488</v>
      </c>
      <c r="D769" t="s">
        <v>616</v>
      </c>
      <c r="E769">
        <v>2.4</v>
      </c>
      <c r="F769">
        <v>4</v>
      </c>
      <c r="G769" t="s">
        <v>526</v>
      </c>
      <c r="H769">
        <v>8</v>
      </c>
      <c r="I769" t="s">
        <v>400</v>
      </c>
      <c r="J769">
        <v>19</v>
      </c>
      <c r="K769">
        <v>25</v>
      </c>
      <c r="L769">
        <v>21</v>
      </c>
      <c r="M769" t="s">
        <v>29</v>
      </c>
      <c r="N769">
        <v>2500</v>
      </c>
      <c r="O769">
        <v>4</v>
      </c>
      <c r="P769">
        <v>4</v>
      </c>
      <c r="Q769">
        <v>464</v>
      </c>
      <c r="R769">
        <v>358</v>
      </c>
      <c r="S769">
        <v>417</v>
      </c>
      <c r="U769">
        <v>3000</v>
      </c>
      <c r="V769" t="s">
        <v>30</v>
      </c>
      <c r="W769" t="s">
        <v>528</v>
      </c>
      <c r="X769" t="s">
        <v>565</v>
      </c>
    </row>
    <row r="770" spans="1:24" x14ac:dyDescent="0.25">
      <c r="A770">
        <v>2025</v>
      </c>
      <c r="B770" t="s">
        <v>253</v>
      </c>
      <c r="C770" t="s">
        <v>488</v>
      </c>
      <c r="D770" t="s">
        <v>616</v>
      </c>
      <c r="E770">
        <v>2.4</v>
      </c>
      <c r="F770">
        <v>4</v>
      </c>
      <c r="G770" t="s">
        <v>526</v>
      </c>
      <c r="H770">
        <v>8</v>
      </c>
      <c r="I770" t="s">
        <v>107</v>
      </c>
      <c r="J770">
        <v>20</v>
      </c>
      <c r="K770">
        <v>24</v>
      </c>
      <c r="L770">
        <v>21</v>
      </c>
      <c r="M770" t="s">
        <v>29</v>
      </c>
      <c r="N770">
        <v>2500</v>
      </c>
      <c r="O770">
        <v>4</v>
      </c>
      <c r="P770">
        <v>4</v>
      </c>
      <c r="Q770">
        <v>451</v>
      </c>
      <c r="R770">
        <v>371</v>
      </c>
      <c r="S770">
        <v>415</v>
      </c>
      <c r="U770">
        <v>3000</v>
      </c>
      <c r="V770" t="s">
        <v>30</v>
      </c>
      <c r="W770" t="s">
        <v>528</v>
      </c>
      <c r="X770" t="s">
        <v>524</v>
      </c>
    </row>
    <row r="771" spans="1:24" x14ac:dyDescent="0.25">
      <c r="A771">
        <v>2025</v>
      </c>
      <c r="B771" t="s">
        <v>253</v>
      </c>
      <c r="C771" t="s">
        <v>488</v>
      </c>
      <c r="D771" t="s">
        <v>616</v>
      </c>
      <c r="E771">
        <v>2.4</v>
      </c>
      <c r="F771">
        <v>4</v>
      </c>
      <c r="G771" t="s">
        <v>526</v>
      </c>
      <c r="H771">
        <v>8</v>
      </c>
      <c r="I771" t="s">
        <v>400</v>
      </c>
      <c r="J771">
        <v>23</v>
      </c>
      <c r="K771">
        <v>24</v>
      </c>
      <c r="L771">
        <v>23</v>
      </c>
      <c r="M771" t="s">
        <v>29</v>
      </c>
      <c r="N771">
        <v>2300</v>
      </c>
      <c r="O771">
        <v>5</v>
      </c>
      <c r="P771">
        <v>5</v>
      </c>
      <c r="Q771">
        <v>392</v>
      </c>
      <c r="R771">
        <v>366</v>
      </c>
      <c r="S771">
        <v>380</v>
      </c>
      <c r="U771">
        <v>2000</v>
      </c>
      <c r="V771" t="s">
        <v>30</v>
      </c>
      <c r="W771" t="s">
        <v>528</v>
      </c>
      <c r="X771" t="s">
        <v>524</v>
      </c>
    </row>
    <row r="772" spans="1:24" x14ac:dyDescent="0.25">
      <c r="A772">
        <v>2025</v>
      </c>
      <c r="B772" t="s">
        <v>253</v>
      </c>
      <c r="C772" t="s">
        <v>488</v>
      </c>
      <c r="D772" t="s">
        <v>616</v>
      </c>
      <c r="E772">
        <v>2.4</v>
      </c>
      <c r="F772">
        <v>4</v>
      </c>
      <c r="G772" t="s">
        <v>526</v>
      </c>
      <c r="H772">
        <v>8</v>
      </c>
      <c r="I772" t="s">
        <v>107</v>
      </c>
      <c r="J772">
        <v>23</v>
      </c>
      <c r="K772">
        <v>24</v>
      </c>
      <c r="L772">
        <v>23</v>
      </c>
      <c r="M772" t="s">
        <v>29</v>
      </c>
      <c r="N772">
        <v>2300</v>
      </c>
      <c r="O772">
        <v>5</v>
      </c>
      <c r="P772">
        <v>5</v>
      </c>
      <c r="Q772">
        <v>393</v>
      </c>
      <c r="R772">
        <v>365</v>
      </c>
      <c r="S772">
        <v>380</v>
      </c>
      <c r="U772">
        <v>2000</v>
      </c>
      <c r="V772" t="s">
        <v>30</v>
      </c>
      <c r="W772" t="s">
        <v>528</v>
      </c>
      <c r="X772" t="s">
        <v>524</v>
      </c>
    </row>
    <row r="773" spans="1:24" x14ac:dyDescent="0.25">
      <c r="A773">
        <v>2025</v>
      </c>
      <c r="B773" t="s">
        <v>253</v>
      </c>
      <c r="C773" t="s">
        <v>488</v>
      </c>
      <c r="D773" t="s">
        <v>615</v>
      </c>
      <c r="E773">
        <v>2.5</v>
      </c>
      <c r="F773">
        <v>4</v>
      </c>
      <c r="G773" t="s">
        <v>559</v>
      </c>
      <c r="H773">
        <v>6</v>
      </c>
      <c r="I773" t="s">
        <v>28</v>
      </c>
      <c r="J773">
        <v>51</v>
      </c>
      <c r="K773">
        <v>49</v>
      </c>
      <c r="L773">
        <v>50</v>
      </c>
      <c r="M773" t="s">
        <v>186</v>
      </c>
      <c r="N773">
        <v>1050</v>
      </c>
      <c r="O773">
        <v>8</v>
      </c>
      <c r="P773">
        <v>8</v>
      </c>
      <c r="Q773">
        <v>174</v>
      </c>
      <c r="R773">
        <v>182</v>
      </c>
      <c r="S773">
        <v>177</v>
      </c>
      <c r="T773">
        <v>4250</v>
      </c>
      <c r="V773" t="s">
        <v>30</v>
      </c>
      <c r="W773" t="s">
        <v>558</v>
      </c>
      <c r="X773" t="s">
        <v>524</v>
      </c>
    </row>
    <row r="774" spans="1:24" x14ac:dyDescent="0.25">
      <c r="A774">
        <v>2025</v>
      </c>
      <c r="B774" t="s">
        <v>253</v>
      </c>
      <c r="C774" t="s">
        <v>488</v>
      </c>
      <c r="D774" t="s">
        <v>614</v>
      </c>
      <c r="E774">
        <v>2.5</v>
      </c>
      <c r="F774">
        <v>4</v>
      </c>
      <c r="G774" t="s">
        <v>559</v>
      </c>
      <c r="H774">
        <v>6</v>
      </c>
      <c r="I774" t="s">
        <v>28</v>
      </c>
      <c r="J774">
        <v>46</v>
      </c>
      <c r="K774">
        <v>46</v>
      </c>
      <c r="L774">
        <v>46</v>
      </c>
      <c r="M774" t="s">
        <v>186</v>
      </c>
      <c r="N774">
        <v>1150</v>
      </c>
      <c r="O774">
        <v>8</v>
      </c>
      <c r="P774">
        <v>8</v>
      </c>
      <c r="Q774">
        <v>189</v>
      </c>
      <c r="R774">
        <v>189</v>
      </c>
      <c r="S774">
        <v>189</v>
      </c>
      <c r="T774">
        <v>3750</v>
      </c>
      <c r="V774" t="s">
        <v>30</v>
      </c>
      <c r="W774" t="s">
        <v>558</v>
      </c>
      <c r="X774" t="s">
        <v>524</v>
      </c>
    </row>
    <row r="775" spans="1:24" x14ac:dyDescent="0.25">
      <c r="A775">
        <v>2025</v>
      </c>
      <c r="B775" t="s">
        <v>253</v>
      </c>
      <c r="C775" t="s">
        <v>488</v>
      </c>
      <c r="D775" t="s">
        <v>613</v>
      </c>
      <c r="E775">
        <v>2.5</v>
      </c>
      <c r="F775">
        <v>4</v>
      </c>
      <c r="G775" t="s">
        <v>559</v>
      </c>
      <c r="H775">
        <v>6</v>
      </c>
      <c r="I775" t="s">
        <v>28</v>
      </c>
      <c r="J775">
        <v>44</v>
      </c>
      <c r="K775">
        <v>43</v>
      </c>
      <c r="L775">
        <v>44</v>
      </c>
      <c r="M775" t="s">
        <v>186</v>
      </c>
      <c r="N775">
        <v>1200</v>
      </c>
      <c r="O775">
        <v>7</v>
      </c>
      <c r="P775">
        <v>7</v>
      </c>
      <c r="Q775">
        <v>199</v>
      </c>
      <c r="R775">
        <v>204</v>
      </c>
      <c r="S775">
        <v>199</v>
      </c>
      <c r="T775">
        <v>3500</v>
      </c>
      <c r="V775" t="s">
        <v>30</v>
      </c>
      <c r="W775" t="s">
        <v>558</v>
      </c>
      <c r="X775" t="s">
        <v>524</v>
      </c>
    </row>
    <row r="776" spans="1:24" x14ac:dyDescent="0.25">
      <c r="A776">
        <v>2025</v>
      </c>
      <c r="B776" t="s">
        <v>253</v>
      </c>
      <c r="C776" t="s">
        <v>488</v>
      </c>
      <c r="D776" t="s">
        <v>612</v>
      </c>
      <c r="E776">
        <v>2.5</v>
      </c>
      <c r="F776">
        <v>4</v>
      </c>
      <c r="G776" t="s">
        <v>559</v>
      </c>
      <c r="H776">
        <v>6</v>
      </c>
      <c r="I776" t="s">
        <v>128</v>
      </c>
      <c r="J776">
        <v>53</v>
      </c>
      <c r="K776">
        <v>50</v>
      </c>
      <c r="L776">
        <v>51</v>
      </c>
      <c r="M776" t="s">
        <v>186</v>
      </c>
      <c r="N776">
        <v>1050</v>
      </c>
      <c r="O776">
        <v>8</v>
      </c>
      <c r="P776">
        <v>8</v>
      </c>
      <c r="Q776">
        <v>168</v>
      </c>
      <c r="R776">
        <v>179</v>
      </c>
      <c r="S776">
        <v>173</v>
      </c>
      <c r="T776">
        <v>4250</v>
      </c>
      <c r="V776" t="s">
        <v>30</v>
      </c>
      <c r="W776" t="s">
        <v>558</v>
      </c>
      <c r="X776" t="s">
        <v>524</v>
      </c>
    </row>
    <row r="777" spans="1:24" x14ac:dyDescent="0.25">
      <c r="A777">
        <v>2025</v>
      </c>
      <c r="B777" t="s">
        <v>253</v>
      </c>
      <c r="C777" t="s">
        <v>488</v>
      </c>
      <c r="D777" t="s">
        <v>611</v>
      </c>
      <c r="E777">
        <v>2.5</v>
      </c>
      <c r="F777">
        <v>4</v>
      </c>
      <c r="G777" t="s">
        <v>559</v>
      </c>
      <c r="H777">
        <v>6</v>
      </c>
      <c r="I777" t="s">
        <v>128</v>
      </c>
      <c r="J777">
        <v>48</v>
      </c>
      <c r="K777">
        <v>47</v>
      </c>
      <c r="L777">
        <v>47</v>
      </c>
      <c r="M777" t="s">
        <v>186</v>
      </c>
      <c r="N777">
        <v>1100</v>
      </c>
      <c r="O777">
        <v>8</v>
      </c>
      <c r="P777">
        <v>8</v>
      </c>
      <c r="Q777">
        <v>184</v>
      </c>
      <c r="R777">
        <v>188</v>
      </c>
      <c r="S777">
        <v>186</v>
      </c>
      <c r="T777">
        <v>4000</v>
      </c>
      <c r="V777" t="s">
        <v>30</v>
      </c>
      <c r="W777" t="s">
        <v>558</v>
      </c>
      <c r="X777" t="s">
        <v>524</v>
      </c>
    </row>
    <row r="778" spans="1:24" x14ac:dyDescent="0.25">
      <c r="A778">
        <v>2025</v>
      </c>
      <c r="B778" t="s">
        <v>253</v>
      </c>
      <c r="C778" t="s">
        <v>488</v>
      </c>
      <c r="D778" t="s">
        <v>610</v>
      </c>
      <c r="E778">
        <v>2</v>
      </c>
      <c r="F778">
        <v>4</v>
      </c>
      <c r="G778" t="s">
        <v>562</v>
      </c>
      <c r="H778">
        <v>1</v>
      </c>
      <c r="I778" t="s">
        <v>128</v>
      </c>
      <c r="J778">
        <v>32</v>
      </c>
      <c r="K778">
        <v>41</v>
      </c>
      <c r="L778">
        <v>35</v>
      </c>
      <c r="M778" t="s">
        <v>75</v>
      </c>
      <c r="N778">
        <v>1500</v>
      </c>
      <c r="O778">
        <v>7</v>
      </c>
      <c r="P778">
        <v>7</v>
      </c>
      <c r="Q778">
        <v>277</v>
      </c>
      <c r="R778">
        <v>216</v>
      </c>
      <c r="S778">
        <v>254</v>
      </c>
      <c r="T778">
        <v>2000</v>
      </c>
      <c r="V778" t="s">
        <v>30</v>
      </c>
      <c r="W778" t="s">
        <v>558</v>
      </c>
      <c r="X778" t="s">
        <v>565</v>
      </c>
    </row>
    <row r="779" spans="1:24" x14ac:dyDescent="0.25">
      <c r="A779">
        <v>2025</v>
      </c>
      <c r="B779" t="s">
        <v>253</v>
      </c>
      <c r="C779" t="s">
        <v>488</v>
      </c>
      <c r="D779" t="s">
        <v>610</v>
      </c>
      <c r="E779">
        <v>2</v>
      </c>
      <c r="F779">
        <v>4</v>
      </c>
      <c r="G779" t="s">
        <v>562</v>
      </c>
      <c r="H779">
        <v>1</v>
      </c>
      <c r="I779" t="s">
        <v>128</v>
      </c>
      <c r="J779">
        <v>31</v>
      </c>
      <c r="K779">
        <v>40</v>
      </c>
      <c r="L779">
        <v>34</v>
      </c>
      <c r="M779" t="s">
        <v>75</v>
      </c>
      <c r="N779">
        <v>1550</v>
      </c>
      <c r="O779">
        <v>7</v>
      </c>
      <c r="P779">
        <v>7</v>
      </c>
      <c r="Q779">
        <v>286</v>
      </c>
      <c r="R779">
        <v>223</v>
      </c>
      <c r="S779">
        <v>257</v>
      </c>
      <c r="T779">
        <v>1750</v>
      </c>
      <c r="V779" t="s">
        <v>30</v>
      </c>
      <c r="W779" t="s">
        <v>558</v>
      </c>
      <c r="X779" t="s">
        <v>565</v>
      </c>
    </row>
    <row r="780" spans="1:24" x14ac:dyDescent="0.25">
      <c r="A780">
        <v>2025</v>
      </c>
      <c r="B780" t="s">
        <v>253</v>
      </c>
      <c r="C780" t="s">
        <v>488</v>
      </c>
      <c r="D780" t="s">
        <v>610</v>
      </c>
      <c r="E780">
        <v>2</v>
      </c>
      <c r="F780">
        <v>4</v>
      </c>
      <c r="G780" t="s">
        <v>603</v>
      </c>
      <c r="H780">
        <v>10</v>
      </c>
      <c r="I780" t="s">
        <v>128</v>
      </c>
      <c r="J780">
        <v>31</v>
      </c>
      <c r="K780">
        <v>38</v>
      </c>
      <c r="L780">
        <v>34</v>
      </c>
      <c r="M780" t="s">
        <v>75</v>
      </c>
      <c r="N780">
        <v>1550</v>
      </c>
      <c r="O780">
        <v>7</v>
      </c>
      <c r="P780">
        <v>7</v>
      </c>
      <c r="Q780">
        <v>292</v>
      </c>
      <c r="R780">
        <v>232</v>
      </c>
      <c r="S780">
        <v>265</v>
      </c>
      <c r="T780">
        <v>1750</v>
      </c>
      <c r="V780" t="s">
        <v>30</v>
      </c>
      <c r="W780" t="s">
        <v>558</v>
      </c>
      <c r="X780" t="s">
        <v>565</v>
      </c>
    </row>
    <row r="781" spans="1:24" x14ac:dyDescent="0.25">
      <c r="A781">
        <v>2025</v>
      </c>
      <c r="B781" t="s">
        <v>253</v>
      </c>
      <c r="C781" t="s">
        <v>488</v>
      </c>
      <c r="D781" t="s">
        <v>609</v>
      </c>
      <c r="E781">
        <v>2</v>
      </c>
      <c r="F781">
        <v>4</v>
      </c>
      <c r="G781" t="s">
        <v>603</v>
      </c>
      <c r="H781">
        <v>10</v>
      </c>
      <c r="I781" t="s">
        <v>128</v>
      </c>
      <c r="J781">
        <v>31</v>
      </c>
      <c r="K781">
        <v>33</v>
      </c>
      <c r="L781">
        <v>32</v>
      </c>
      <c r="M781" t="s">
        <v>115</v>
      </c>
      <c r="N781">
        <v>1650</v>
      </c>
      <c r="O781">
        <v>6</v>
      </c>
      <c r="P781">
        <v>6</v>
      </c>
      <c r="Q781">
        <v>283</v>
      </c>
      <c r="R781">
        <v>267</v>
      </c>
      <c r="S781">
        <v>276</v>
      </c>
      <c r="T781">
        <v>1250</v>
      </c>
      <c r="V781" t="s">
        <v>30</v>
      </c>
      <c r="W781" t="s">
        <v>558</v>
      </c>
      <c r="X781" t="s">
        <v>524</v>
      </c>
    </row>
    <row r="782" spans="1:24" x14ac:dyDescent="0.25">
      <c r="A782">
        <v>2025</v>
      </c>
      <c r="B782" t="s">
        <v>253</v>
      </c>
      <c r="C782" t="s">
        <v>488</v>
      </c>
      <c r="D782" t="s">
        <v>608</v>
      </c>
      <c r="E782">
        <v>2</v>
      </c>
      <c r="F782">
        <v>4</v>
      </c>
      <c r="G782" t="s">
        <v>603</v>
      </c>
      <c r="H782">
        <v>10</v>
      </c>
      <c r="I782" t="s">
        <v>28</v>
      </c>
      <c r="J782">
        <v>29</v>
      </c>
      <c r="K782">
        <v>31</v>
      </c>
      <c r="L782">
        <v>30</v>
      </c>
      <c r="M782" t="s">
        <v>118</v>
      </c>
      <c r="N782">
        <v>1750</v>
      </c>
      <c r="O782">
        <v>6</v>
      </c>
      <c r="P782">
        <v>6</v>
      </c>
      <c r="Q782">
        <v>305</v>
      </c>
      <c r="R782">
        <v>282</v>
      </c>
      <c r="S782">
        <v>294</v>
      </c>
      <c r="T782">
        <v>750</v>
      </c>
      <c r="V782" t="s">
        <v>30</v>
      </c>
      <c r="W782" t="s">
        <v>558</v>
      </c>
      <c r="X782" t="s">
        <v>524</v>
      </c>
    </row>
    <row r="783" spans="1:24" x14ac:dyDescent="0.25">
      <c r="A783">
        <v>2025</v>
      </c>
      <c r="B783" t="s">
        <v>253</v>
      </c>
      <c r="C783" t="s">
        <v>488</v>
      </c>
      <c r="D783" t="s">
        <v>607</v>
      </c>
      <c r="E783">
        <v>2</v>
      </c>
      <c r="F783">
        <v>4</v>
      </c>
      <c r="G783" t="s">
        <v>559</v>
      </c>
      <c r="H783">
        <v>6</v>
      </c>
      <c r="I783" t="s">
        <v>28</v>
      </c>
      <c r="J783">
        <v>45</v>
      </c>
      <c r="K783">
        <v>38</v>
      </c>
      <c r="L783">
        <v>42</v>
      </c>
      <c r="M783" t="s">
        <v>118</v>
      </c>
      <c r="N783">
        <v>1250</v>
      </c>
      <c r="O783">
        <v>7</v>
      </c>
      <c r="P783">
        <v>7</v>
      </c>
      <c r="Q783">
        <v>195</v>
      </c>
      <c r="R783">
        <v>231</v>
      </c>
      <c r="S783">
        <v>209</v>
      </c>
      <c r="T783">
        <v>3250</v>
      </c>
      <c r="V783" t="s">
        <v>30</v>
      </c>
      <c r="W783" t="s">
        <v>558</v>
      </c>
      <c r="X783" t="s">
        <v>524</v>
      </c>
    </row>
    <row r="784" spans="1:24" x14ac:dyDescent="0.25">
      <c r="A784">
        <v>2025</v>
      </c>
      <c r="B784" t="s">
        <v>253</v>
      </c>
      <c r="C784" t="s">
        <v>488</v>
      </c>
      <c r="D784" t="s">
        <v>606</v>
      </c>
      <c r="E784">
        <v>2</v>
      </c>
      <c r="F784">
        <v>4</v>
      </c>
      <c r="G784" t="s">
        <v>562</v>
      </c>
      <c r="H784">
        <v>1</v>
      </c>
      <c r="I784" t="s">
        <v>128</v>
      </c>
      <c r="J784">
        <v>31</v>
      </c>
      <c r="K784">
        <v>39</v>
      </c>
      <c r="L784">
        <v>34</v>
      </c>
      <c r="M784" t="s">
        <v>75</v>
      </c>
      <c r="N784">
        <v>1550</v>
      </c>
      <c r="O784">
        <v>7</v>
      </c>
      <c r="P784">
        <v>7</v>
      </c>
      <c r="Q784">
        <v>289</v>
      </c>
      <c r="R784">
        <v>226</v>
      </c>
      <c r="S784">
        <v>261</v>
      </c>
      <c r="T784">
        <v>1750</v>
      </c>
      <c r="V784" t="s">
        <v>30</v>
      </c>
      <c r="W784" t="s">
        <v>558</v>
      </c>
      <c r="X784" t="s">
        <v>565</v>
      </c>
    </row>
    <row r="785" spans="1:24" x14ac:dyDescent="0.25">
      <c r="A785">
        <v>2025</v>
      </c>
      <c r="B785" t="s">
        <v>253</v>
      </c>
      <c r="C785" t="s">
        <v>488</v>
      </c>
      <c r="D785" t="s">
        <v>605</v>
      </c>
      <c r="E785">
        <v>2</v>
      </c>
      <c r="F785">
        <v>4</v>
      </c>
      <c r="G785" t="s">
        <v>603</v>
      </c>
      <c r="H785">
        <v>10</v>
      </c>
      <c r="I785" t="s">
        <v>128</v>
      </c>
      <c r="J785">
        <v>32</v>
      </c>
      <c r="K785">
        <v>41</v>
      </c>
      <c r="L785">
        <v>35</v>
      </c>
      <c r="M785" t="s">
        <v>75</v>
      </c>
      <c r="N785">
        <v>1500</v>
      </c>
      <c r="O785">
        <v>7</v>
      </c>
      <c r="P785">
        <v>7</v>
      </c>
      <c r="Q785">
        <v>278</v>
      </c>
      <c r="R785">
        <v>217</v>
      </c>
      <c r="S785">
        <v>254</v>
      </c>
      <c r="T785">
        <v>2000</v>
      </c>
      <c r="V785" t="s">
        <v>30</v>
      </c>
      <c r="W785" t="s">
        <v>558</v>
      </c>
      <c r="X785" t="s">
        <v>565</v>
      </c>
    </row>
    <row r="786" spans="1:24" x14ac:dyDescent="0.25">
      <c r="A786">
        <v>2025</v>
      </c>
      <c r="B786" t="s">
        <v>253</v>
      </c>
      <c r="C786" t="s">
        <v>488</v>
      </c>
      <c r="D786" t="s">
        <v>604</v>
      </c>
      <c r="E786">
        <v>2</v>
      </c>
      <c r="F786">
        <v>4</v>
      </c>
      <c r="G786" t="s">
        <v>603</v>
      </c>
      <c r="H786">
        <v>10</v>
      </c>
      <c r="I786" t="s">
        <v>128</v>
      </c>
      <c r="J786">
        <v>30</v>
      </c>
      <c r="K786">
        <v>38</v>
      </c>
      <c r="L786">
        <v>33</v>
      </c>
      <c r="M786" t="s">
        <v>75</v>
      </c>
      <c r="N786">
        <v>1600</v>
      </c>
      <c r="O786">
        <v>6</v>
      </c>
      <c r="P786">
        <v>6</v>
      </c>
      <c r="Q786">
        <v>295</v>
      </c>
      <c r="R786">
        <v>230</v>
      </c>
      <c r="S786">
        <v>266</v>
      </c>
      <c r="T786">
        <v>1500</v>
      </c>
      <c r="V786" t="s">
        <v>30</v>
      </c>
      <c r="W786" t="s">
        <v>558</v>
      </c>
      <c r="X786" t="s">
        <v>565</v>
      </c>
    </row>
    <row r="787" spans="1:24" x14ac:dyDescent="0.25">
      <c r="A787">
        <v>2025</v>
      </c>
      <c r="B787" t="s">
        <v>253</v>
      </c>
      <c r="C787" t="s">
        <v>488</v>
      </c>
      <c r="D787" t="s">
        <v>602</v>
      </c>
      <c r="E787">
        <v>1.8</v>
      </c>
      <c r="F787">
        <v>4</v>
      </c>
      <c r="G787" t="s">
        <v>562</v>
      </c>
      <c r="H787">
        <v>1</v>
      </c>
      <c r="I787" t="s">
        <v>128</v>
      </c>
      <c r="J787">
        <v>53</v>
      </c>
      <c r="K787">
        <v>46</v>
      </c>
      <c r="L787">
        <v>50</v>
      </c>
      <c r="M787" t="s">
        <v>75</v>
      </c>
      <c r="N787">
        <v>1050</v>
      </c>
      <c r="O787">
        <v>8</v>
      </c>
      <c r="P787">
        <v>8</v>
      </c>
      <c r="Q787">
        <v>163</v>
      </c>
      <c r="R787">
        <v>186</v>
      </c>
      <c r="S787">
        <v>173</v>
      </c>
      <c r="T787">
        <v>4250</v>
      </c>
      <c r="V787" t="s">
        <v>30</v>
      </c>
      <c r="W787" t="s">
        <v>558</v>
      </c>
      <c r="X787" t="s">
        <v>524</v>
      </c>
    </row>
    <row r="788" spans="1:24" x14ac:dyDescent="0.25">
      <c r="A788">
        <v>2025</v>
      </c>
      <c r="B788" t="s">
        <v>253</v>
      </c>
      <c r="C788" t="s">
        <v>488</v>
      </c>
      <c r="D788" t="s">
        <v>602</v>
      </c>
      <c r="E788">
        <v>1.8</v>
      </c>
      <c r="F788">
        <v>4</v>
      </c>
      <c r="G788" t="s">
        <v>562</v>
      </c>
      <c r="H788">
        <v>1</v>
      </c>
      <c r="I788" t="s">
        <v>128</v>
      </c>
      <c r="J788">
        <v>50</v>
      </c>
      <c r="K788">
        <v>43</v>
      </c>
      <c r="L788">
        <v>47</v>
      </c>
      <c r="M788" t="s">
        <v>75</v>
      </c>
      <c r="N788">
        <v>1100</v>
      </c>
      <c r="O788">
        <v>8</v>
      </c>
      <c r="P788">
        <v>8</v>
      </c>
      <c r="Q788">
        <v>173</v>
      </c>
      <c r="R788">
        <v>204</v>
      </c>
      <c r="S788">
        <v>186</v>
      </c>
      <c r="T788">
        <v>4000</v>
      </c>
      <c r="V788" t="s">
        <v>30</v>
      </c>
      <c r="W788" t="s">
        <v>558</v>
      </c>
      <c r="X788" t="s">
        <v>524</v>
      </c>
    </row>
    <row r="789" spans="1:24" x14ac:dyDescent="0.25">
      <c r="A789">
        <v>2025</v>
      </c>
      <c r="B789" t="s">
        <v>253</v>
      </c>
      <c r="C789" t="s">
        <v>488</v>
      </c>
      <c r="D789" t="s">
        <v>601</v>
      </c>
      <c r="E789">
        <v>1.8</v>
      </c>
      <c r="F789">
        <v>4</v>
      </c>
      <c r="G789" t="s">
        <v>562</v>
      </c>
      <c r="H789">
        <v>1</v>
      </c>
      <c r="I789" t="s">
        <v>28</v>
      </c>
      <c r="J789">
        <v>51</v>
      </c>
      <c r="K789">
        <v>44</v>
      </c>
      <c r="L789">
        <v>48</v>
      </c>
      <c r="M789" t="s">
        <v>75</v>
      </c>
      <c r="N789">
        <v>1100</v>
      </c>
      <c r="O789">
        <v>8</v>
      </c>
      <c r="P789">
        <v>8</v>
      </c>
      <c r="Q789">
        <v>167</v>
      </c>
      <c r="R789">
        <v>194</v>
      </c>
      <c r="S789">
        <v>179</v>
      </c>
      <c r="T789">
        <v>4000</v>
      </c>
      <c r="V789" t="s">
        <v>30</v>
      </c>
      <c r="W789" t="s">
        <v>558</v>
      </c>
      <c r="X789" t="s">
        <v>524</v>
      </c>
    </row>
    <row r="790" spans="1:24" x14ac:dyDescent="0.25">
      <c r="A790">
        <v>2025</v>
      </c>
      <c r="B790" t="s">
        <v>253</v>
      </c>
      <c r="C790" t="s">
        <v>488</v>
      </c>
      <c r="D790" t="s">
        <v>601</v>
      </c>
      <c r="E790">
        <v>1.8</v>
      </c>
      <c r="F790">
        <v>4</v>
      </c>
      <c r="G790" t="s">
        <v>562</v>
      </c>
      <c r="H790">
        <v>1</v>
      </c>
      <c r="I790" t="s">
        <v>28</v>
      </c>
      <c r="J790">
        <v>47</v>
      </c>
      <c r="K790">
        <v>41</v>
      </c>
      <c r="L790">
        <v>44</v>
      </c>
      <c r="M790" t="s">
        <v>75</v>
      </c>
      <c r="N790">
        <v>1200</v>
      </c>
      <c r="O790">
        <v>7</v>
      </c>
      <c r="P790">
        <v>7</v>
      </c>
      <c r="Q790">
        <v>186</v>
      </c>
      <c r="R790">
        <v>214</v>
      </c>
      <c r="S790">
        <v>199</v>
      </c>
      <c r="T790">
        <v>3500</v>
      </c>
      <c r="V790" t="s">
        <v>30</v>
      </c>
      <c r="W790" t="s">
        <v>558</v>
      </c>
      <c r="X790" t="s">
        <v>524</v>
      </c>
    </row>
    <row r="791" spans="1:24" x14ac:dyDescent="0.25">
      <c r="A791">
        <v>2025</v>
      </c>
      <c r="B791" t="s">
        <v>253</v>
      </c>
      <c r="C791" t="s">
        <v>488</v>
      </c>
      <c r="D791" t="s">
        <v>600</v>
      </c>
      <c r="E791">
        <v>1.6</v>
      </c>
      <c r="F791">
        <v>3</v>
      </c>
      <c r="G791" t="s">
        <v>526</v>
      </c>
      <c r="H791">
        <v>8</v>
      </c>
      <c r="I791" t="s">
        <v>28</v>
      </c>
      <c r="J791">
        <v>19</v>
      </c>
      <c r="K791">
        <v>27</v>
      </c>
      <c r="L791">
        <v>22</v>
      </c>
      <c r="M791" t="s">
        <v>36</v>
      </c>
      <c r="N791">
        <v>2900</v>
      </c>
      <c r="O791">
        <v>5</v>
      </c>
      <c r="P791">
        <v>5</v>
      </c>
      <c r="Q791">
        <v>455</v>
      </c>
      <c r="R791">
        <v>321</v>
      </c>
      <c r="S791">
        <v>395</v>
      </c>
      <c r="U791">
        <v>5000</v>
      </c>
      <c r="V791" t="s">
        <v>30</v>
      </c>
      <c r="W791" t="s">
        <v>528</v>
      </c>
      <c r="X791" t="s">
        <v>565</v>
      </c>
    </row>
    <row r="792" spans="1:24" x14ac:dyDescent="0.25">
      <c r="A792">
        <v>2025</v>
      </c>
      <c r="B792" t="s">
        <v>253</v>
      </c>
      <c r="C792" t="s">
        <v>488</v>
      </c>
      <c r="D792" t="s">
        <v>600</v>
      </c>
      <c r="E792">
        <v>1.6</v>
      </c>
      <c r="F792">
        <v>3</v>
      </c>
      <c r="G792" t="s">
        <v>546</v>
      </c>
      <c r="H792">
        <v>6</v>
      </c>
      <c r="I792" t="s">
        <v>28</v>
      </c>
      <c r="J792">
        <v>21</v>
      </c>
      <c r="K792">
        <v>28</v>
      </c>
      <c r="L792">
        <v>24</v>
      </c>
      <c r="M792" t="s">
        <v>36</v>
      </c>
      <c r="N792">
        <v>2650</v>
      </c>
      <c r="O792">
        <v>5</v>
      </c>
      <c r="P792">
        <v>5</v>
      </c>
      <c r="Q792">
        <v>415</v>
      </c>
      <c r="R792">
        <v>311</v>
      </c>
      <c r="S792">
        <v>368</v>
      </c>
      <c r="U792">
        <v>3750</v>
      </c>
      <c r="V792" t="s">
        <v>30</v>
      </c>
      <c r="W792" t="s">
        <v>528</v>
      </c>
      <c r="X792" t="s">
        <v>565</v>
      </c>
    </row>
    <row r="793" spans="1:24" x14ac:dyDescent="0.25">
      <c r="A793">
        <v>2025</v>
      </c>
      <c r="B793" t="s">
        <v>253</v>
      </c>
      <c r="C793" t="s">
        <v>488</v>
      </c>
      <c r="D793" t="s">
        <v>599</v>
      </c>
      <c r="E793">
        <v>2.4</v>
      </c>
      <c r="F793">
        <v>4</v>
      </c>
      <c r="G793" t="s">
        <v>546</v>
      </c>
      <c r="H793">
        <v>6</v>
      </c>
      <c r="I793" t="s">
        <v>46</v>
      </c>
      <c r="J793">
        <v>20</v>
      </c>
      <c r="K793">
        <v>26</v>
      </c>
      <c r="L793">
        <v>22</v>
      </c>
      <c r="M793" t="s">
        <v>155</v>
      </c>
      <c r="N793">
        <v>2900</v>
      </c>
      <c r="O793">
        <v>5</v>
      </c>
      <c r="P793">
        <v>5</v>
      </c>
      <c r="Q793">
        <v>454</v>
      </c>
      <c r="R793">
        <v>336</v>
      </c>
      <c r="S793">
        <v>401</v>
      </c>
      <c r="U793">
        <v>5000</v>
      </c>
      <c r="V793" t="s">
        <v>30</v>
      </c>
      <c r="W793" t="s">
        <v>558</v>
      </c>
      <c r="X793" t="s">
        <v>565</v>
      </c>
    </row>
    <row r="794" spans="1:24" x14ac:dyDescent="0.25">
      <c r="A794">
        <v>2025</v>
      </c>
      <c r="B794" t="s">
        <v>253</v>
      </c>
      <c r="C794" t="s">
        <v>488</v>
      </c>
      <c r="D794" t="s">
        <v>599</v>
      </c>
      <c r="E794">
        <v>2.4</v>
      </c>
      <c r="F794">
        <v>4</v>
      </c>
      <c r="G794" t="s">
        <v>594</v>
      </c>
      <c r="H794">
        <v>6</v>
      </c>
      <c r="I794" t="s">
        <v>46</v>
      </c>
      <c r="J794">
        <v>21</v>
      </c>
      <c r="K794">
        <v>30</v>
      </c>
      <c r="L794">
        <v>24</v>
      </c>
      <c r="M794" t="s">
        <v>155</v>
      </c>
      <c r="N794">
        <v>2650</v>
      </c>
      <c r="O794">
        <v>5</v>
      </c>
      <c r="P794">
        <v>5</v>
      </c>
      <c r="Q794">
        <v>423</v>
      </c>
      <c r="R794">
        <v>296</v>
      </c>
      <c r="S794">
        <v>366</v>
      </c>
      <c r="U794">
        <v>3750</v>
      </c>
      <c r="V794" t="s">
        <v>30</v>
      </c>
      <c r="W794" t="s">
        <v>558</v>
      </c>
      <c r="X794" t="s">
        <v>565</v>
      </c>
    </row>
    <row r="795" spans="1:24" x14ac:dyDescent="0.25">
      <c r="A795">
        <v>2025</v>
      </c>
      <c r="B795" t="s">
        <v>253</v>
      </c>
      <c r="C795" t="s">
        <v>488</v>
      </c>
      <c r="D795" t="s">
        <v>598</v>
      </c>
      <c r="E795">
        <v>2.4</v>
      </c>
      <c r="F795">
        <v>4</v>
      </c>
      <c r="G795" t="s">
        <v>526</v>
      </c>
      <c r="H795">
        <v>8</v>
      </c>
      <c r="I795" t="s">
        <v>28</v>
      </c>
      <c r="J795">
        <v>21</v>
      </c>
      <c r="K795">
        <v>27</v>
      </c>
      <c r="L795">
        <v>23</v>
      </c>
      <c r="M795" t="s">
        <v>29</v>
      </c>
      <c r="N795">
        <v>2300</v>
      </c>
      <c r="O795">
        <v>5</v>
      </c>
      <c r="P795">
        <v>5</v>
      </c>
      <c r="Q795">
        <v>424</v>
      </c>
      <c r="R795">
        <v>325</v>
      </c>
      <c r="S795">
        <v>379</v>
      </c>
      <c r="U795">
        <v>2000</v>
      </c>
      <c r="V795" t="s">
        <v>30</v>
      </c>
      <c r="W795" t="s">
        <v>528</v>
      </c>
      <c r="X795" t="s">
        <v>524</v>
      </c>
    </row>
    <row r="796" spans="1:24" x14ac:dyDescent="0.25">
      <c r="A796">
        <v>2025</v>
      </c>
      <c r="B796" t="s">
        <v>253</v>
      </c>
      <c r="C796" t="s">
        <v>488</v>
      </c>
      <c r="D796" t="s">
        <v>597</v>
      </c>
      <c r="E796">
        <v>2.4</v>
      </c>
      <c r="F796">
        <v>4</v>
      </c>
      <c r="G796" t="s">
        <v>526</v>
      </c>
      <c r="H796">
        <v>8</v>
      </c>
      <c r="I796" t="s">
        <v>28</v>
      </c>
      <c r="J796">
        <v>20</v>
      </c>
      <c r="K796">
        <v>26</v>
      </c>
      <c r="L796">
        <v>22</v>
      </c>
      <c r="M796" t="s">
        <v>29</v>
      </c>
      <c r="N796">
        <v>2400</v>
      </c>
      <c r="O796">
        <v>5</v>
      </c>
      <c r="P796">
        <v>5</v>
      </c>
      <c r="Q796">
        <v>433</v>
      </c>
      <c r="R796">
        <v>338</v>
      </c>
      <c r="S796">
        <v>400</v>
      </c>
      <c r="U796">
        <v>2500</v>
      </c>
      <c r="V796" t="s">
        <v>30</v>
      </c>
      <c r="W796" t="s">
        <v>528</v>
      </c>
      <c r="X796" t="s">
        <v>524</v>
      </c>
    </row>
    <row r="797" spans="1:24" x14ac:dyDescent="0.25">
      <c r="A797">
        <v>2025</v>
      </c>
      <c r="B797" t="s">
        <v>253</v>
      </c>
      <c r="C797" t="s">
        <v>488</v>
      </c>
      <c r="D797" t="s">
        <v>596</v>
      </c>
      <c r="E797">
        <v>2.5</v>
      </c>
      <c r="F797">
        <v>4</v>
      </c>
      <c r="G797" t="s">
        <v>559</v>
      </c>
      <c r="H797">
        <v>6</v>
      </c>
      <c r="I797" t="s">
        <v>128</v>
      </c>
      <c r="J797">
        <v>37</v>
      </c>
      <c r="K797">
        <v>34</v>
      </c>
      <c r="L797">
        <v>36</v>
      </c>
      <c r="M797" t="s">
        <v>47</v>
      </c>
      <c r="N797">
        <v>1450</v>
      </c>
      <c r="O797">
        <v>7</v>
      </c>
      <c r="P797">
        <v>7</v>
      </c>
      <c r="Q797">
        <v>237</v>
      </c>
      <c r="R797">
        <v>258</v>
      </c>
      <c r="S797">
        <v>246</v>
      </c>
      <c r="T797">
        <v>2250</v>
      </c>
      <c r="V797" t="s">
        <v>30</v>
      </c>
      <c r="W797" t="s">
        <v>558</v>
      </c>
      <c r="X797" t="s">
        <v>524</v>
      </c>
    </row>
    <row r="798" spans="1:24" x14ac:dyDescent="0.25">
      <c r="A798">
        <v>2025</v>
      </c>
      <c r="B798" t="s">
        <v>253</v>
      </c>
      <c r="C798" t="s">
        <v>488</v>
      </c>
      <c r="D798" t="s">
        <v>595</v>
      </c>
      <c r="E798">
        <v>2.5</v>
      </c>
      <c r="F798">
        <v>4</v>
      </c>
      <c r="G798" t="s">
        <v>559</v>
      </c>
      <c r="H798">
        <v>6</v>
      </c>
      <c r="I798" t="s">
        <v>28</v>
      </c>
      <c r="J798">
        <v>36</v>
      </c>
      <c r="K798">
        <v>32</v>
      </c>
      <c r="L798">
        <v>34</v>
      </c>
      <c r="M798" t="s">
        <v>29</v>
      </c>
      <c r="N798">
        <v>1550</v>
      </c>
      <c r="O798">
        <v>7</v>
      </c>
      <c r="P798">
        <v>7</v>
      </c>
      <c r="Q798">
        <v>245</v>
      </c>
      <c r="R798">
        <v>275</v>
      </c>
      <c r="S798">
        <v>258</v>
      </c>
      <c r="T798">
        <v>1750</v>
      </c>
      <c r="V798" t="s">
        <v>30</v>
      </c>
      <c r="W798" t="s">
        <v>558</v>
      </c>
      <c r="X798" t="s">
        <v>524</v>
      </c>
    </row>
    <row r="799" spans="1:24" x14ac:dyDescent="0.25">
      <c r="A799">
        <v>2025</v>
      </c>
      <c r="B799" t="s">
        <v>253</v>
      </c>
      <c r="C799" t="s">
        <v>488</v>
      </c>
      <c r="D799" t="s">
        <v>595</v>
      </c>
      <c r="E799">
        <v>2.4</v>
      </c>
      <c r="F799">
        <v>4</v>
      </c>
      <c r="G799" t="s">
        <v>594</v>
      </c>
      <c r="H799">
        <v>6</v>
      </c>
      <c r="I799" t="s">
        <v>28</v>
      </c>
      <c r="J799">
        <v>26</v>
      </c>
      <c r="K799">
        <v>27</v>
      </c>
      <c r="L799">
        <v>27</v>
      </c>
      <c r="M799" t="s">
        <v>29</v>
      </c>
      <c r="N799">
        <v>1950</v>
      </c>
      <c r="O799">
        <v>5</v>
      </c>
      <c r="P799">
        <v>5</v>
      </c>
      <c r="Q799">
        <v>338</v>
      </c>
      <c r="R799">
        <v>325</v>
      </c>
      <c r="S799">
        <v>332</v>
      </c>
      <c r="U799">
        <v>250</v>
      </c>
      <c r="V799" t="s">
        <v>30</v>
      </c>
      <c r="W799" t="s">
        <v>528</v>
      </c>
      <c r="X799" t="s">
        <v>524</v>
      </c>
    </row>
    <row r="800" spans="1:24" x14ac:dyDescent="0.25">
      <c r="A800">
        <v>2025</v>
      </c>
      <c r="B800" t="s">
        <v>253</v>
      </c>
      <c r="C800" t="s">
        <v>488</v>
      </c>
      <c r="D800" t="s">
        <v>593</v>
      </c>
      <c r="E800">
        <v>2.4</v>
      </c>
      <c r="F800">
        <v>4</v>
      </c>
      <c r="G800" t="s">
        <v>526</v>
      </c>
      <c r="H800">
        <v>8</v>
      </c>
      <c r="I800" t="s">
        <v>128</v>
      </c>
      <c r="J800">
        <v>21</v>
      </c>
      <c r="K800">
        <v>28</v>
      </c>
      <c r="L800">
        <v>24</v>
      </c>
      <c r="M800" t="s">
        <v>47</v>
      </c>
      <c r="N800">
        <v>2200</v>
      </c>
      <c r="O800">
        <v>5</v>
      </c>
      <c r="P800">
        <v>5</v>
      </c>
      <c r="Q800">
        <v>419</v>
      </c>
      <c r="R800">
        <v>313</v>
      </c>
      <c r="S800">
        <v>371</v>
      </c>
      <c r="U800">
        <v>1500</v>
      </c>
      <c r="V800" t="s">
        <v>30</v>
      </c>
      <c r="W800" t="s">
        <v>528</v>
      </c>
      <c r="X800" t="s">
        <v>524</v>
      </c>
    </row>
    <row r="801" spans="1:24" x14ac:dyDescent="0.25">
      <c r="A801">
        <v>2025</v>
      </c>
      <c r="B801" t="s">
        <v>253</v>
      </c>
      <c r="C801" t="s">
        <v>488</v>
      </c>
      <c r="D801" t="s">
        <v>592</v>
      </c>
      <c r="E801">
        <v>2.4</v>
      </c>
      <c r="F801">
        <v>4</v>
      </c>
      <c r="G801" t="s">
        <v>526</v>
      </c>
      <c r="H801">
        <v>8</v>
      </c>
      <c r="I801" t="s">
        <v>128</v>
      </c>
      <c r="J801">
        <v>21</v>
      </c>
      <c r="K801">
        <v>28</v>
      </c>
      <c r="L801">
        <v>24</v>
      </c>
      <c r="M801" t="s">
        <v>47</v>
      </c>
      <c r="N801">
        <v>2200</v>
      </c>
      <c r="O801">
        <v>5</v>
      </c>
      <c r="P801">
        <v>5</v>
      </c>
      <c r="Q801">
        <v>410</v>
      </c>
      <c r="R801">
        <v>312</v>
      </c>
      <c r="S801">
        <v>366</v>
      </c>
      <c r="U801">
        <v>1500</v>
      </c>
      <c r="V801" t="s">
        <v>30</v>
      </c>
      <c r="W801" t="s">
        <v>528</v>
      </c>
      <c r="X801" t="s">
        <v>524</v>
      </c>
    </row>
    <row r="802" spans="1:24" x14ac:dyDescent="0.25">
      <c r="A802">
        <v>2025</v>
      </c>
      <c r="B802" t="s">
        <v>253</v>
      </c>
      <c r="C802" t="s">
        <v>488</v>
      </c>
      <c r="D802" t="s">
        <v>591</v>
      </c>
      <c r="E802">
        <v>2.4</v>
      </c>
      <c r="F802">
        <v>4</v>
      </c>
      <c r="G802" t="s">
        <v>526</v>
      </c>
      <c r="H802">
        <v>8</v>
      </c>
      <c r="I802" t="s">
        <v>128</v>
      </c>
      <c r="J802">
        <v>22</v>
      </c>
      <c r="K802">
        <v>29</v>
      </c>
      <c r="L802">
        <v>25</v>
      </c>
      <c r="M802" t="s">
        <v>115</v>
      </c>
      <c r="N802">
        <v>2100</v>
      </c>
      <c r="O802">
        <v>5</v>
      </c>
      <c r="P802">
        <v>5</v>
      </c>
      <c r="Q802">
        <v>403</v>
      </c>
      <c r="R802">
        <v>305</v>
      </c>
      <c r="S802">
        <v>359</v>
      </c>
      <c r="U802">
        <v>1000</v>
      </c>
      <c r="V802" t="s">
        <v>30</v>
      </c>
      <c r="W802" t="s">
        <v>528</v>
      </c>
      <c r="X802" t="s">
        <v>524</v>
      </c>
    </row>
    <row r="803" spans="1:24" x14ac:dyDescent="0.25">
      <c r="A803">
        <v>2025</v>
      </c>
      <c r="B803" t="s">
        <v>253</v>
      </c>
      <c r="C803" t="s">
        <v>488</v>
      </c>
      <c r="D803" t="s">
        <v>591</v>
      </c>
      <c r="E803">
        <v>2.4</v>
      </c>
      <c r="F803">
        <v>4</v>
      </c>
      <c r="G803" t="s">
        <v>526</v>
      </c>
      <c r="H803">
        <v>8</v>
      </c>
      <c r="I803" t="s">
        <v>128</v>
      </c>
      <c r="J803">
        <v>21</v>
      </c>
      <c r="K803">
        <v>28</v>
      </c>
      <c r="L803">
        <v>24</v>
      </c>
      <c r="M803" t="s">
        <v>115</v>
      </c>
      <c r="N803">
        <v>2200</v>
      </c>
      <c r="O803">
        <v>5</v>
      </c>
      <c r="P803">
        <v>5</v>
      </c>
      <c r="Q803">
        <v>419</v>
      </c>
      <c r="R803">
        <v>311</v>
      </c>
      <c r="S803">
        <v>370</v>
      </c>
      <c r="U803">
        <v>1500</v>
      </c>
      <c r="V803" t="s">
        <v>30</v>
      </c>
      <c r="W803" t="s">
        <v>528</v>
      </c>
      <c r="X803" t="s">
        <v>565</v>
      </c>
    </row>
    <row r="804" spans="1:24" x14ac:dyDescent="0.25">
      <c r="A804">
        <v>2025</v>
      </c>
      <c r="B804" t="s">
        <v>253</v>
      </c>
      <c r="C804" t="s">
        <v>488</v>
      </c>
      <c r="D804" t="s">
        <v>590</v>
      </c>
      <c r="E804">
        <v>2.4</v>
      </c>
      <c r="F804">
        <v>4</v>
      </c>
      <c r="G804" t="s">
        <v>526</v>
      </c>
      <c r="H804">
        <v>8</v>
      </c>
      <c r="I804" t="s">
        <v>28</v>
      </c>
      <c r="J804">
        <v>21</v>
      </c>
      <c r="K804">
        <v>28</v>
      </c>
      <c r="L804">
        <v>24</v>
      </c>
      <c r="M804" t="s">
        <v>118</v>
      </c>
      <c r="N804">
        <v>2200</v>
      </c>
      <c r="O804">
        <v>5</v>
      </c>
      <c r="P804">
        <v>5</v>
      </c>
      <c r="Q804">
        <v>415</v>
      </c>
      <c r="R804">
        <v>318</v>
      </c>
      <c r="S804">
        <v>371</v>
      </c>
      <c r="U804">
        <v>1500</v>
      </c>
      <c r="V804" t="s">
        <v>30</v>
      </c>
      <c r="W804" t="s">
        <v>528</v>
      </c>
      <c r="X804" t="s">
        <v>524</v>
      </c>
    </row>
    <row r="805" spans="1:24" x14ac:dyDescent="0.25">
      <c r="A805">
        <v>2025</v>
      </c>
      <c r="B805" t="s">
        <v>253</v>
      </c>
      <c r="C805" t="s">
        <v>488</v>
      </c>
      <c r="D805" t="s">
        <v>589</v>
      </c>
      <c r="E805">
        <v>2.5</v>
      </c>
      <c r="F805">
        <v>4</v>
      </c>
      <c r="G805" t="s">
        <v>559</v>
      </c>
      <c r="H805">
        <v>6</v>
      </c>
      <c r="I805" t="s">
        <v>28</v>
      </c>
      <c r="J805">
        <v>35</v>
      </c>
      <c r="K805">
        <v>35</v>
      </c>
      <c r="L805">
        <v>35</v>
      </c>
      <c r="M805" t="s">
        <v>29</v>
      </c>
      <c r="N805">
        <v>1500</v>
      </c>
      <c r="O805">
        <v>7</v>
      </c>
      <c r="P805">
        <v>7</v>
      </c>
      <c r="Q805">
        <v>252</v>
      </c>
      <c r="R805">
        <v>256</v>
      </c>
      <c r="S805">
        <v>254</v>
      </c>
      <c r="T805">
        <v>2000</v>
      </c>
      <c r="V805" t="s">
        <v>30</v>
      </c>
      <c r="W805" t="s">
        <v>558</v>
      </c>
      <c r="X805" t="s">
        <v>524</v>
      </c>
    </row>
    <row r="806" spans="1:24" x14ac:dyDescent="0.25">
      <c r="A806">
        <v>2025</v>
      </c>
      <c r="B806" t="s">
        <v>253</v>
      </c>
      <c r="C806" t="s">
        <v>488</v>
      </c>
      <c r="D806" t="s">
        <v>588</v>
      </c>
      <c r="E806">
        <v>2.5</v>
      </c>
      <c r="F806">
        <v>4</v>
      </c>
      <c r="G806" t="s">
        <v>559</v>
      </c>
      <c r="H806">
        <v>6</v>
      </c>
      <c r="I806" t="s">
        <v>28</v>
      </c>
      <c r="J806">
        <v>35</v>
      </c>
      <c r="K806">
        <v>34</v>
      </c>
      <c r="L806">
        <v>35</v>
      </c>
      <c r="M806" t="s">
        <v>29</v>
      </c>
      <c r="N806">
        <v>1500</v>
      </c>
      <c r="O806">
        <v>7</v>
      </c>
      <c r="P806">
        <v>7</v>
      </c>
      <c r="Q806">
        <v>248</v>
      </c>
      <c r="R806">
        <v>259</v>
      </c>
      <c r="S806">
        <v>253</v>
      </c>
      <c r="T806">
        <v>2000</v>
      </c>
      <c r="V806" t="s">
        <v>30</v>
      </c>
      <c r="W806" t="s">
        <v>558</v>
      </c>
      <c r="X806" t="s">
        <v>524</v>
      </c>
    </row>
    <row r="807" spans="1:24" x14ac:dyDescent="0.25">
      <c r="A807">
        <v>2025</v>
      </c>
      <c r="B807" t="s">
        <v>253</v>
      </c>
      <c r="C807" t="s">
        <v>488</v>
      </c>
      <c r="D807" t="s">
        <v>587</v>
      </c>
      <c r="E807">
        <v>2.4</v>
      </c>
      <c r="F807">
        <v>4</v>
      </c>
      <c r="G807" t="s">
        <v>526</v>
      </c>
      <c r="H807">
        <v>8</v>
      </c>
      <c r="I807" t="s">
        <v>107</v>
      </c>
      <c r="J807">
        <v>22</v>
      </c>
      <c r="K807">
        <v>25</v>
      </c>
      <c r="L807">
        <v>23</v>
      </c>
      <c r="M807" t="s">
        <v>29</v>
      </c>
      <c r="N807">
        <v>2750</v>
      </c>
      <c r="O807">
        <v>5</v>
      </c>
      <c r="P807">
        <v>5</v>
      </c>
      <c r="Q807">
        <v>402</v>
      </c>
      <c r="R807">
        <v>355</v>
      </c>
      <c r="S807">
        <v>381</v>
      </c>
      <c r="U807">
        <v>4250</v>
      </c>
      <c r="V807" t="s">
        <v>30</v>
      </c>
      <c r="W807" t="s">
        <v>528</v>
      </c>
      <c r="X807" t="s">
        <v>524</v>
      </c>
    </row>
    <row r="808" spans="1:24" x14ac:dyDescent="0.25">
      <c r="A808">
        <v>2025</v>
      </c>
      <c r="B808" t="s">
        <v>253</v>
      </c>
      <c r="C808" t="s">
        <v>488</v>
      </c>
      <c r="D808" t="s">
        <v>586</v>
      </c>
      <c r="E808">
        <v>2</v>
      </c>
      <c r="F808">
        <v>4</v>
      </c>
      <c r="G808" t="s">
        <v>562</v>
      </c>
      <c r="H808">
        <v>1</v>
      </c>
      <c r="I808" t="s">
        <v>128</v>
      </c>
      <c r="J808">
        <v>57</v>
      </c>
      <c r="K808">
        <v>56</v>
      </c>
      <c r="L808">
        <v>57</v>
      </c>
      <c r="M808" t="s">
        <v>186</v>
      </c>
      <c r="N808">
        <v>900</v>
      </c>
      <c r="O808">
        <v>8</v>
      </c>
      <c r="P808">
        <v>8</v>
      </c>
      <c r="Q808">
        <v>154</v>
      </c>
      <c r="R808">
        <v>158</v>
      </c>
      <c r="S808">
        <v>155</v>
      </c>
      <c r="T808">
        <v>5000</v>
      </c>
      <c r="V808" t="s">
        <v>30</v>
      </c>
      <c r="W808" t="s">
        <v>558</v>
      </c>
      <c r="X808" t="s">
        <v>524</v>
      </c>
    </row>
    <row r="809" spans="1:24" x14ac:dyDescent="0.25">
      <c r="A809">
        <v>2025</v>
      </c>
      <c r="B809" t="s">
        <v>253</v>
      </c>
      <c r="C809" t="s">
        <v>488</v>
      </c>
      <c r="D809" t="s">
        <v>585</v>
      </c>
      <c r="E809">
        <v>2</v>
      </c>
      <c r="F809">
        <v>4</v>
      </c>
      <c r="G809" t="s">
        <v>562</v>
      </c>
      <c r="H809">
        <v>1</v>
      </c>
      <c r="I809" t="s">
        <v>400</v>
      </c>
      <c r="J809">
        <v>53</v>
      </c>
      <c r="K809">
        <v>54</v>
      </c>
      <c r="L809">
        <v>54</v>
      </c>
      <c r="M809" t="s">
        <v>186</v>
      </c>
      <c r="N809">
        <v>950</v>
      </c>
      <c r="O809">
        <v>8</v>
      </c>
      <c r="P809">
        <v>8</v>
      </c>
      <c r="Q809">
        <v>166</v>
      </c>
      <c r="R809">
        <v>163</v>
      </c>
      <c r="S809">
        <v>163</v>
      </c>
      <c r="T809">
        <v>4750</v>
      </c>
      <c r="V809" t="s">
        <v>30</v>
      </c>
      <c r="W809" t="s">
        <v>558</v>
      </c>
      <c r="X809" t="s">
        <v>524</v>
      </c>
    </row>
    <row r="810" spans="1:24" x14ac:dyDescent="0.25">
      <c r="A810">
        <v>2025</v>
      </c>
      <c r="B810" t="s">
        <v>253</v>
      </c>
      <c r="C810" t="s">
        <v>488</v>
      </c>
      <c r="D810" t="s">
        <v>584</v>
      </c>
      <c r="E810">
        <v>2</v>
      </c>
      <c r="F810">
        <v>4</v>
      </c>
      <c r="G810" t="s">
        <v>562</v>
      </c>
      <c r="H810">
        <v>1</v>
      </c>
      <c r="I810" t="s">
        <v>400</v>
      </c>
      <c r="J810">
        <v>49</v>
      </c>
      <c r="K810">
        <v>50</v>
      </c>
      <c r="L810">
        <v>49</v>
      </c>
      <c r="M810" t="s">
        <v>186</v>
      </c>
      <c r="N810">
        <v>1050</v>
      </c>
      <c r="O810">
        <v>8</v>
      </c>
      <c r="P810">
        <v>8</v>
      </c>
      <c r="Q810">
        <v>179</v>
      </c>
      <c r="R810">
        <v>176</v>
      </c>
      <c r="S810">
        <v>179</v>
      </c>
      <c r="T810">
        <v>4250</v>
      </c>
      <c r="V810" t="s">
        <v>30</v>
      </c>
      <c r="W810" t="s">
        <v>558</v>
      </c>
      <c r="X810" t="s">
        <v>524</v>
      </c>
    </row>
    <row r="811" spans="1:24" x14ac:dyDescent="0.25">
      <c r="A811">
        <v>2025</v>
      </c>
      <c r="B811" t="s">
        <v>253</v>
      </c>
      <c r="C811" t="s">
        <v>488</v>
      </c>
      <c r="D811" t="s">
        <v>583</v>
      </c>
      <c r="E811">
        <v>2</v>
      </c>
      <c r="F811">
        <v>4</v>
      </c>
      <c r="G811" t="s">
        <v>562</v>
      </c>
      <c r="H811">
        <v>1</v>
      </c>
      <c r="I811" t="s">
        <v>128</v>
      </c>
      <c r="J811">
        <v>52</v>
      </c>
      <c r="K811">
        <v>52</v>
      </c>
      <c r="L811">
        <v>52</v>
      </c>
      <c r="M811" t="s">
        <v>186</v>
      </c>
      <c r="N811">
        <v>1000</v>
      </c>
      <c r="O811">
        <v>8</v>
      </c>
      <c r="P811">
        <v>8</v>
      </c>
      <c r="Q811">
        <v>168</v>
      </c>
      <c r="R811">
        <v>169</v>
      </c>
      <c r="S811">
        <v>169</v>
      </c>
      <c r="T811">
        <v>4500</v>
      </c>
      <c r="V811" t="s">
        <v>30</v>
      </c>
      <c r="W811" t="s">
        <v>558</v>
      </c>
      <c r="X811" t="s">
        <v>524</v>
      </c>
    </row>
    <row r="812" spans="1:24" x14ac:dyDescent="0.25">
      <c r="A812">
        <v>2025</v>
      </c>
      <c r="B812" t="s">
        <v>253</v>
      </c>
      <c r="C812" t="s">
        <v>488</v>
      </c>
      <c r="D812" t="s">
        <v>582</v>
      </c>
      <c r="E812">
        <v>2.5</v>
      </c>
      <c r="F812">
        <v>4</v>
      </c>
      <c r="G812" t="s">
        <v>526</v>
      </c>
      <c r="H812">
        <v>8</v>
      </c>
      <c r="I812" t="s">
        <v>128</v>
      </c>
      <c r="J812">
        <v>27</v>
      </c>
      <c r="K812">
        <v>35</v>
      </c>
      <c r="L812">
        <v>30</v>
      </c>
      <c r="M812" t="s">
        <v>115</v>
      </c>
      <c r="N812">
        <v>1750</v>
      </c>
      <c r="O812">
        <v>6</v>
      </c>
      <c r="P812">
        <v>6</v>
      </c>
      <c r="Q812">
        <v>321</v>
      </c>
      <c r="R812">
        <v>256</v>
      </c>
      <c r="S812">
        <v>292</v>
      </c>
      <c r="T812">
        <v>750</v>
      </c>
      <c r="V812" t="s">
        <v>30</v>
      </c>
      <c r="W812" t="s">
        <v>558</v>
      </c>
      <c r="X812" t="s">
        <v>524</v>
      </c>
    </row>
    <row r="813" spans="1:24" x14ac:dyDescent="0.25">
      <c r="A813">
        <v>2025</v>
      </c>
      <c r="B813" t="s">
        <v>253</v>
      </c>
      <c r="C813" t="s">
        <v>488</v>
      </c>
      <c r="D813" t="s">
        <v>581</v>
      </c>
      <c r="E813">
        <v>2.5</v>
      </c>
      <c r="F813">
        <v>4</v>
      </c>
      <c r="G813" t="s">
        <v>526</v>
      </c>
      <c r="H813">
        <v>8</v>
      </c>
      <c r="I813" t="s">
        <v>28</v>
      </c>
      <c r="J813">
        <v>27</v>
      </c>
      <c r="K813">
        <v>33</v>
      </c>
      <c r="L813">
        <v>29</v>
      </c>
      <c r="M813" t="s">
        <v>118</v>
      </c>
      <c r="N813">
        <v>1800</v>
      </c>
      <c r="O813">
        <v>6</v>
      </c>
      <c r="P813">
        <v>6</v>
      </c>
      <c r="Q813">
        <v>330</v>
      </c>
      <c r="R813">
        <v>267</v>
      </c>
      <c r="S813">
        <v>301</v>
      </c>
      <c r="T813">
        <v>500</v>
      </c>
      <c r="V813" t="s">
        <v>30</v>
      </c>
      <c r="W813" t="s">
        <v>558</v>
      </c>
      <c r="X813" t="s">
        <v>524</v>
      </c>
    </row>
    <row r="814" spans="1:24" x14ac:dyDescent="0.25">
      <c r="A814">
        <v>2025</v>
      </c>
      <c r="B814" t="s">
        <v>253</v>
      </c>
      <c r="C814" t="s">
        <v>488</v>
      </c>
      <c r="D814" t="s">
        <v>581</v>
      </c>
      <c r="E814">
        <v>2.5</v>
      </c>
      <c r="F814">
        <v>4</v>
      </c>
      <c r="G814" t="s">
        <v>526</v>
      </c>
      <c r="H814">
        <v>8</v>
      </c>
      <c r="I814" t="s">
        <v>28</v>
      </c>
      <c r="J814">
        <v>25</v>
      </c>
      <c r="K814">
        <v>33</v>
      </c>
      <c r="L814">
        <v>28</v>
      </c>
      <c r="M814" t="s">
        <v>118</v>
      </c>
      <c r="N814">
        <v>1900</v>
      </c>
      <c r="O814">
        <v>6</v>
      </c>
      <c r="P814">
        <v>6</v>
      </c>
      <c r="Q814">
        <v>360</v>
      </c>
      <c r="R814">
        <v>270</v>
      </c>
      <c r="S814">
        <v>320</v>
      </c>
      <c r="T814">
        <v>0</v>
      </c>
      <c r="V814" t="s">
        <v>30</v>
      </c>
      <c r="W814" t="s">
        <v>558</v>
      </c>
      <c r="X814" t="s">
        <v>565</v>
      </c>
    </row>
    <row r="815" spans="1:24" x14ac:dyDescent="0.25">
      <c r="A815">
        <v>2025</v>
      </c>
      <c r="B815" t="s">
        <v>253</v>
      </c>
      <c r="C815" t="s">
        <v>488</v>
      </c>
      <c r="D815" t="s">
        <v>580</v>
      </c>
      <c r="E815">
        <v>2.5</v>
      </c>
      <c r="F815">
        <v>4</v>
      </c>
      <c r="G815" t="s">
        <v>526</v>
      </c>
      <c r="H815">
        <v>8</v>
      </c>
      <c r="I815" t="s">
        <v>28</v>
      </c>
      <c r="J815">
        <v>27</v>
      </c>
      <c r="K815">
        <v>34</v>
      </c>
      <c r="L815">
        <v>30</v>
      </c>
      <c r="M815" t="s">
        <v>118</v>
      </c>
      <c r="N815">
        <v>1750</v>
      </c>
      <c r="O815">
        <v>6</v>
      </c>
      <c r="P815">
        <v>6</v>
      </c>
      <c r="Q815">
        <v>325</v>
      </c>
      <c r="R815">
        <v>260</v>
      </c>
      <c r="S815">
        <v>296</v>
      </c>
      <c r="T815">
        <v>750</v>
      </c>
      <c r="V815" t="s">
        <v>30</v>
      </c>
      <c r="W815" t="s">
        <v>558</v>
      </c>
      <c r="X815" t="s">
        <v>524</v>
      </c>
    </row>
    <row r="816" spans="1:24" x14ac:dyDescent="0.25">
      <c r="A816">
        <v>2025</v>
      </c>
      <c r="B816" t="s">
        <v>253</v>
      </c>
      <c r="C816" t="s">
        <v>488</v>
      </c>
      <c r="D816" t="s">
        <v>579</v>
      </c>
      <c r="E816">
        <v>2.5</v>
      </c>
      <c r="F816">
        <v>4</v>
      </c>
      <c r="G816" t="s">
        <v>559</v>
      </c>
      <c r="H816">
        <v>6</v>
      </c>
      <c r="I816" t="s">
        <v>28</v>
      </c>
      <c r="J816">
        <v>41</v>
      </c>
      <c r="K816">
        <v>38</v>
      </c>
      <c r="L816">
        <v>39</v>
      </c>
      <c r="M816" t="s">
        <v>118</v>
      </c>
      <c r="N816">
        <v>1350</v>
      </c>
      <c r="O816">
        <v>7</v>
      </c>
      <c r="P816">
        <v>7</v>
      </c>
      <c r="Q816">
        <v>215</v>
      </c>
      <c r="R816">
        <v>235</v>
      </c>
      <c r="S816">
        <v>224</v>
      </c>
      <c r="T816">
        <v>2750</v>
      </c>
      <c r="V816" t="s">
        <v>30</v>
      </c>
      <c r="W816" t="s">
        <v>558</v>
      </c>
      <c r="X816" t="s">
        <v>524</v>
      </c>
    </row>
    <row r="817" spans="1:24" x14ac:dyDescent="0.25">
      <c r="A817">
        <v>2025</v>
      </c>
      <c r="B817" t="s">
        <v>253</v>
      </c>
      <c r="C817" t="s">
        <v>488</v>
      </c>
      <c r="D817" t="s">
        <v>578</v>
      </c>
      <c r="E817">
        <v>2.5</v>
      </c>
      <c r="F817">
        <v>4</v>
      </c>
      <c r="G817" t="s">
        <v>559</v>
      </c>
      <c r="H817">
        <v>6</v>
      </c>
      <c r="I817" t="s">
        <v>28</v>
      </c>
      <c r="J817">
        <v>38</v>
      </c>
      <c r="K817">
        <v>35</v>
      </c>
      <c r="L817">
        <v>37</v>
      </c>
      <c r="M817" t="s">
        <v>118</v>
      </c>
      <c r="N817">
        <v>1400</v>
      </c>
      <c r="O817">
        <v>7</v>
      </c>
      <c r="P817">
        <v>7</v>
      </c>
      <c r="Q817">
        <v>229</v>
      </c>
      <c r="R817">
        <v>253</v>
      </c>
      <c r="S817">
        <v>240</v>
      </c>
      <c r="T817">
        <v>2500</v>
      </c>
      <c r="V817" t="s">
        <v>30</v>
      </c>
      <c r="W817" t="s">
        <v>558</v>
      </c>
      <c r="X817" t="s">
        <v>524</v>
      </c>
    </row>
    <row r="818" spans="1:24" x14ac:dyDescent="0.25">
      <c r="A818">
        <v>2025</v>
      </c>
      <c r="B818" t="s">
        <v>253</v>
      </c>
      <c r="C818" t="s">
        <v>488</v>
      </c>
      <c r="D818" t="s">
        <v>577</v>
      </c>
      <c r="E818">
        <v>3.4</v>
      </c>
      <c r="F818">
        <v>6</v>
      </c>
      <c r="G818" t="s">
        <v>554</v>
      </c>
      <c r="H818">
        <v>10</v>
      </c>
      <c r="I818" t="s">
        <v>46</v>
      </c>
      <c r="J818">
        <v>21</v>
      </c>
      <c r="K818">
        <v>24</v>
      </c>
      <c r="L818">
        <v>22</v>
      </c>
      <c r="M818" t="s">
        <v>47</v>
      </c>
      <c r="N818">
        <v>2400</v>
      </c>
      <c r="O818">
        <v>5</v>
      </c>
      <c r="P818">
        <v>5</v>
      </c>
      <c r="Q818">
        <v>430</v>
      </c>
      <c r="R818">
        <v>370</v>
      </c>
      <c r="S818">
        <v>403</v>
      </c>
      <c r="U818">
        <v>2500</v>
      </c>
      <c r="V818" t="s">
        <v>30</v>
      </c>
      <c r="W818" t="s">
        <v>528</v>
      </c>
      <c r="X818" t="s">
        <v>524</v>
      </c>
    </row>
    <row r="819" spans="1:24" x14ac:dyDescent="0.25">
      <c r="A819">
        <v>2025</v>
      </c>
      <c r="B819" t="s">
        <v>253</v>
      </c>
      <c r="C819" t="s">
        <v>488</v>
      </c>
      <c r="D819" t="s">
        <v>576</v>
      </c>
      <c r="E819">
        <v>3.4</v>
      </c>
      <c r="F819">
        <v>6</v>
      </c>
      <c r="G819" t="s">
        <v>554</v>
      </c>
      <c r="H819">
        <v>10</v>
      </c>
      <c r="I819" t="s">
        <v>400</v>
      </c>
      <c r="J819">
        <v>19</v>
      </c>
      <c r="K819">
        <v>22</v>
      </c>
      <c r="L819">
        <v>20</v>
      </c>
      <c r="M819" t="s">
        <v>29</v>
      </c>
      <c r="N819">
        <v>2600</v>
      </c>
      <c r="O819">
        <v>4</v>
      </c>
      <c r="P819">
        <v>4</v>
      </c>
      <c r="Q819">
        <v>474</v>
      </c>
      <c r="R819">
        <v>397</v>
      </c>
      <c r="S819">
        <v>439</v>
      </c>
      <c r="U819">
        <v>3500</v>
      </c>
      <c r="V819" t="s">
        <v>30</v>
      </c>
      <c r="W819" t="s">
        <v>528</v>
      </c>
      <c r="X819" t="s">
        <v>524</v>
      </c>
    </row>
    <row r="820" spans="1:24" x14ac:dyDescent="0.25">
      <c r="A820">
        <v>2025</v>
      </c>
      <c r="B820" t="s">
        <v>253</v>
      </c>
      <c r="C820" t="s">
        <v>488</v>
      </c>
      <c r="D820" t="s">
        <v>575</v>
      </c>
      <c r="E820">
        <v>2.5</v>
      </c>
      <c r="F820">
        <v>4</v>
      </c>
      <c r="G820" t="s">
        <v>559</v>
      </c>
      <c r="H820">
        <v>6</v>
      </c>
      <c r="I820" t="s">
        <v>128</v>
      </c>
      <c r="J820">
        <v>36</v>
      </c>
      <c r="K820">
        <v>36</v>
      </c>
      <c r="L820">
        <v>36</v>
      </c>
      <c r="M820" t="s">
        <v>503</v>
      </c>
      <c r="N820">
        <v>1450</v>
      </c>
      <c r="O820">
        <v>7</v>
      </c>
      <c r="P820">
        <v>7</v>
      </c>
      <c r="Q820">
        <v>247</v>
      </c>
      <c r="R820">
        <v>244</v>
      </c>
      <c r="S820">
        <v>246</v>
      </c>
      <c r="T820">
        <v>2250</v>
      </c>
      <c r="V820" t="s">
        <v>30</v>
      </c>
      <c r="W820" t="s">
        <v>558</v>
      </c>
      <c r="X820" t="s">
        <v>524</v>
      </c>
    </row>
    <row r="821" spans="1:24" x14ac:dyDescent="0.25">
      <c r="A821">
        <v>2025</v>
      </c>
      <c r="B821" t="s">
        <v>253</v>
      </c>
      <c r="C821" t="s">
        <v>488</v>
      </c>
      <c r="D821" t="s">
        <v>574</v>
      </c>
      <c r="E821">
        <v>2.5</v>
      </c>
      <c r="F821">
        <v>4</v>
      </c>
      <c r="G821" t="s">
        <v>559</v>
      </c>
      <c r="H821">
        <v>6</v>
      </c>
      <c r="I821" t="s">
        <v>28</v>
      </c>
      <c r="J821">
        <v>34</v>
      </c>
      <c r="K821">
        <v>36</v>
      </c>
      <c r="L821">
        <v>35</v>
      </c>
      <c r="M821" t="s">
        <v>505</v>
      </c>
      <c r="N821">
        <v>1500</v>
      </c>
      <c r="O821">
        <v>7</v>
      </c>
      <c r="P821">
        <v>7</v>
      </c>
      <c r="Q821">
        <v>256</v>
      </c>
      <c r="R821">
        <v>249</v>
      </c>
      <c r="S821">
        <v>253</v>
      </c>
      <c r="T821">
        <v>2000</v>
      </c>
      <c r="V821" t="s">
        <v>30</v>
      </c>
      <c r="W821" t="s">
        <v>558</v>
      </c>
      <c r="X821" t="s">
        <v>524</v>
      </c>
    </row>
    <row r="822" spans="1:24" x14ac:dyDescent="0.25">
      <c r="A822">
        <v>2025</v>
      </c>
      <c r="B822" t="s">
        <v>63</v>
      </c>
      <c r="C822" t="s">
        <v>488</v>
      </c>
      <c r="D822" t="s">
        <v>573</v>
      </c>
      <c r="E822">
        <v>2</v>
      </c>
      <c r="F822">
        <v>4</v>
      </c>
      <c r="G822" t="s">
        <v>526</v>
      </c>
      <c r="H822">
        <v>8</v>
      </c>
      <c r="I822" t="s">
        <v>46</v>
      </c>
      <c r="J822">
        <v>25</v>
      </c>
      <c r="K822">
        <v>31</v>
      </c>
      <c r="L822">
        <v>27</v>
      </c>
      <c r="M822" t="s">
        <v>108</v>
      </c>
      <c r="N822">
        <v>2350</v>
      </c>
      <c r="O822">
        <v>5</v>
      </c>
      <c r="P822">
        <v>5</v>
      </c>
      <c r="Q822">
        <v>350</v>
      </c>
      <c r="R822">
        <v>288</v>
      </c>
      <c r="S822">
        <v>322</v>
      </c>
      <c r="U822">
        <v>2250</v>
      </c>
      <c r="V822" t="s">
        <v>30</v>
      </c>
      <c r="W822" t="s">
        <v>528</v>
      </c>
      <c r="X822" t="s">
        <v>524</v>
      </c>
    </row>
    <row r="823" spans="1:24" x14ac:dyDescent="0.25">
      <c r="A823">
        <v>2025</v>
      </c>
      <c r="B823" t="s">
        <v>63</v>
      </c>
      <c r="C823" t="s">
        <v>488</v>
      </c>
      <c r="D823" t="s">
        <v>572</v>
      </c>
      <c r="E823">
        <v>3</v>
      </c>
      <c r="F823">
        <v>6</v>
      </c>
      <c r="G823" t="s">
        <v>526</v>
      </c>
      <c r="H823">
        <v>8</v>
      </c>
      <c r="I823" t="s">
        <v>46</v>
      </c>
      <c r="J823">
        <v>23</v>
      </c>
      <c r="K823">
        <v>31</v>
      </c>
      <c r="L823">
        <v>26</v>
      </c>
      <c r="M823" t="s">
        <v>108</v>
      </c>
      <c r="N823">
        <v>2450</v>
      </c>
      <c r="O823">
        <v>5</v>
      </c>
      <c r="P823">
        <v>5</v>
      </c>
      <c r="Q823">
        <v>385</v>
      </c>
      <c r="R823">
        <v>289</v>
      </c>
      <c r="S823">
        <v>342</v>
      </c>
      <c r="U823">
        <v>2750</v>
      </c>
      <c r="V823" t="s">
        <v>30</v>
      </c>
      <c r="W823" t="s">
        <v>528</v>
      </c>
      <c r="X823" t="s">
        <v>524</v>
      </c>
    </row>
    <row r="824" spans="1:24" x14ac:dyDescent="0.25">
      <c r="A824">
        <v>2025</v>
      </c>
      <c r="B824" t="s">
        <v>63</v>
      </c>
      <c r="C824" t="s">
        <v>488</v>
      </c>
      <c r="D824" t="s">
        <v>572</v>
      </c>
      <c r="E824">
        <v>3</v>
      </c>
      <c r="F824">
        <v>6</v>
      </c>
      <c r="G824" t="s">
        <v>546</v>
      </c>
      <c r="H824">
        <v>6</v>
      </c>
      <c r="I824" t="s">
        <v>46</v>
      </c>
      <c r="J824">
        <v>19</v>
      </c>
      <c r="K824">
        <v>27</v>
      </c>
      <c r="L824">
        <v>21</v>
      </c>
      <c r="M824" t="s">
        <v>108</v>
      </c>
      <c r="N824">
        <v>3050</v>
      </c>
      <c r="O824">
        <v>4</v>
      </c>
      <c r="P824">
        <v>4</v>
      </c>
      <c r="Q824">
        <v>476</v>
      </c>
      <c r="R824">
        <v>331</v>
      </c>
      <c r="S824">
        <v>411</v>
      </c>
      <c r="U824">
        <v>5750</v>
      </c>
      <c r="V824" t="s">
        <v>30</v>
      </c>
      <c r="W824" t="s">
        <v>528</v>
      </c>
      <c r="X824" t="s">
        <v>565</v>
      </c>
    </row>
    <row r="825" spans="1:24" x14ac:dyDescent="0.25">
      <c r="A825">
        <v>2025</v>
      </c>
      <c r="B825" t="s">
        <v>253</v>
      </c>
      <c r="C825" t="s">
        <v>488</v>
      </c>
      <c r="D825" t="s">
        <v>571</v>
      </c>
      <c r="E825">
        <v>2.4</v>
      </c>
      <c r="F825">
        <v>4</v>
      </c>
      <c r="G825" t="s">
        <v>526</v>
      </c>
      <c r="H825">
        <v>8</v>
      </c>
      <c r="I825" t="s">
        <v>46</v>
      </c>
      <c r="J825">
        <v>20</v>
      </c>
      <c r="K825">
        <v>26</v>
      </c>
      <c r="L825">
        <v>23</v>
      </c>
      <c r="M825" t="s">
        <v>563</v>
      </c>
      <c r="N825">
        <v>2300</v>
      </c>
      <c r="O825">
        <v>5</v>
      </c>
      <c r="P825">
        <v>5</v>
      </c>
      <c r="Q825">
        <v>435</v>
      </c>
      <c r="R825">
        <v>343</v>
      </c>
      <c r="S825">
        <v>394</v>
      </c>
      <c r="U825">
        <v>2000</v>
      </c>
      <c r="V825" t="s">
        <v>30</v>
      </c>
      <c r="W825" t="s">
        <v>528</v>
      </c>
      <c r="X825" t="s">
        <v>565</v>
      </c>
    </row>
    <row r="826" spans="1:24" x14ac:dyDescent="0.25">
      <c r="A826">
        <v>2025</v>
      </c>
      <c r="B826" t="s">
        <v>253</v>
      </c>
      <c r="C826" t="s">
        <v>488</v>
      </c>
      <c r="D826" t="s">
        <v>570</v>
      </c>
      <c r="E826">
        <v>2.4</v>
      </c>
      <c r="F826">
        <v>4</v>
      </c>
      <c r="G826" t="s">
        <v>526</v>
      </c>
      <c r="H826">
        <v>8</v>
      </c>
      <c r="I826" t="s">
        <v>400</v>
      </c>
      <c r="J826">
        <v>19</v>
      </c>
      <c r="K826">
        <v>24</v>
      </c>
      <c r="L826">
        <v>21</v>
      </c>
      <c r="M826" t="s">
        <v>566</v>
      </c>
      <c r="N826">
        <v>2500</v>
      </c>
      <c r="O826">
        <v>4</v>
      </c>
      <c r="P826">
        <v>4</v>
      </c>
      <c r="Q826">
        <v>472</v>
      </c>
      <c r="R826">
        <v>364</v>
      </c>
      <c r="S826">
        <v>424</v>
      </c>
      <c r="U826">
        <v>3000</v>
      </c>
      <c r="V826" t="s">
        <v>30</v>
      </c>
      <c r="W826" t="s">
        <v>528</v>
      </c>
      <c r="X826" t="s">
        <v>565</v>
      </c>
    </row>
    <row r="827" spans="1:24" x14ac:dyDescent="0.25">
      <c r="A827">
        <v>2025</v>
      </c>
      <c r="B827" t="s">
        <v>253</v>
      </c>
      <c r="C827" t="s">
        <v>488</v>
      </c>
      <c r="D827" t="s">
        <v>569</v>
      </c>
      <c r="E827">
        <v>2.4</v>
      </c>
      <c r="F827">
        <v>4</v>
      </c>
      <c r="G827" t="s">
        <v>546</v>
      </c>
      <c r="H827">
        <v>6</v>
      </c>
      <c r="I827" t="s">
        <v>400</v>
      </c>
      <c r="J827">
        <v>18</v>
      </c>
      <c r="K827">
        <v>23</v>
      </c>
      <c r="L827">
        <v>20</v>
      </c>
      <c r="M827" t="s">
        <v>566</v>
      </c>
      <c r="N827">
        <v>2600</v>
      </c>
      <c r="O827">
        <v>4</v>
      </c>
      <c r="P827">
        <v>4</v>
      </c>
      <c r="Q827">
        <v>499</v>
      </c>
      <c r="R827">
        <v>393</v>
      </c>
      <c r="S827">
        <v>452</v>
      </c>
      <c r="U827">
        <v>3500</v>
      </c>
      <c r="V827" t="s">
        <v>30</v>
      </c>
      <c r="W827" t="s">
        <v>528</v>
      </c>
      <c r="X827" t="s">
        <v>565</v>
      </c>
    </row>
    <row r="828" spans="1:24" x14ac:dyDescent="0.25">
      <c r="A828">
        <v>2025</v>
      </c>
      <c r="B828" t="s">
        <v>253</v>
      </c>
      <c r="C828" t="s">
        <v>488</v>
      </c>
      <c r="D828" t="s">
        <v>568</v>
      </c>
      <c r="E828">
        <v>2.4</v>
      </c>
      <c r="F828">
        <v>4</v>
      </c>
      <c r="G828" t="s">
        <v>526</v>
      </c>
      <c r="H828">
        <v>8</v>
      </c>
      <c r="I828" t="s">
        <v>400</v>
      </c>
      <c r="J828">
        <v>22</v>
      </c>
      <c r="K828">
        <v>24</v>
      </c>
      <c r="L828">
        <v>23</v>
      </c>
      <c r="M828" t="s">
        <v>135</v>
      </c>
      <c r="N828">
        <v>2300</v>
      </c>
      <c r="O828">
        <v>5</v>
      </c>
      <c r="P828">
        <v>5</v>
      </c>
      <c r="Q828">
        <v>403</v>
      </c>
      <c r="R828">
        <v>366</v>
      </c>
      <c r="S828">
        <v>386</v>
      </c>
      <c r="U828">
        <v>2000</v>
      </c>
      <c r="V828" t="s">
        <v>30</v>
      </c>
      <c r="W828" t="s">
        <v>528</v>
      </c>
      <c r="X828" t="s">
        <v>524</v>
      </c>
    </row>
    <row r="829" spans="1:24" x14ac:dyDescent="0.25">
      <c r="A829">
        <v>2025</v>
      </c>
      <c r="B829" t="s">
        <v>253</v>
      </c>
      <c r="C829" t="s">
        <v>488</v>
      </c>
      <c r="D829" t="s">
        <v>568</v>
      </c>
      <c r="E829">
        <v>2.4</v>
      </c>
      <c r="F829">
        <v>4</v>
      </c>
      <c r="G829" t="s">
        <v>526</v>
      </c>
      <c r="H829">
        <v>8</v>
      </c>
      <c r="I829" t="s">
        <v>107</v>
      </c>
      <c r="J829">
        <v>23</v>
      </c>
      <c r="K829">
        <v>24</v>
      </c>
      <c r="L829">
        <v>23</v>
      </c>
      <c r="M829" t="s">
        <v>135</v>
      </c>
      <c r="N829">
        <v>2300</v>
      </c>
      <c r="O829">
        <v>5</v>
      </c>
      <c r="P829">
        <v>5</v>
      </c>
      <c r="Q829">
        <v>393</v>
      </c>
      <c r="R829">
        <v>365</v>
      </c>
      <c r="S829">
        <v>380</v>
      </c>
      <c r="U829">
        <v>2000</v>
      </c>
      <c r="V829" t="s">
        <v>30</v>
      </c>
      <c r="W829" t="s">
        <v>528</v>
      </c>
      <c r="X829" t="s">
        <v>524</v>
      </c>
    </row>
    <row r="830" spans="1:24" x14ac:dyDescent="0.25">
      <c r="A830">
        <v>2025</v>
      </c>
      <c r="B830" t="s">
        <v>253</v>
      </c>
      <c r="C830" t="s">
        <v>488</v>
      </c>
      <c r="D830" t="s">
        <v>567</v>
      </c>
      <c r="E830">
        <v>2.4</v>
      </c>
      <c r="F830">
        <v>4</v>
      </c>
      <c r="G830" t="s">
        <v>526</v>
      </c>
      <c r="H830">
        <v>8</v>
      </c>
      <c r="I830" t="s">
        <v>400</v>
      </c>
      <c r="J830">
        <v>19</v>
      </c>
      <c r="K830">
        <v>23</v>
      </c>
      <c r="L830">
        <v>21</v>
      </c>
      <c r="M830" t="s">
        <v>566</v>
      </c>
      <c r="N830">
        <v>2500</v>
      </c>
      <c r="O830">
        <v>4</v>
      </c>
      <c r="P830">
        <v>4</v>
      </c>
      <c r="Q830">
        <v>469</v>
      </c>
      <c r="R830">
        <v>388</v>
      </c>
      <c r="S830">
        <v>433</v>
      </c>
      <c r="U830">
        <v>3000</v>
      </c>
      <c r="V830" t="s">
        <v>30</v>
      </c>
      <c r="W830" t="s">
        <v>528</v>
      </c>
      <c r="X830" t="s">
        <v>565</v>
      </c>
    </row>
    <row r="831" spans="1:24" x14ac:dyDescent="0.25">
      <c r="A831">
        <v>2025</v>
      </c>
      <c r="B831" t="s">
        <v>253</v>
      </c>
      <c r="C831" t="s">
        <v>488</v>
      </c>
      <c r="D831" t="s">
        <v>567</v>
      </c>
      <c r="E831">
        <v>2.4</v>
      </c>
      <c r="F831">
        <v>4</v>
      </c>
      <c r="G831" t="s">
        <v>526</v>
      </c>
      <c r="H831">
        <v>8</v>
      </c>
      <c r="I831" t="s">
        <v>400</v>
      </c>
      <c r="J831">
        <v>20</v>
      </c>
      <c r="K831">
        <v>23</v>
      </c>
      <c r="L831">
        <v>21</v>
      </c>
      <c r="M831" t="s">
        <v>566</v>
      </c>
      <c r="N831">
        <v>2500</v>
      </c>
      <c r="O831">
        <v>4</v>
      </c>
      <c r="P831">
        <v>4</v>
      </c>
      <c r="Q831">
        <v>448</v>
      </c>
      <c r="R831">
        <v>386</v>
      </c>
      <c r="S831">
        <v>420</v>
      </c>
      <c r="U831">
        <v>3000</v>
      </c>
      <c r="V831" t="s">
        <v>30</v>
      </c>
      <c r="W831" t="s">
        <v>528</v>
      </c>
      <c r="X831" t="s">
        <v>524</v>
      </c>
    </row>
    <row r="832" spans="1:24" x14ac:dyDescent="0.25">
      <c r="A832">
        <v>2025</v>
      </c>
      <c r="B832" t="s">
        <v>253</v>
      </c>
      <c r="C832" t="s">
        <v>488</v>
      </c>
      <c r="D832" t="s">
        <v>567</v>
      </c>
      <c r="E832">
        <v>2.4</v>
      </c>
      <c r="F832">
        <v>4</v>
      </c>
      <c r="G832" t="s">
        <v>526</v>
      </c>
      <c r="H832">
        <v>8</v>
      </c>
      <c r="I832" t="s">
        <v>400</v>
      </c>
      <c r="J832">
        <v>19</v>
      </c>
      <c r="K832">
        <v>24</v>
      </c>
      <c r="L832">
        <v>21</v>
      </c>
      <c r="M832" t="s">
        <v>566</v>
      </c>
      <c r="N832">
        <v>2500</v>
      </c>
      <c r="O832">
        <v>4</v>
      </c>
      <c r="P832">
        <v>4</v>
      </c>
      <c r="Q832">
        <v>473</v>
      </c>
      <c r="R832">
        <v>365</v>
      </c>
      <c r="S832">
        <v>424</v>
      </c>
      <c r="U832">
        <v>3000</v>
      </c>
      <c r="V832" t="s">
        <v>30</v>
      </c>
      <c r="W832" t="s">
        <v>528</v>
      </c>
      <c r="X832" t="s">
        <v>565</v>
      </c>
    </row>
    <row r="833" spans="1:24" x14ac:dyDescent="0.25">
      <c r="A833">
        <v>2025</v>
      </c>
      <c r="B833" t="s">
        <v>253</v>
      </c>
      <c r="C833" t="s">
        <v>488</v>
      </c>
      <c r="D833" t="s">
        <v>564</v>
      </c>
      <c r="E833">
        <v>2.4</v>
      </c>
      <c r="F833">
        <v>4</v>
      </c>
      <c r="G833" t="s">
        <v>526</v>
      </c>
      <c r="H833">
        <v>8</v>
      </c>
      <c r="I833" t="s">
        <v>46</v>
      </c>
      <c r="J833">
        <v>20</v>
      </c>
      <c r="K833">
        <v>24</v>
      </c>
      <c r="L833">
        <v>22</v>
      </c>
      <c r="M833" t="s">
        <v>563</v>
      </c>
      <c r="N833">
        <v>2400</v>
      </c>
      <c r="O833">
        <v>5</v>
      </c>
      <c r="P833">
        <v>5</v>
      </c>
      <c r="Q833">
        <v>436</v>
      </c>
      <c r="R833">
        <v>365</v>
      </c>
      <c r="S833">
        <v>404</v>
      </c>
      <c r="U833">
        <v>2500</v>
      </c>
      <c r="V833" t="s">
        <v>30</v>
      </c>
      <c r="W833" t="s">
        <v>528</v>
      </c>
      <c r="X833" t="s">
        <v>524</v>
      </c>
    </row>
    <row r="834" spans="1:24" x14ac:dyDescent="0.25">
      <c r="A834">
        <v>2025</v>
      </c>
      <c r="B834" t="s">
        <v>253</v>
      </c>
      <c r="C834" t="s">
        <v>488</v>
      </c>
      <c r="D834" t="s">
        <v>564</v>
      </c>
      <c r="E834">
        <v>2.4</v>
      </c>
      <c r="F834">
        <v>4</v>
      </c>
      <c r="G834" t="s">
        <v>526</v>
      </c>
      <c r="H834">
        <v>8</v>
      </c>
      <c r="I834" t="s">
        <v>46</v>
      </c>
      <c r="J834">
        <v>21</v>
      </c>
      <c r="K834">
        <v>26</v>
      </c>
      <c r="L834">
        <v>23</v>
      </c>
      <c r="M834" t="s">
        <v>563</v>
      </c>
      <c r="N834">
        <v>2300</v>
      </c>
      <c r="O834">
        <v>5</v>
      </c>
      <c r="P834">
        <v>5</v>
      </c>
      <c r="Q834">
        <v>431</v>
      </c>
      <c r="R834">
        <v>347</v>
      </c>
      <c r="S834">
        <v>393</v>
      </c>
      <c r="U834">
        <v>2000</v>
      </c>
      <c r="V834" t="s">
        <v>30</v>
      </c>
      <c r="W834" t="s">
        <v>528</v>
      </c>
      <c r="X834" t="s">
        <v>524</v>
      </c>
    </row>
    <row r="835" spans="1:24" x14ac:dyDescent="0.25">
      <c r="A835">
        <v>2025</v>
      </c>
      <c r="B835" t="s">
        <v>253</v>
      </c>
      <c r="C835" t="s">
        <v>488</v>
      </c>
      <c r="D835" t="s">
        <v>561</v>
      </c>
      <c r="E835">
        <v>2.5</v>
      </c>
      <c r="F835">
        <v>4</v>
      </c>
      <c r="G835" t="s">
        <v>562</v>
      </c>
      <c r="H835">
        <v>1</v>
      </c>
      <c r="I835" t="s">
        <v>28</v>
      </c>
      <c r="J835">
        <v>42</v>
      </c>
      <c r="K835">
        <v>41</v>
      </c>
      <c r="L835">
        <v>41</v>
      </c>
      <c r="M835" t="s">
        <v>186</v>
      </c>
      <c r="N835">
        <v>1300</v>
      </c>
      <c r="O835">
        <v>7</v>
      </c>
      <c r="P835">
        <v>7</v>
      </c>
      <c r="Q835">
        <v>209</v>
      </c>
      <c r="R835">
        <v>214</v>
      </c>
      <c r="S835">
        <v>214</v>
      </c>
      <c r="T835">
        <v>3000</v>
      </c>
      <c r="V835" t="s">
        <v>30</v>
      </c>
      <c r="W835" t="s">
        <v>558</v>
      </c>
      <c r="X835" t="s">
        <v>524</v>
      </c>
    </row>
    <row r="836" spans="1:24" x14ac:dyDescent="0.25">
      <c r="A836">
        <v>2025</v>
      </c>
      <c r="B836" t="s">
        <v>253</v>
      </c>
      <c r="C836" t="s">
        <v>488</v>
      </c>
      <c r="D836" t="s">
        <v>561</v>
      </c>
      <c r="E836">
        <v>2.4</v>
      </c>
      <c r="F836">
        <v>4</v>
      </c>
      <c r="G836" t="s">
        <v>559</v>
      </c>
      <c r="H836">
        <v>6</v>
      </c>
      <c r="I836" t="s">
        <v>28</v>
      </c>
      <c r="J836">
        <v>29</v>
      </c>
      <c r="K836">
        <v>32</v>
      </c>
      <c r="L836">
        <v>30</v>
      </c>
      <c r="M836" t="s">
        <v>186</v>
      </c>
      <c r="N836">
        <v>1750</v>
      </c>
      <c r="O836">
        <v>6</v>
      </c>
      <c r="P836">
        <v>6</v>
      </c>
      <c r="Q836">
        <v>303</v>
      </c>
      <c r="R836">
        <v>272</v>
      </c>
      <c r="S836">
        <v>293</v>
      </c>
      <c r="T836">
        <v>750</v>
      </c>
      <c r="V836" t="s">
        <v>30</v>
      </c>
      <c r="W836" t="s">
        <v>528</v>
      </c>
      <c r="X836" t="s">
        <v>524</v>
      </c>
    </row>
    <row r="837" spans="1:24" x14ac:dyDescent="0.25">
      <c r="A837">
        <v>2025</v>
      </c>
      <c r="B837" t="s">
        <v>253</v>
      </c>
      <c r="C837" t="s">
        <v>488</v>
      </c>
      <c r="D837" t="s">
        <v>560</v>
      </c>
      <c r="E837">
        <v>2.5</v>
      </c>
      <c r="F837">
        <v>4</v>
      </c>
      <c r="G837" t="s">
        <v>559</v>
      </c>
      <c r="H837">
        <v>6</v>
      </c>
      <c r="I837" t="s">
        <v>28</v>
      </c>
      <c r="J837">
        <v>39</v>
      </c>
      <c r="K837">
        <v>37</v>
      </c>
      <c r="L837">
        <v>38</v>
      </c>
      <c r="M837" t="s">
        <v>122</v>
      </c>
      <c r="N837">
        <v>1400</v>
      </c>
      <c r="O837">
        <v>7</v>
      </c>
      <c r="P837">
        <v>7</v>
      </c>
      <c r="Q837">
        <v>226</v>
      </c>
      <c r="R837">
        <v>237</v>
      </c>
      <c r="S837">
        <v>231</v>
      </c>
      <c r="T837">
        <v>2500</v>
      </c>
      <c r="V837" t="s">
        <v>30</v>
      </c>
      <c r="W837" t="s">
        <v>558</v>
      </c>
      <c r="X837" t="s">
        <v>524</v>
      </c>
    </row>
    <row r="838" spans="1:24" x14ac:dyDescent="0.25">
      <c r="A838">
        <v>2025</v>
      </c>
      <c r="B838" t="s">
        <v>253</v>
      </c>
      <c r="C838" t="s">
        <v>488</v>
      </c>
      <c r="D838" t="s">
        <v>557</v>
      </c>
      <c r="E838">
        <v>3.4</v>
      </c>
      <c r="F838">
        <v>6</v>
      </c>
      <c r="G838" t="s">
        <v>554</v>
      </c>
      <c r="H838">
        <v>10</v>
      </c>
      <c r="I838" t="s">
        <v>46</v>
      </c>
      <c r="J838">
        <v>18</v>
      </c>
      <c r="K838">
        <v>23</v>
      </c>
      <c r="L838">
        <v>20</v>
      </c>
      <c r="M838" t="s">
        <v>463</v>
      </c>
      <c r="N838">
        <v>2600</v>
      </c>
      <c r="O838">
        <v>4</v>
      </c>
      <c r="P838">
        <v>4</v>
      </c>
      <c r="Q838">
        <v>497</v>
      </c>
      <c r="R838">
        <v>392</v>
      </c>
      <c r="S838">
        <v>450</v>
      </c>
      <c r="U838">
        <v>3500</v>
      </c>
      <c r="V838" t="s">
        <v>30</v>
      </c>
      <c r="W838" t="s">
        <v>528</v>
      </c>
      <c r="X838" t="s">
        <v>524</v>
      </c>
    </row>
    <row r="839" spans="1:24" x14ac:dyDescent="0.25">
      <c r="A839">
        <v>2025</v>
      </c>
      <c r="B839" t="s">
        <v>253</v>
      </c>
      <c r="C839" t="s">
        <v>488</v>
      </c>
      <c r="D839" t="s">
        <v>557</v>
      </c>
      <c r="E839">
        <v>3.4</v>
      </c>
      <c r="F839">
        <v>6</v>
      </c>
      <c r="G839" t="s">
        <v>554</v>
      </c>
      <c r="H839">
        <v>10</v>
      </c>
      <c r="I839" t="s">
        <v>46</v>
      </c>
      <c r="J839">
        <v>18</v>
      </c>
      <c r="K839">
        <v>23</v>
      </c>
      <c r="L839">
        <v>20</v>
      </c>
      <c r="M839" t="s">
        <v>463</v>
      </c>
      <c r="N839">
        <v>2600</v>
      </c>
      <c r="O839">
        <v>4</v>
      </c>
      <c r="P839">
        <v>4</v>
      </c>
      <c r="Q839">
        <v>493</v>
      </c>
      <c r="R839">
        <v>379</v>
      </c>
      <c r="S839">
        <v>442</v>
      </c>
      <c r="U839">
        <v>3500</v>
      </c>
      <c r="V839" t="s">
        <v>30</v>
      </c>
      <c r="W839" t="s">
        <v>528</v>
      </c>
      <c r="X839" t="s">
        <v>524</v>
      </c>
    </row>
    <row r="840" spans="1:24" x14ac:dyDescent="0.25">
      <c r="A840">
        <v>2025</v>
      </c>
      <c r="B840" t="s">
        <v>253</v>
      </c>
      <c r="C840" t="s">
        <v>488</v>
      </c>
      <c r="D840" t="s">
        <v>557</v>
      </c>
      <c r="E840">
        <v>3.4</v>
      </c>
      <c r="F840">
        <v>6</v>
      </c>
      <c r="G840" t="s">
        <v>554</v>
      </c>
      <c r="H840">
        <v>10</v>
      </c>
      <c r="I840" t="s">
        <v>46</v>
      </c>
      <c r="J840">
        <v>20</v>
      </c>
      <c r="K840">
        <v>24</v>
      </c>
      <c r="L840">
        <v>22</v>
      </c>
      <c r="M840" t="s">
        <v>463</v>
      </c>
      <c r="N840">
        <v>2400</v>
      </c>
      <c r="O840">
        <v>5</v>
      </c>
      <c r="P840">
        <v>5</v>
      </c>
      <c r="Q840">
        <v>441</v>
      </c>
      <c r="R840">
        <v>370</v>
      </c>
      <c r="S840">
        <v>409</v>
      </c>
      <c r="U840">
        <v>2500</v>
      </c>
      <c r="V840" t="s">
        <v>30</v>
      </c>
      <c r="W840" t="s">
        <v>528</v>
      </c>
      <c r="X840" t="s">
        <v>524</v>
      </c>
    </row>
    <row r="841" spans="1:24" x14ac:dyDescent="0.25">
      <c r="A841">
        <v>2025</v>
      </c>
      <c r="B841" t="s">
        <v>253</v>
      </c>
      <c r="C841" t="s">
        <v>488</v>
      </c>
      <c r="D841" t="s">
        <v>556</v>
      </c>
      <c r="E841">
        <v>3.4</v>
      </c>
      <c r="F841">
        <v>6</v>
      </c>
      <c r="G841" t="s">
        <v>554</v>
      </c>
      <c r="H841">
        <v>10</v>
      </c>
      <c r="I841" t="s">
        <v>400</v>
      </c>
      <c r="J841">
        <v>17</v>
      </c>
      <c r="K841">
        <v>22</v>
      </c>
      <c r="L841">
        <v>19</v>
      </c>
      <c r="M841" t="s">
        <v>135</v>
      </c>
      <c r="N841">
        <v>2750</v>
      </c>
      <c r="O841">
        <v>4</v>
      </c>
      <c r="P841">
        <v>4</v>
      </c>
      <c r="Q841">
        <v>510</v>
      </c>
      <c r="R841">
        <v>398</v>
      </c>
      <c r="S841">
        <v>460</v>
      </c>
      <c r="U841">
        <v>4250</v>
      </c>
      <c r="V841" t="s">
        <v>30</v>
      </c>
      <c r="W841" t="s">
        <v>528</v>
      </c>
      <c r="X841" t="s">
        <v>524</v>
      </c>
    </row>
    <row r="842" spans="1:24" x14ac:dyDescent="0.25">
      <c r="A842">
        <v>2025</v>
      </c>
      <c r="B842" t="s">
        <v>253</v>
      </c>
      <c r="C842" t="s">
        <v>488</v>
      </c>
      <c r="D842" t="s">
        <v>556</v>
      </c>
      <c r="E842">
        <v>3.4</v>
      </c>
      <c r="F842">
        <v>6</v>
      </c>
      <c r="G842" t="s">
        <v>554</v>
      </c>
      <c r="H842">
        <v>10</v>
      </c>
      <c r="I842" t="s">
        <v>400</v>
      </c>
      <c r="J842">
        <v>17</v>
      </c>
      <c r="K842">
        <v>22</v>
      </c>
      <c r="L842">
        <v>19</v>
      </c>
      <c r="M842" t="s">
        <v>135</v>
      </c>
      <c r="N842">
        <v>2750</v>
      </c>
      <c r="O842">
        <v>4</v>
      </c>
      <c r="P842">
        <v>4</v>
      </c>
      <c r="Q842">
        <v>518</v>
      </c>
      <c r="R842">
        <v>408</v>
      </c>
      <c r="S842">
        <v>468</v>
      </c>
      <c r="U842">
        <v>4250</v>
      </c>
      <c r="V842" t="s">
        <v>30</v>
      </c>
      <c r="W842" t="s">
        <v>528</v>
      </c>
      <c r="X842" t="s">
        <v>524</v>
      </c>
    </row>
    <row r="843" spans="1:24" x14ac:dyDescent="0.25">
      <c r="A843">
        <v>2025</v>
      </c>
      <c r="B843" t="s">
        <v>253</v>
      </c>
      <c r="C843" t="s">
        <v>488</v>
      </c>
      <c r="D843" t="s">
        <v>556</v>
      </c>
      <c r="E843">
        <v>3.4</v>
      </c>
      <c r="F843">
        <v>6</v>
      </c>
      <c r="G843" t="s">
        <v>554</v>
      </c>
      <c r="H843">
        <v>10</v>
      </c>
      <c r="I843" t="s">
        <v>400</v>
      </c>
      <c r="J843">
        <v>19</v>
      </c>
      <c r="K843">
        <v>22</v>
      </c>
      <c r="L843">
        <v>20</v>
      </c>
      <c r="M843" t="s">
        <v>135</v>
      </c>
      <c r="N843">
        <v>2600</v>
      </c>
      <c r="O843">
        <v>4</v>
      </c>
      <c r="P843">
        <v>4</v>
      </c>
      <c r="Q843">
        <v>474</v>
      </c>
      <c r="R843">
        <v>397</v>
      </c>
      <c r="S843">
        <v>439</v>
      </c>
      <c r="U843">
        <v>3500</v>
      </c>
      <c r="V843" t="s">
        <v>30</v>
      </c>
      <c r="W843" t="s">
        <v>528</v>
      </c>
      <c r="X843" t="s">
        <v>524</v>
      </c>
    </row>
    <row r="844" spans="1:24" x14ac:dyDescent="0.25">
      <c r="A844">
        <v>2025</v>
      </c>
      <c r="B844" t="s">
        <v>253</v>
      </c>
      <c r="C844" t="s">
        <v>488</v>
      </c>
      <c r="D844" t="s">
        <v>555</v>
      </c>
      <c r="E844">
        <v>3.4</v>
      </c>
      <c r="F844">
        <v>6</v>
      </c>
      <c r="G844" t="s">
        <v>554</v>
      </c>
      <c r="H844">
        <v>10</v>
      </c>
      <c r="I844" t="s">
        <v>400</v>
      </c>
      <c r="J844">
        <v>18</v>
      </c>
      <c r="K844">
        <v>20</v>
      </c>
      <c r="L844">
        <v>19</v>
      </c>
      <c r="M844" t="s">
        <v>135</v>
      </c>
      <c r="N844">
        <v>2750</v>
      </c>
      <c r="O844">
        <v>4</v>
      </c>
      <c r="P844">
        <v>4</v>
      </c>
      <c r="Q844">
        <v>483</v>
      </c>
      <c r="R844">
        <v>435</v>
      </c>
      <c r="S844">
        <v>461</v>
      </c>
      <c r="U844">
        <v>4250</v>
      </c>
      <c r="V844" t="s">
        <v>30</v>
      </c>
      <c r="W844" t="s">
        <v>528</v>
      </c>
      <c r="X844" t="s">
        <v>524</v>
      </c>
    </row>
    <row r="845" spans="1:24" x14ac:dyDescent="0.25">
      <c r="A845">
        <v>2025</v>
      </c>
      <c r="B845" t="s">
        <v>25</v>
      </c>
      <c r="C845" t="s">
        <v>494</v>
      </c>
      <c r="D845" t="s">
        <v>553</v>
      </c>
      <c r="E845">
        <v>2</v>
      </c>
      <c r="F845">
        <v>4</v>
      </c>
      <c r="G845" t="s">
        <v>526</v>
      </c>
      <c r="H845">
        <v>8</v>
      </c>
      <c r="I845" t="s">
        <v>128</v>
      </c>
      <c r="J845">
        <v>20</v>
      </c>
      <c r="K845">
        <v>26</v>
      </c>
      <c r="L845">
        <v>22</v>
      </c>
      <c r="M845" t="s">
        <v>115</v>
      </c>
      <c r="N845">
        <v>2400</v>
      </c>
      <c r="O845">
        <v>5</v>
      </c>
      <c r="P845">
        <v>5</v>
      </c>
      <c r="Q845">
        <v>452</v>
      </c>
      <c r="R845">
        <v>340</v>
      </c>
      <c r="S845">
        <v>402</v>
      </c>
      <c r="U845">
        <v>2500</v>
      </c>
      <c r="V845" t="s">
        <v>30</v>
      </c>
      <c r="W845" t="s">
        <v>528</v>
      </c>
      <c r="X845" t="s">
        <v>524</v>
      </c>
    </row>
    <row r="846" spans="1:24" x14ac:dyDescent="0.25">
      <c r="A846">
        <v>2025</v>
      </c>
      <c r="B846" t="s">
        <v>25</v>
      </c>
      <c r="C846" t="s">
        <v>494</v>
      </c>
      <c r="D846" t="s">
        <v>552</v>
      </c>
      <c r="E846">
        <v>2</v>
      </c>
      <c r="F846">
        <v>4</v>
      </c>
      <c r="G846" t="s">
        <v>526</v>
      </c>
      <c r="H846">
        <v>8</v>
      </c>
      <c r="I846" t="s">
        <v>28</v>
      </c>
      <c r="J846">
        <v>18</v>
      </c>
      <c r="K846">
        <v>25</v>
      </c>
      <c r="L846">
        <v>20</v>
      </c>
      <c r="M846" t="s">
        <v>118</v>
      </c>
      <c r="N846">
        <v>2600</v>
      </c>
      <c r="O846">
        <v>4</v>
      </c>
      <c r="P846">
        <v>4</v>
      </c>
      <c r="Q846">
        <v>499</v>
      </c>
      <c r="R846">
        <v>358</v>
      </c>
      <c r="S846">
        <v>436</v>
      </c>
      <c r="U846">
        <v>3500</v>
      </c>
      <c r="V846" t="s">
        <v>30</v>
      </c>
      <c r="W846" t="s">
        <v>528</v>
      </c>
      <c r="X846" t="s">
        <v>524</v>
      </c>
    </row>
    <row r="847" spans="1:24" x14ac:dyDescent="0.25">
      <c r="A847">
        <v>2025</v>
      </c>
      <c r="B847" t="s">
        <v>25</v>
      </c>
      <c r="C847" t="s">
        <v>494</v>
      </c>
      <c r="D847" t="s">
        <v>551</v>
      </c>
      <c r="E847">
        <v>2</v>
      </c>
      <c r="F847">
        <v>4</v>
      </c>
      <c r="G847" t="s">
        <v>526</v>
      </c>
      <c r="H847">
        <v>8</v>
      </c>
      <c r="I847" t="s">
        <v>128</v>
      </c>
      <c r="J847">
        <v>20</v>
      </c>
      <c r="K847">
        <v>26</v>
      </c>
      <c r="L847">
        <v>23</v>
      </c>
      <c r="M847" t="s">
        <v>115</v>
      </c>
      <c r="N847">
        <v>2300</v>
      </c>
      <c r="O847">
        <v>5</v>
      </c>
      <c r="P847">
        <v>5</v>
      </c>
      <c r="Q847">
        <v>437</v>
      </c>
      <c r="R847">
        <v>336</v>
      </c>
      <c r="S847">
        <v>392</v>
      </c>
      <c r="U847">
        <v>2000</v>
      </c>
      <c r="V847" t="s">
        <v>30</v>
      </c>
      <c r="W847" t="s">
        <v>528</v>
      </c>
      <c r="X847" t="s">
        <v>524</v>
      </c>
    </row>
    <row r="848" spans="1:24" x14ac:dyDescent="0.25">
      <c r="A848">
        <v>2025</v>
      </c>
      <c r="B848" t="s">
        <v>25</v>
      </c>
      <c r="C848" t="s">
        <v>494</v>
      </c>
      <c r="D848" t="s">
        <v>550</v>
      </c>
      <c r="E848">
        <v>2</v>
      </c>
      <c r="F848">
        <v>4</v>
      </c>
      <c r="G848" t="s">
        <v>526</v>
      </c>
      <c r="H848">
        <v>8</v>
      </c>
      <c r="I848" t="s">
        <v>28</v>
      </c>
      <c r="J848">
        <v>19</v>
      </c>
      <c r="K848">
        <v>26</v>
      </c>
      <c r="L848">
        <v>21</v>
      </c>
      <c r="M848" t="s">
        <v>118</v>
      </c>
      <c r="N848">
        <v>2500</v>
      </c>
      <c r="O848">
        <v>4</v>
      </c>
      <c r="P848">
        <v>4</v>
      </c>
      <c r="Q848">
        <v>481</v>
      </c>
      <c r="R848">
        <v>346</v>
      </c>
      <c r="S848">
        <v>420</v>
      </c>
      <c r="U848">
        <v>3000</v>
      </c>
      <c r="V848" t="s">
        <v>30</v>
      </c>
      <c r="W848" t="s">
        <v>528</v>
      </c>
      <c r="X848" t="s">
        <v>524</v>
      </c>
    </row>
    <row r="849" spans="1:24" x14ac:dyDescent="0.25">
      <c r="A849">
        <v>2025</v>
      </c>
      <c r="B849" t="s">
        <v>25</v>
      </c>
      <c r="C849" t="s">
        <v>494</v>
      </c>
      <c r="D849" t="s">
        <v>549</v>
      </c>
      <c r="E849">
        <v>2</v>
      </c>
      <c r="F849">
        <v>4</v>
      </c>
      <c r="G849" t="s">
        <v>526</v>
      </c>
      <c r="H849">
        <v>8</v>
      </c>
      <c r="I849" t="s">
        <v>28</v>
      </c>
      <c r="J849">
        <v>19</v>
      </c>
      <c r="K849">
        <v>26</v>
      </c>
      <c r="L849">
        <v>21</v>
      </c>
      <c r="M849" t="s">
        <v>118</v>
      </c>
      <c r="N849">
        <v>2500</v>
      </c>
      <c r="O849">
        <v>4</v>
      </c>
      <c r="P849">
        <v>4</v>
      </c>
      <c r="Q849">
        <v>481</v>
      </c>
      <c r="R849">
        <v>346</v>
      </c>
      <c r="S849">
        <v>420</v>
      </c>
      <c r="U849">
        <v>3000</v>
      </c>
      <c r="V849" t="s">
        <v>30</v>
      </c>
      <c r="W849" t="s">
        <v>528</v>
      </c>
      <c r="X849" t="s">
        <v>524</v>
      </c>
    </row>
    <row r="850" spans="1:24" x14ac:dyDescent="0.25">
      <c r="A850">
        <v>2025</v>
      </c>
      <c r="B850" t="s">
        <v>25</v>
      </c>
      <c r="C850" t="s">
        <v>494</v>
      </c>
      <c r="D850" t="s">
        <v>548</v>
      </c>
      <c r="E850">
        <v>2</v>
      </c>
      <c r="F850">
        <v>4</v>
      </c>
      <c r="G850" t="s">
        <v>526</v>
      </c>
      <c r="H850">
        <v>8</v>
      </c>
      <c r="I850" t="s">
        <v>28</v>
      </c>
      <c r="J850">
        <v>18</v>
      </c>
      <c r="K850">
        <v>25</v>
      </c>
      <c r="L850">
        <v>21</v>
      </c>
      <c r="M850" t="s">
        <v>118</v>
      </c>
      <c r="N850">
        <v>2500</v>
      </c>
      <c r="O850">
        <v>4</v>
      </c>
      <c r="P850">
        <v>4</v>
      </c>
      <c r="Q850">
        <v>486</v>
      </c>
      <c r="R850">
        <v>357</v>
      </c>
      <c r="S850">
        <v>428</v>
      </c>
      <c r="U850">
        <v>3000</v>
      </c>
      <c r="V850" t="s">
        <v>30</v>
      </c>
      <c r="W850" t="s">
        <v>528</v>
      </c>
      <c r="X850" t="s">
        <v>524</v>
      </c>
    </row>
    <row r="851" spans="1:24" x14ac:dyDescent="0.25">
      <c r="A851">
        <v>2025</v>
      </c>
      <c r="B851" t="s">
        <v>25</v>
      </c>
      <c r="C851" t="s">
        <v>494</v>
      </c>
      <c r="D851" t="s">
        <v>547</v>
      </c>
      <c r="E851">
        <v>2</v>
      </c>
      <c r="F851">
        <v>4</v>
      </c>
      <c r="G851" t="s">
        <v>543</v>
      </c>
      <c r="H851">
        <v>7</v>
      </c>
      <c r="I851" t="s">
        <v>128</v>
      </c>
      <c r="J851">
        <v>25</v>
      </c>
      <c r="K851">
        <v>35</v>
      </c>
      <c r="L851">
        <v>29</v>
      </c>
      <c r="M851" t="s">
        <v>75</v>
      </c>
      <c r="N851">
        <v>1800</v>
      </c>
      <c r="O851">
        <v>6</v>
      </c>
      <c r="P851">
        <v>6</v>
      </c>
      <c r="Q851">
        <v>360</v>
      </c>
      <c r="R851">
        <v>252</v>
      </c>
      <c r="S851">
        <v>311</v>
      </c>
      <c r="T851">
        <v>500</v>
      </c>
      <c r="V851" t="s">
        <v>30</v>
      </c>
      <c r="W851" t="s">
        <v>528</v>
      </c>
      <c r="X851" t="s">
        <v>524</v>
      </c>
    </row>
    <row r="852" spans="1:24" x14ac:dyDescent="0.25">
      <c r="A852">
        <v>2025</v>
      </c>
      <c r="B852" t="s">
        <v>25</v>
      </c>
      <c r="C852" t="s">
        <v>494</v>
      </c>
      <c r="D852" t="s">
        <v>547</v>
      </c>
      <c r="E852">
        <v>2</v>
      </c>
      <c r="F852">
        <v>4</v>
      </c>
      <c r="G852" t="s">
        <v>546</v>
      </c>
      <c r="H852">
        <v>6</v>
      </c>
      <c r="I852" t="s">
        <v>128</v>
      </c>
      <c r="J852">
        <v>26</v>
      </c>
      <c r="K852">
        <v>36</v>
      </c>
      <c r="L852">
        <v>30</v>
      </c>
      <c r="M852" t="s">
        <v>75</v>
      </c>
      <c r="N852">
        <v>1750</v>
      </c>
      <c r="O852">
        <v>6</v>
      </c>
      <c r="P852">
        <v>6</v>
      </c>
      <c r="Q852">
        <v>346</v>
      </c>
      <c r="R852">
        <v>247</v>
      </c>
      <c r="S852">
        <v>301</v>
      </c>
      <c r="T852">
        <v>750</v>
      </c>
      <c r="V852" t="s">
        <v>30</v>
      </c>
      <c r="W852" t="s">
        <v>528</v>
      </c>
      <c r="X852" t="s">
        <v>524</v>
      </c>
    </row>
    <row r="853" spans="1:24" x14ac:dyDescent="0.25">
      <c r="A853">
        <v>2025</v>
      </c>
      <c r="B853" t="s">
        <v>25</v>
      </c>
      <c r="C853" t="s">
        <v>494</v>
      </c>
      <c r="D853" t="s">
        <v>545</v>
      </c>
      <c r="E853">
        <v>2</v>
      </c>
      <c r="F853">
        <v>4</v>
      </c>
      <c r="G853" t="s">
        <v>543</v>
      </c>
      <c r="H853">
        <v>7</v>
      </c>
      <c r="I853" t="s">
        <v>28</v>
      </c>
      <c r="J853">
        <v>22</v>
      </c>
      <c r="K853">
        <v>31</v>
      </c>
      <c r="L853">
        <v>25</v>
      </c>
      <c r="M853" t="s">
        <v>75</v>
      </c>
      <c r="N853">
        <v>2550</v>
      </c>
      <c r="O853">
        <v>5</v>
      </c>
      <c r="P853">
        <v>5</v>
      </c>
      <c r="Q853">
        <v>397</v>
      </c>
      <c r="R853">
        <v>289</v>
      </c>
      <c r="S853">
        <v>349</v>
      </c>
      <c r="U853">
        <v>3250</v>
      </c>
      <c r="V853" t="s">
        <v>30</v>
      </c>
      <c r="W853" t="s">
        <v>528</v>
      </c>
      <c r="X853" t="s">
        <v>524</v>
      </c>
    </row>
    <row r="854" spans="1:24" x14ac:dyDescent="0.25">
      <c r="A854">
        <v>2025</v>
      </c>
      <c r="B854" t="s">
        <v>25</v>
      </c>
      <c r="C854" t="s">
        <v>494</v>
      </c>
      <c r="D854" t="s">
        <v>544</v>
      </c>
      <c r="E854">
        <v>2</v>
      </c>
      <c r="F854">
        <v>4</v>
      </c>
      <c r="G854" t="s">
        <v>543</v>
      </c>
      <c r="H854">
        <v>7</v>
      </c>
      <c r="I854" t="s">
        <v>128</v>
      </c>
      <c r="J854">
        <v>24</v>
      </c>
      <c r="K854">
        <v>32</v>
      </c>
      <c r="L854">
        <v>27</v>
      </c>
      <c r="M854" t="s">
        <v>75</v>
      </c>
      <c r="N854">
        <v>1950</v>
      </c>
      <c r="O854">
        <v>5</v>
      </c>
      <c r="P854">
        <v>5</v>
      </c>
      <c r="Q854">
        <v>365</v>
      </c>
      <c r="R854">
        <v>278</v>
      </c>
      <c r="S854">
        <v>326</v>
      </c>
      <c r="U854">
        <v>250</v>
      </c>
      <c r="V854" t="s">
        <v>30</v>
      </c>
      <c r="W854" t="s">
        <v>528</v>
      </c>
      <c r="X854" t="s">
        <v>524</v>
      </c>
    </row>
    <row r="855" spans="1:24" x14ac:dyDescent="0.25">
      <c r="A855">
        <v>2025</v>
      </c>
      <c r="B855" t="s">
        <v>25</v>
      </c>
      <c r="C855" t="s">
        <v>494</v>
      </c>
      <c r="D855" t="s">
        <v>542</v>
      </c>
      <c r="E855">
        <v>1.5</v>
      </c>
      <c r="F855">
        <v>4</v>
      </c>
      <c r="G855" t="s">
        <v>526</v>
      </c>
      <c r="H855">
        <v>8</v>
      </c>
      <c r="I855" t="s">
        <v>128</v>
      </c>
      <c r="J855">
        <v>29</v>
      </c>
      <c r="K855">
        <v>39</v>
      </c>
      <c r="L855">
        <v>33</v>
      </c>
      <c r="M855" t="s">
        <v>75</v>
      </c>
      <c r="N855">
        <v>1600</v>
      </c>
      <c r="O855">
        <v>6</v>
      </c>
      <c r="P855">
        <v>6</v>
      </c>
      <c r="Q855">
        <v>307</v>
      </c>
      <c r="R855">
        <v>227</v>
      </c>
      <c r="S855">
        <v>271</v>
      </c>
      <c r="T855">
        <v>1500</v>
      </c>
      <c r="V855" t="s">
        <v>30</v>
      </c>
      <c r="W855" t="s">
        <v>528</v>
      </c>
      <c r="X855" t="s">
        <v>524</v>
      </c>
    </row>
    <row r="856" spans="1:24" x14ac:dyDescent="0.25">
      <c r="A856">
        <v>2025</v>
      </c>
      <c r="B856" t="s">
        <v>25</v>
      </c>
      <c r="C856" t="s">
        <v>494</v>
      </c>
      <c r="D856" t="s">
        <v>541</v>
      </c>
      <c r="E856">
        <v>1.5</v>
      </c>
      <c r="F856">
        <v>4</v>
      </c>
      <c r="G856" t="s">
        <v>526</v>
      </c>
      <c r="H856">
        <v>8</v>
      </c>
      <c r="I856" t="s">
        <v>128</v>
      </c>
      <c r="J856">
        <v>29</v>
      </c>
      <c r="K856">
        <v>40</v>
      </c>
      <c r="L856">
        <v>33</v>
      </c>
      <c r="M856" t="s">
        <v>75</v>
      </c>
      <c r="N856">
        <v>1600</v>
      </c>
      <c r="O856">
        <v>6</v>
      </c>
      <c r="P856">
        <v>6</v>
      </c>
      <c r="Q856">
        <v>310</v>
      </c>
      <c r="R856">
        <v>224</v>
      </c>
      <c r="S856">
        <v>271</v>
      </c>
      <c r="T856">
        <v>1500</v>
      </c>
      <c r="V856" t="s">
        <v>30</v>
      </c>
      <c r="W856" t="s">
        <v>528</v>
      </c>
      <c r="X856" t="s">
        <v>524</v>
      </c>
    </row>
    <row r="857" spans="1:24" x14ac:dyDescent="0.25">
      <c r="A857">
        <v>2025</v>
      </c>
      <c r="B857" t="s">
        <v>25</v>
      </c>
      <c r="C857" t="s">
        <v>494</v>
      </c>
      <c r="D857" t="s">
        <v>540</v>
      </c>
      <c r="E857">
        <v>1.5</v>
      </c>
      <c r="F857">
        <v>4</v>
      </c>
      <c r="G857" t="s">
        <v>526</v>
      </c>
      <c r="H857">
        <v>8</v>
      </c>
      <c r="I857" t="s">
        <v>128</v>
      </c>
      <c r="J857">
        <v>28</v>
      </c>
      <c r="K857">
        <v>36</v>
      </c>
      <c r="L857">
        <v>31</v>
      </c>
      <c r="M857" t="s">
        <v>115</v>
      </c>
      <c r="N857">
        <v>1700</v>
      </c>
      <c r="O857">
        <v>6</v>
      </c>
      <c r="P857">
        <v>6</v>
      </c>
      <c r="Q857">
        <v>312</v>
      </c>
      <c r="R857">
        <v>247</v>
      </c>
      <c r="S857">
        <v>287</v>
      </c>
      <c r="T857">
        <v>1000</v>
      </c>
      <c r="V857" t="s">
        <v>30</v>
      </c>
      <c r="W857" t="s">
        <v>528</v>
      </c>
      <c r="X857" t="s">
        <v>524</v>
      </c>
    </row>
    <row r="858" spans="1:24" x14ac:dyDescent="0.25">
      <c r="A858">
        <v>2025</v>
      </c>
      <c r="B858" t="s">
        <v>25</v>
      </c>
      <c r="C858" t="s">
        <v>494</v>
      </c>
      <c r="D858" t="s">
        <v>539</v>
      </c>
      <c r="E858">
        <v>1.5</v>
      </c>
      <c r="F858">
        <v>4</v>
      </c>
      <c r="G858" t="s">
        <v>526</v>
      </c>
      <c r="H858">
        <v>8</v>
      </c>
      <c r="I858" t="s">
        <v>28</v>
      </c>
      <c r="J858">
        <v>25</v>
      </c>
      <c r="K858">
        <v>33</v>
      </c>
      <c r="L858">
        <v>28</v>
      </c>
      <c r="M858" t="s">
        <v>118</v>
      </c>
      <c r="N858">
        <v>1900</v>
      </c>
      <c r="O858">
        <v>6</v>
      </c>
      <c r="P858">
        <v>6</v>
      </c>
      <c r="Q858">
        <v>355</v>
      </c>
      <c r="R858">
        <v>274</v>
      </c>
      <c r="S858">
        <v>318</v>
      </c>
      <c r="T858">
        <v>0</v>
      </c>
      <c r="V858" t="s">
        <v>30</v>
      </c>
      <c r="W858" t="s">
        <v>528</v>
      </c>
      <c r="X858" t="s">
        <v>524</v>
      </c>
    </row>
    <row r="859" spans="1:24" x14ac:dyDescent="0.25">
      <c r="A859">
        <v>2025</v>
      </c>
      <c r="B859" t="s">
        <v>25</v>
      </c>
      <c r="C859" t="s">
        <v>494</v>
      </c>
      <c r="D859" t="s">
        <v>538</v>
      </c>
      <c r="E859">
        <v>2</v>
      </c>
      <c r="F859">
        <v>4</v>
      </c>
      <c r="G859" t="s">
        <v>526</v>
      </c>
      <c r="H859">
        <v>8</v>
      </c>
      <c r="I859" t="s">
        <v>128</v>
      </c>
      <c r="J859">
        <v>25</v>
      </c>
      <c r="K859">
        <v>32</v>
      </c>
      <c r="L859">
        <v>28</v>
      </c>
      <c r="M859" t="s">
        <v>115</v>
      </c>
      <c r="N859">
        <v>1900</v>
      </c>
      <c r="O859">
        <v>6</v>
      </c>
      <c r="P859">
        <v>6</v>
      </c>
      <c r="Q859">
        <v>355</v>
      </c>
      <c r="R859">
        <v>277</v>
      </c>
      <c r="S859">
        <v>320</v>
      </c>
      <c r="T859">
        <v>0</v>
      </c>
      <c r="V859" t="s">
        <v>30</v>
      </c>
      <c r="W859" t="s">
        <v>528</v>
      </c>
      <c r="X859" t="s">
        <v>524</v>
      </c>
    </row>
    <row r="860" spans="1:24" x14ac:dyDescent="0.25">
      <c r="A860">
        <v>2025</v>
      </c>
      <c r="B860" t="s">
        <v>25</v>
      </c>
      <c r="C860" t="s">
        <v>494</v>
      </c>
      <c r="D860" t="s">
        <v>537</v>
      </c>
      <c r="E860">
        <v>2</v>
      </c>
      <c r="F860">
        <v>4</v>
      </c>
      <c r="G860" t="s">
        <v>526</v>
      </c>
      <c r="H860">
        <v>8</v>
      </c>
      <c r="I860" t="s">
        <v>28</v>
      </c>
      <c r="J860">
        <v>22</v>
      </c>
      <c r="K860">
        <v>30</v>
      </c>
      <c r="L860">
        <v>25</v>
      </c>
      <c r="M860" t="s">
        <v>118</v>
      </c>
      <c r="N860">
        <v>2100</v>
      </c>
      <c r="O860">
        <v>5</v>
      </c>
      <c r="P860">
        <v>5</v>
      </c>
      <c r="Q860">
        <v>398</v>
      </c>
      <c r="R860">
        <v>294</v>
      </c>
      <c r="S860">
        <v>351</v>
      </c>
      <c r="U860">
        <v>1000</v>
      </c>
      <c r="V860" t="s">
        <v>30</v>
      </c>
      <c r="W860" t="s">
        <v>528</v>
      </c>
      <c r="X860" t="s">
        <v>524</v>
      </c>
    </row>
    <row r="861" spans="1:24" x14ac:dyDescent="0.25">
      <c r="A861">
        <v>2025</v>
      </c>
      <c r="B861" t="s">
        <v>25</v>
      </c>
      <c r="C861" t="s">
        <v>494</v>
      </c>
      <c r="D861" t="s">
        <v>536</v>
      </c>
      <c r="E861">
        <v>2</v>
      </c>
      <c r="F861">
        <v>4</v>
      </c>
      <c r="G861" t="s">
        <v>526</v>
      </c>
      <c r="H861">
        <v>8</v>
      </c>
      <c r="I861" t="s">
        <v>128</v>
      </c>
      <c r="J861">
        <v>26</v>
      </c>
      <c r="K861">
        <v>34</v>
      </c>
      <c r="L861">
        <v>29</v>
      </c>
      <c r="M861" t="s">
        <v>115</v>
      </c>
      <c r="N861">
        <v>1800</v>
      </c>
      <c r="O861">
        <v>6</v>
      </c>
      <c r="P861">
        <v>6</v>
      </c>
      <c r="Q861">
        <v>345</v>
      </c>
      <c r="R861">
        <v>260</v>
      </c>
      <c r="S861">
        <v>307</v>
      </c>
      <c r="T861">
        <v>500</v>
      </c>
      <c r="V861" t="s">
        <v>30</v>
      </c>
      <c r="W861" t="s">
        <v>528</v>
      </c>
      <c r="X861" t="s">
        <v>524</v>
      </c>
    </row>
    <row r="862" spans="1:24" x14ac:dyDescent="0.25">
      <c r="A862">
        <v>2025</v>
      </c>
      <c r="B862" t="s">
        <v>335</v>
      </c>
      <c r="C862" t="s">
        <v>506</v>
      </c>
      <c r="D862" t="s">
        <v>535</v>
      </c>
      <c r="E862">
        <v>2</v>
      </c>
      <c r="F862">
        <v>4</v>
      </c>
      <c r="G862" t="s">
        <v>526</v>
      </c>
      <c r="H862">
        <v>8</v>
      </c>
      <c r="I862" t="s">
        <v>128</v>
      </c>
      <c r="J862">
        <v>27</v>
      </c>
      <c r="K862">
        <v>36</v>
      </c>
      <c r="L862">
        <v>30</v>
      </c>
      <c r="M862" t="s">
        <v>75</v>
      </c>
      <c r="N862">
        <v>2100</v>
      </c>
      <c r="O862">
        <v>6</v>
      </c>
      <c r="P862">
        <v>6</v>
      </c>
      <c r="Q862">
        <v>333</v>
      </c>
      <c r="R862">
        <v>248</v>
      </c>
      <c r="S862">
        <v>295</v>
      </c>
      <c r="U862">
        <v>1000</v>
      </c>
      <c r="V862" t="s">
        <v>30</v>
      </c>
      <c r="W862" t="s">
        <v>528</v>
      </c>
      <c r="X862" t="s">
        <v>524</v>
      </c>
    </row>
    <row r="863" spans="1:24" x14ac:dyDescent="0.25">
      <c r="A863">
        <v>2025</v>
      </c>
      <c r="B863" t="s">
        <v>335</v>
      </c>
      <c r="C863" t="s">
        <v>506</v>
      </c>
      <c r="D863" t="s">
        <v>534</v>
      </c>
      <c r="E863">
        <v>2</v>
      </c>
      <c r="F863">
        <v>4</v>
      </c>
      <c r="G863" t="s">
        <v>526</v>
      </c>
      <c r="H863">
        <v>8</v>
      </c>
      <c r="I863" t="s">
        <v>28</v>
      </c>
      <c r="J863">
        <v>25</v>
      </c>
      <c r="K863">
        <v>34</v>
      </c>
      <c r="L863">
        <v>28</v>
      </c>
      <c r="M863" t="s">
        <v>75</v>
      </c>
      <c r="N863">
        <v>2300</v>
      </c>
      <c r="O863">
        <v>6</v>
      </c>
      <c r="P863">
        <v>6</v>
      </c>
      <c r="Q863">
        <v>352</v>
      </c>
      <c r="R863">
        <v>265</v>
      </c>
      <c r="S863">
        <v>313</v>
      </c>
      <c r="U863">
        <v>2000</v>
      </c>
      <c r="V863" t="s">
        <v>30</v>
      </c>
      <c r="W863" t="s">
        <v>528</v>
      </c>
      <c r="X863" t="s">
        <v>524</v>
      </c>
    </row>
    <row r="864" spans="1:24" x14ac:dyDescent="0.25">
      <c r="A864">
        <v>2025</v>
      </c>
      <c r="B864" t="s">
        <v>335</v>
      </c>
      <c r="C864" t="s">
        <v>506</v>
      </c>
      <c r="D864" t="s">
        <v>533</v>
      </c>
      <c r="E864">
        <v>2</v>
      </c>
      <c r="F864">
        <v>4</v>
      </c>
      <c r="G864" t="s">
        <v>526</v>
      </c>
      <c r="H864">
        <v>8</v>
      </c>
      <c r="I864" t="s">
        <v>28</v>
      </c>
      <c r="J864">
        <v>23</v>
      </c>
      <c r="K864">
        <v>31</v>
      </c>
      <c r="L864">
        <v>26</v>
      </c>
      <c r="M864" t="s">
        <v>186</v>
      </c>
      <c r="N864">
        <v>2450</v>
      </c>
      <c r="O864">
        <v>5</v>
      </c>
      <c r="P864">
        <v>5</v>
      </c>
      <c r="Q864">
        <v>386</v>
      </c>
      <c r="R864">
        <v>287</v>
      </c>
      <c r="S864">
        <v>341</v>
      </c>
      <c r="U864">
        <v>2750</v>
      </c>
      <c r="V864" t="s">
        <v>30</v>
      </c>
      <c r="W864" t="s">
        <v>525</v>
      </c>
      <c r="X864" t="s">
        <v>524</v>
      </c>
    </row>
    <row r="865" spans="1:24" x14ac:dyDescent="0.25">
      <c r="A865">
        <v>2025</v>
      </c>
      <c r="B865" t="s">
        <v>335</v>
      </c>
      <c r="C865" t="s">
        <v>506</v>
      </c>
      <c r="D865" t="s">
        <v>532</v>
      </c>
      <c r="E865">
        <v>2</v>
      </c>
      <c r="F865">
        <v>4</v>
      </c>
      <c r="G865" t="s">
        <v>526</v>
      </c>
      <c r="H865">
        <v>8</v>
      </c>
      <c r="I865" t="s">
        <v>28</v>
      </c>
      <c r="J865">
        <v>22</v>
      </c>
      <c r="K865">
        <v>29</v>
      </c>
      <c r="L865">
        <v>25</v>
      </c>
      <c r="M865" t="s">
        <v>313</v>
      </c>
      <c r="N865">
        <v>2550</v>
      </c>
      <c r="O865">
        <v>5</v>
      </c>
      <c r="P865">
        <v>5</v>
      </c>
      <c r="Q865">
        <v>403</v>
      </c>
      <c r="R865">
        <v>304</v>
      </c>
      <c r="S865">
        <v>358</v>
      </c>
      <c r="U865">
        <v>3250</v>
      </c>
      <c r="V865" t="s">
        <v>30</v>
      </c>
      <c r="W865" t="s">
        <v>525</v>
      </c>
      <c r="X865" t="s">
        <v>524</v>
      </c>
    </row>
    <row r="866" spans="1:24" x14ac:dyDescent="0.25">
      <c r="A866">
        <v>2025</v>
      </c>
      <c r="B866" t="s">
        <v>335</v>
      </c>
      <c r="C866" t="s">
        <v>506</v>
      </c>
      <c r="D866" t="s">
        <v>531</v>
      </c>
      <c r="E866">
        <v>2</v>
      </c>
      <c r="F866">
        <v>4</v>
      </c>
      <c r="G866" t="s">
        <v>526</v>
      </c>
      <c r="H866">
        <v>8</v>
      </c>
      <c r="I866" t="s">
        <v>28</v>
      </c>
      <c r="J866">
        <v>23</v>
      </c>
      <c r="K866">
        <v>30</v>
      </c>
      <c r="L866">
        <v>26</v>
      </c>
      <c r="M866" t="s">
        <v>118</v>
      </c>
      <c r="N866">
        <v>2450</v>
      </c>
      <c r="O866">
        <v>5</v>
      </c>
      <c r="P866">
        <v>5</v>
      </c>
      <c r="Q866">
        <v>381</v>
      </c>
      <c r="R866">
        <v>296</v>
      </c>
      <c r="S866">
        <v>343</v>
      </c>
      <c r="U866">
        <v>2750</v>
      </c>
      <c r="V866" t="s">
        <v>30</v>
      </c>
      <c r="W866" t="s">
        <v>528</v>
      </c>
      <c r="X866" t="s">
        <v>524</v>
      </c>
    </row>
    <row r="867" spans="1:24" x14ac:dyDescent="0.25">
      <c r="A867">
        <v>2025</v>
      </c>
      <c r="B867" t="s">
        <v>335</v>
      </c>
      <c r="C867" t="s">
        <v>506</v>
      </c>
      <c r="D867" t="s">
        <v>530</v>
      </c>
      <c r="E867">
        <v>2</v>
      </c>
      <c r="F867">
        <v>4</v>
      </c>
      <c r="G867" t="s">
        <v>526</v>
      </c>
      <c r="H867">
        <v>8</v>
      </c>
      <c r="I867" t="s">
        <v>28</v>
      </c>
      <c r="J867">
        <v>23</v>
      </c>
      <c r="K867">
        <v>30</v>
      </c>
      <c r="L867">
        <v>26</v>
      </c>
      <c r="M867" t="s">
        <v>118</v>
      </c>
      <c r="N867">
        <v>2450</v>
      </c>
      <c r="O867">
        <v>5</v>
      </c>
      <c r="P867">
        <v>5</v>
      </c>
      <c r="Q867">
        <v>384</v>
      </c>
      <c r="R867">
        <v>292</v>
      </c>
      <c r="S867">
        <v>343</v>
      </c>
      <c r="U867">
        <v>2750</v>
      </c>
      <c r="V867" t="s">
        <v>30</v>
      </c>
      <c r="W867" t="s">
        <v>528</v>
      </c>
      <c r="X867" t="s">
        <v>524</v>
      </c>
    </row>
    <row r="868" spans="1:24" x14ac:dyDescent="0.25">
      <c r="A868">
        <v>2025</v>
      </c>
      <c r="B868" t="s">
        <v>335</v>
      </c>
      <c r="C868" t="s">
        <v>506</v>
      </c>
      <c r="D868" t="s">
        <v>529</v>
      </c>
      <c r="E868">
        <v>2</v>
      </c>
      <c r="F868">
        <v>4</v>
      </c>
      <c r="G868" t="s">
        <v>526</v>
      </c>
      <c r="H868">
        <v>8</v>
      </c>
      <c r="I868" t="s">
        <v>28</v>
      </c>
      <c r="J868">
        <v>23</v>
      </c>
      <c r="K868">
        <v>30</v>
      </c>
      <c r="L868">
        <v>26</v>
      </c>
      <c r="M868" t="s">
        <v>29</v>
      </c>
      <c r="N868">
        <v>2450</v>
      </c>
      <c r="O868">
        <v>5</v>
      </c>
      <c r="P868">
        <v>5</v>
      </c>
      <c r="Q868">
        <v>381</v>
      </c>
      <c r="R868">
        <v>298</v>
      </c>
      <c r="S868">
        <v>343</v>
      </c>
      <c r="U868">
        <v>2750</v>
      </c>
      <c r="V868" t="s">
        <v>30</v>
      </c>
      <c r="W868" t="s">
        <v>528</v>
      </c>
      <c r="X868" t="s">
        <v>524</v>
      </c>
    </row>
    <row r="869" spans="1:24" x14ac:dyDescent="0.25">
      <c r="A869">
        <v>2025</v>
      </c>
      <c r="B869" t="s">
        <v>335</v>
      </c>
      <c r="C869" t="s">
        <v>506</v>
      </c>
      <c r="D869" t="s">
        <v>527</v>
      </c>
      <c r="E869">
        <v>2</v>
      </c>
      <c r="F869">
        <v>4</v>
      </c>
      <c r="G869" t="s">
        <v>526</v>
      </c>
      <c r="H869">
        <v>8</v>
      </c>
      <c r="I869" t="s">
        <v>28</v>
      </c>
      <c r="J869">
        <v>20</v>
      </c>
      <c r="K869">
        <v>26</v>
      </c>
      <c r="L869">
        <v>23</v>
      </c>
      <c r="M869" t="s">
        <v>29</v>
      </c>
      <c r="N869">
        <v>2750</v>
      </c>
      <c r="O869">
        <v>5</v>
      </c>
      <c r="P869">
        <v>5</v>
      </c>
      <c r="Q869">
        <v>435</v>
      </c>
      <c r="R869">
        <v>342</v>
      </c>
      <c r="S869">
        <v>393</v>
      </c>
      <c r="U869">
        <v>4250</v>
      </c>
      <c r="V869" t="s">
        <v>30</v>
      </c>
      <c r="W869" t="s">
        <v>525</v>
      </c>
      <c r="X869" t="s">
        <v>524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000CD-14B1-430D-8A48-86D6A14BE5D0}">
  <dimension ref="A3:E24"/>
  <sheetViews>
    <sheetView workbookViewId="0">
      <selection activeCell="E3" sqref="E3"/>
    </sheetView>
  </sheetViews>
  <sheetFormatPr defaultRowHeight="15" x14ac:dyDescent="0.25"/>
  <cols>
    <col min="1" max="1" width="35.42578125" bestFit="1" customWidth="1"/>
    <col min="2" max="2" width="8.7109375" bestFit="1" customWidth="1"/>
    <col min="3" max="3" width="20" bestFit="1" customWidth="1"/>
    <col min="4" max="4" width="15.140625" bestFit="1" customWidth="1"/>
    <col min="5" max="5" width="26.140625" bestFit="1" customWidth="1"/>
  </cols>
  <sheetData>
    <row r="3" spans="1:5" x14ac:dyDescent="0.25">
      <c r="A3" s="1" t="s">
        <v>1260</v>
      </c>
      <c r="B3" t="s">
        <v>1265</v>
      </c>
      <c r="C3" t="s">
        <v>1262</v>
      </c>
      <c r="D3" t="s">
        <v>1263</v>
      </c>
      <c r="E3" t="s">
        <v>1292</v>
      </c>
    </row>
    <row r="4" spans="1:5" x14ac:dyDescent="0.25">
      <c r="A4" s="2" t="s">
        <v>75</v>
      </c>
      <c r="B4" s="3">
        <v>28.708333333333332</v>
      </c>
      <c r="C4" s="6">
        <v>2249.3055555555557</v>
      </c>
      <c r="D4" s="7">
        <v>5.6111111111111107</v>
      </c>
      <c r="E4" s="4">
        <v>3490</v>
      </c>
    </row>
    <row r="5" spans="1:5" x14ac:dyDescent="0.25">
      <c r="A5" s="2" t="s">
        <v>95</v>
      </c>
      <c r="B5" s="3">
        <v>25.358974358974358</v>
      </c>
      <c r="C5" s="6">
        <v>2688.4615384615386</v>
      </c>
      <c r="D5" s="7">
        <v>4.8205128205128203</v>
      </c>
      <c r="E5" s="4">
        <v>5922.4137931034484</v>
      </c>
    </row>
    <row r="6" spans="1:5" x14ac:dyDescent="0.25">
      <c r="A6" s="2" t="s">
        <v>186</v>
      </c>
      <c r="B6" s="3">
        <v>30.277108433734941</v>
      </c>
      <c r="C6" s="6">
        <v>2160.2409638554218</v>
      </c>
      <c r="D6" s="7">
        <v>5.6746987951807233</v>
      </c>
      <c r="E6" s="4">
        <v>4122.3404255319147</v>
      </c>
    </row>
    <row r="7" spans="1:5" x14ac:dyDescent="0.25">
      <c r="A7" s="2" t="s">
        <v>313</v>
      </c>
      <c r="B7" s="3">
        <v>23</v>
      </c>
      <c r="C7" s="6">
        <v>2830</v>
      </c>
      <c r="D7" s="7">
        <v>4.5999999999999996</v>
      </c>
      <c r="E7" s="4">
        <v>4650</v>
      </c>
    </row>
    <row r="8" spans="1:5" x14ac:dyDescent="0.25">
      <c r="A8" s="2" t="s">
        <v>155</v>
      </c>
      <c r="B8" s="3">
        <v>20.413793103448278</v>
      </c>
      <c r="C8" s="6">
        <v>3227.5862068965516</v>
      </c>
      <c r="D8" s="7">
        <v>4.1379310344827589</v>
      </c>
      <c r="E8" s="4">
        <v>6637.9310344827591</v>
      </c>
    </row>
    <row r="9" spans="1:5" x14ac:dyDescent="0.25">
      <c r="A9" s="2" t="s">
        <v>563</v>
      </c>
      <c r="B9" s="3">
        <v>26.5</v>
      </c>
      <c r="C9" s="6">
        <v>2100</v>
      </c>
      <c r="D9" s="7">
        <v>5.5</v>
      </c>
      <c r="E9" s="4">
        <v>2166.6666666666665</v>
      </c>
    </row>
    <row r="10" spans="1:5" x14ac:dyDescent="0.25">
      <c r="A10" s="2" t="s">
        <v>566</v>
      </c>
      <c r="B10" s="3">
        <v>23.666666666666668</v>
      </c>
      <c r="C10" s="6">
        <v>2288.8888888888887</v>
      </c>
      <c r="D10" s="7">
        <v>4.666666666666667</v>
      </c>
      <c r="E10" s="4">
        <v>2500</v>
      </c>
    </row>
    <row r="11" spans="1:5" x14ac:dyDescent="0.25">
      <c r="A11" s="2" t="s">
        <v>122</v>
      </c>
      <c r="B11" s="3">
        <v>27.421052631578949</v>
      </c>
      <c r="C11" s="6">
        <v>2171.0526315789475</v>
      </c>
      <c r="D11" s="7">
        <v>5.4210526315789478</v>
      </c>
      <c r="E11" s="4">
        <v>3777.7777777777778</v>
      </c>
    </row>
    <row r="12" spans="1:5" x14ac:dyDescent="0.25">
      <c r="A12" s="2" t="s">
        <v>115</v>
      </c>
      <c r="B12" s="3">
        <v>28.315789473684209</v>
      </c>
      <c r="C12" s="6">
        <v>1985.0877192982457</v>
      </c>
      <c r="D12" s="7">
        <v>5.5964912280701755</v>
      </c>
      <c r="E12" s="4">
        <v>2043.1034482758621</v>
      </c>
    </row>
    <row r="13" spans="1:5" x14ac:dyDescent="0.25">
      <c r="A13" s="2" t="s">
        <v>118</v>
      </c>
      <c r="B13" s="3">
        <v>25.3</v>
      </c>
      <c r="C13" s="6">
        <v>2335.8823529411766</v>
      </c>
      <c r="D13" s="7">
        <v>5.0705882352941174</v>
      </c>
      <c r="E13" s="4">
        <v>3173.6641221374048</v>
      </c>
    </row>
    <row r="14" spans="1:5" x14ac:dyDescent="0.25">
      <c r="A14" s="2" t="s">
        <v>208</v>
      </c>
      <c r="B14" s="3">
        <v>28.5</v>
      </c>
      <c r="C14" s="6">
        <v>2250</v>
      </c>
      <c r="D14" s="7">
        <v>6</v>
      </c>
      <c r="E14" s="4">
        <v>1750</v>
      </c>
    </row>
    <row r="15" spans="1:5" x14ac:dyDescent="0.25">
      <c r="A15" s="2" t="s">
        <v>992</v>
      </c>
      <c r="B15" s="3">
        <v>15.5</v>
      </c>
      <c r="C15" s="6">
        <v>3400</v>
      </c>
      <c r="D15" s="7">
        <v>2.5</v>
      </c>
      <c r="E15" s="4">
        <v>7500</v>
      </c>
    </row>
    <row r="16" spans="1:5" x14ac:dyDescent="0.25">
      <c r="A16" s="2" t="s">
        <v>503</v>
      </c>
      <c r="B16" s="3">
        <v>26</v>
      </c>
      <c r="C16" s="6">
        <v>2125</v>
      </c>
      <c r="D16" s="7">
        <v>5.333333333333333</v>
      </c>
      <c r="E16" s="4">
        <v>2625</v>
      </c>
    </row>
    <row r="17" spans="1:5" x14ac:dyDescent="0.25">
      <c r="A17" s="2" t="s">
        <v>505</v>
      </c>
      <c r="B17" s="3">
        <v>27.5</v>
      </c>
      <c r="C17" s="6">
        <v>2050</v>
      </c>
      <c r="D17" s="7">
        <v>5.5</v>
      </c>
      <c r="E17" s="4">
        <v>3500</v>
      </c>
    </row>
    <row r="18" spans="1:5" x14ac:dyDescent="0.25">
      <c r="A18" s="2" t="s">
        <v>463</v>
      </c>
      <c r="B18" s="3">
        <v>20.478260869565219</v>
      </c>
      <c r="C18" s="6">
        <v>2615.217391304348</v>
      </c>
      <c r="D18" s="7">
        <v>4.2173913043478262</v>
      </c>
      <c r="E18" s="4">
        <v>3576.086956521739</v>
      </c>
    </row>
    <row r="19" spans="1:5" x14ac:dyDescent="0.25">
      <c r="A19" s="2" t="s">
        <v>135</v>
      </c>
      <c r="B19" s="3">
        <v>18.171428571428571</v>
      </c>
      <c r="C19" s="6">
        <v>3088.5714285714284</v>
      </c>
      <c r="D19" s="7">
        <v>3.4285714285714284</v>
      </c>
      <c r="E19" s="4">
        <v>5942.8571428571431</v>
      </c>
    </row>
    <row r="20" spans="1:5" x14ac:dyDescent="0.25">
      <c r="A20" s="2" t="s">
        <v>47</v>
      </c>
      <c r="B20" s="3">
        <v>20.973684210526315</v>
      </c>
      <c r="C20" s="6">
        <v>2785.5263157894738</v>
      </c>
      <c r="D20" s="7">
        <v>4.1578947368421053</v>
      </c>
      <c r="E20" s="4">
        <v>4608.1081081081084</v>
      </c>
    </row>
    <row r="21" spans="1:5" x14ac:dyDescent="0.25">
      <c r="A21" s="2" t="s">
        <v>29</v>
      </c>
      <c r="B21" s="3">
        <v>19.5</v>
      </c>
      <c r="C21" s="6">
        <v>3213.4328358208954</v>
      </c>
      <c r="D21" s="7">
        <v>3.8134328358208953</v>
      </c>
      <c r="E21" s="4">
        <v>6761.4503816793895</v>
      </c>
    </row>
    <row r="22" spans="1:5" x14ac:dyDescent="0.25">
      <c r="A22" s="2" t="s">
        <v>36</v>
      </c>
      <c r="B22" s="3">
        <v>23.406779661016948</v>
      </c>
      <c r="C22" s="6">
        <v>2777.1186440677966</v>
      </c>
      <c r="D22" s="7">
        <v>4.7627118644067794</v>
      </c>
      <c r="E22" s="4">
        <v>4385.593220338983</v>
      </c>
    </row>
    <row r="23" spans="1:5" x14ac:dyDescent="0.25">
      <c r="A23" s="2" t="s">
        <v>108</v>
      </c>
      <c r="B23" s="3">
        <v>19.627906976744185</v>
      </c>
      <c r="C23" s="6">
        <v>3418.6046511627906</v>
      </c>
      <c r="D23" s="7">
        <v>3.86046511627907</v>
      </c>
      <c r="E23" s="4">
        <v>7622.0930232558139</v>
      </c>
    </row>
    <row r="24" spans="1:5" x14ac:dyDescent="0.25">
      <c r="A24" s="2" t="s">
        <v>1261</v>
      </c>
      <c r="B24" s="3">
        <v>23.892857142857142</v>
      </c>
      <c r="C24" s="6">
        <v>2641.647465437788</v>
      </c>
      <c r="D24" s="7">
        <v>4.6912442396313363</v>
      </c>
      <c r="E24" s="4">
        <v>4873.5994397759105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78472-14EC-4188-9B13-AA44BACB37E5}">
  <dimension ref="A1:H21"/>
  <sheetViews>
    <sheetView tabSelected="1" workbookViewId="0">
      <selection activeCell="J8" sqref="J8"/>
    </sheetView>
  </sheetViews>
  <sheetFormatPr defaultRowHeight="15" x14ac:dyDescent="0.25"/>
  <cols>
    <col min="1" max="1" width="35.42578125" bestFit="1" customWidth="1"/>
    <col min="2" max="2" width="14.7109375" customWidth="1"/>
    <col min="3" max="3" width="14.42578125" customWidth="1"/>
    <col min="4" max="4" width="18" customWidth="1"/>
    <col min="5" max="5" width="18.85546875" customWidth="1"/>
    <col min="6" max="6" width="21.85546875" customWidth="1"/>
    <col min="7" max="7" width="13.7109375" customWidth="1"/>
    <col min="8" max="8" width="14.5703125" customWidth="1"/>
  </cols>
  <sheetData>
    <row r="1" spans="1:8" x14ac:dyDescent="0.25">
      <c r="A1" s="8" t="s">
        <v>5</v>
      </c>
      <c r="B1" s="9" t="s">
        <v>1272</v>
      </c>
      <c r="C1" s="9" t="s">
        <v>1267</v>
      </c>
      <c r="D1" s="9" t="s">
        <v>1266</v>
      </c>
      <c r="E1" s="9" t="s">
        <v>1268</v>
      </c>
      <c r="F1" s="9" t="s">
        <v>1269</v>
      </c>
      <c r="G1" s="9" t="s">
        <v>1270</v>
      </c>
      <c r="H1" s="10" t="s">
        <v>1271</v>
      </c>
    </row>
    <row r="2" spans="1:8" x14ac:dyDescent="0.25">
      <c r="A2" s="11" t="s">
        <v>75</v>
      </c>
      <c r="B2" s="12">
        <f>VLOOKUP(A2,EV_Pivot!$A$4:$E$21,2,0)</f>
        <v>63.971428571428568</v>
      </c>
      <c r="C2" s="12">
        <f>VLOOKUP(A2,ICE_Pivot!$A$4:$E$23,2,0)</f>
        <v>28.708333333333332</v>
      </c>
      <c r="D2" s="40">
        <f>VLOOKUP(A2,EV_Pivot!$A$4:$E$21,3,0)</f>
        <v>910</v>
      </c>
      <c r="E2" s="13">
        <f>VLOOKUP(A2,ICE_Pivot!$A$4:$E$23,3,0)</f>
        <v>2249.3055555555557</v>
      </c>
      <c r="F2" s="14">
        <f>(E2-D2)</f>
        <v>1339.3055555555557</v>
      </c>
      <c r="G2" s="12">
        <f>VLOOKUP(A2,EV_Pivot!$A$4:$E$21,4,0)</f>
        <v>10</v>
      </c>
      <c r="H2" s="15">
        <f>VLOOKUP(A2,ICE_Pivot!$A$4:$E$23,4,0)</f>
        <v>5.6111111111111107</v>
      </c>
    </row>
    <row r="3" spans="1:8" x14ac:dyDescent="0.25">
      <c r="A3" s="11" t="s">
        <v>95</v>
      </c>
      <c r="B3" s="12">
        <f>VLOOKUP(A3,EV_Pivot!$A$4:$E$21,2,0)</f>
        <v>67.96052631578948</v>
      </c>
      <c r="C3" s="12">
        <f>VLOOKUP(A3,ICE_Pivot!$A$4:$E$23,2,0)</f>
        <v>25.358974358974358</v>
      </c>
      <c r="D3" s="40">
        <f>VLOOKUP(A3,EV_Pivot!$A$4:$E$21,3,0)</f>
        <v>812.5</v>
      </c>
      <c r="E3" s="13">
        <f>VLOOKUP(A3,ICE_Pivot!$A$4:$E$23,3,0)</f>
        <v>2688.4615384615386</v>
      </c>
      <c r="F3" s="14">
        <f t="shared" ref="F3:F21" si="0">(E3-D3)</f>
        <v>1875.9615384615386</v>
      </c>
      <c r="G3" s="12">
        <f>VLOOKUP(A3,EV_Pivot!$A$4:$E$21,4,0)</f>
        <v>10</v>
      </c>
      <c r="H3" s="15">
        <f>VLOOKUP(A3,ICE_Pivot!$A$4:$E$23,4,0)</f>
        <v>4.8205128205128203</v>
      </c>
    </row>
    <row r="4" spans="1:8" x14ac:dyDescent="0.25">
      <c r="A4" s="11" t="s">
        <v>186</v>
      </c>
      <c r="B4" s="12">
        <f>VLOOKUP(A4,EV_Pivot!$A$4:$E$21,2,0)</f>
        <v>68.62</v>
      </c>
      <c r="C4" s="12">
        <f>VLOOKUP(A4,ICE_Pivot!$A$4:$E$23,2,0)</f>
        <v>30.277108433734941</v>
      </c>
      <c r="D4" s="40">
        <f>VLOOKUP(A4,EV_Pivot!$A$4:$E$21,3,0)</f>
        <v>808</v>
      </c>
      <c r="E4" s="13">
        <f>VLOOKUP(A4,ICE_Pivot!$A$4:$E$23,3,0)</f>
        <v>2160.2409638554218</v>
      </c>
      <c r="F4" s="14">
        <f t="shared" si="0"/>
        <v>1352.2409638554218</v>
      </c>
      <c r="G4" s="12">
        <f>VLOOKUP(A4,EV_Pivot!$A$4:$E$21,4,0)</f>
        <v>10</v>
      </c>
      <c r="H4" s="15">
        <f>VLOOKUP(A4,ICE_Pivot!$A$4:$E$23,4,0)</f>
        <v>5.6746987951807233</v>
      </c>
    </row>
    <row r="5" spans="1:8" x14ac:dyDescent="0.25">
      <c r="A5" s="11" t="s">
        <v>313</v>
      </c>
      <c r="B5" s="12">
        <f>VLOOKUP(A5,EV_Pivot!$A$4:$E$21,2,0)</f>
        <v>61.5</v>
      </c>
      <c r="C5" s="12">
        <f>VLOOKUP(A5,ICE_Pivot!$A$4:$E$23,2,0)</f>
        <v>23</v>
      </c>
      <c r="D5" s="40">
        <f>VLOOKUP(A5,EV_Pivot!$A$4:$E$21,3,0)</f>
        <v>987.5</v>
      </c>
      <c r="E5" s="13">
        <f>VLOOKUP(A5,ICE_Pivot!$A$4:$E$23,3,0)</f>
        <v>2830</v>
      </c>
      <c r="F5" s="14">
        <f t="shared" si="0"/>
        <v>1842.5</v>
      </c>
      <c r="G5" s="12">
        <f>VLOOKUP(A5,EV_Pivot!$A$4:$E$21,4,0)</f>
        <v>10</v>
      </c>
      <c r="H5" s="15">
        <f>VLOOKUP(A5,ICE_Pivot!$A$4:$E$23,4,0)</f>
        <v>4.5999999999999996</v>
      </c>
    </row>
    <row r="6" spans="1:8" x14ac:dyDescent="0.25">
      <c r="A6" s="11" t="s">
        <v>155</v>
      </c>
      <c r="B6" s="12">
        <f>VLOOKUP(A6,EV_Pivot!$A$4:$E$21,2,0)</f>
        <v>71.5</v>
      </c>
      <c r="C6" s="12">
        <f>VLOOKUP(A6,ICE_Pivot!$A$4:$E$23,2,0)</f>
        <v>20.413793103448278</v>
      </c>
      <c r="D6" s="40">
        <f>VLOOKUP(A6,EV_Pivot!$A$4:$E$21,3,0)</f>
        <v>725</v>
      </c>
      <c r="E6" s="13">
        <f>VLOOKUP(A6,ICE_Pivot!$A$4:$E$23,3,0)</f>
        <v>3227.5862068965516</v>
      </c>
      <c r="F6" s="14">
        <f t="shared" si="0"/>
        <v>2502.5862068965516</v>
      </c>
      <c r="G6" s="12">
        <f>VLOOKUP(A6,EV_Pivot!$A$4:$E$21,4,0)</f>
        <v>10</v>
      </c>
      <c r="H6" s="15">
        <f>VLOOKUP(A6,ICE_Pivot!$A$4:$E$23,4,0)</f>
        <v>4.1379310344827589</v>
      </c>
    </row>
    <row r="7" spans="1:8" x14ac:dyDescent="0.25">
      <c r="A7" s="11" t="s">
        <v>563</v>
      </c>
      <c r="B7" s="39" t="s">
        <v>1274</v>
      </c>
      <c r="C7" s="12">
        <f>VLOOKUP(A7,ICE_Pivot!$A$4:$E$23,2,0)</f>
        <v>26.5</v>
      </c>
      <c r="D7" s="40" t="s">
        <v>1274</v>
      </c>
      <c r="E7" s="13">
        <f>VLOOKUP(A7,ICE_Pivot!$A$4:$E$23,3,0)</f>
        <v>2100</v>
      </c>
      <c r="F7" s="14" t="str">
        <f>IF(D7="N/A","N/A",E7-D7)</f>
        <v>N/A</v>
      </c>
      <c r="G7" s="12" t="str">
        <f>IF(D7="N/A","N/A",E7-D7)</f>
        <v>N/A</v>
      </c>
      <c r="H7" s="15">
        <f>VLOOKUP(A7,ICE_Pivot!$A$4:$E$23,4,0)</f>
        <v>5.5</v>
      </c>
    </row>
    <row r="8" spans="1:8" x14ac:dyDescent="0.25">
      <c r="A8" s="11" t="s">
        <v>566</v>
      </c>
      <c r="B8" s="39" t="s">
        <v>1274</v>
      </c>
      <c r="C8" s="12">
        <f>VLOOKUP(A8,ICE_Pivot!$A$4:$E$23,2,0)</f>
        <v>23.666666666666668</v>
      </c>
      <c r="D8" s="40" t="s">
        <v>1274</v>
      </c>
      <c r="E8" s="13">
        <f>VLOOKUP(A8,ICE_Pivot!$A$4:$E$23,3,0)</f>
        <v>2288.8888888888887</v>
      </c>
      <c r="F8" s="14" t="str">
        <f>IF(D8="N/A","N/A",E8-D8)</f>
        <v>N/A</v>
      </c>
      <c r="G8" s="12" t="str">
        <f>IF(D8="N/A","N/A",E8-D8)</f>
        <v>N/A</v>
      </c>
      <c r="H8" s="15">
        <f>VLOOKUP(A8,ICE_Pivot!$A$4:$E$23,4,0)</f>
        <v>4.666666666666667</v>
      </c>
    </row>
    <row r="9" spans="1:8" x14ac:dyDescent="0.25">
      <c r="A9" s="11" t="s">
        <v>122</v>
      </c>
      <c r="B9" s="12">
        <f>VLOOKUP(A9,EV_Pivot!$A$4:$E$21,2,0)</f>
        <v>61.5</v>
      </c>
      <c r="C9" s="12">
        <f>VLOOKUP(A9,ICE_Pivot!$A$4:$E$23,2,0)</f>
        <v>27.421052631578949</v>
      </c>
      <c r="D9" s="40">
        <f>VLOOKUP(A9,EV_Pivot!$A$4:$E$21,3,0)</f>
        <v>1000</v>
      </c>
      <c r="E9" s="13">
        <f>VLOOKUP(A9,ICE_Pivot!$A$4:$E$23,3,0)</f>
        <v>2171.0526315789475</v>
      </c>
      <c r="F9" s="14">
        <f t="shared" si="0"/>
        <v>1171.0526315789475</v>
      </c>
      <c r="G9" s="12">
        <f>VLOOKUP(A9,EV_Pivot!$A$4:$E$21,4,0)</f>
        <v>10</v>
      </c>
      <c r="H9" s="15">
        <f>VLOOKUP(A9,ICE_Pivot!$A$4:$E$23,4,0)</f>
        <v>5.4210526315789478</v>
      </c>
    </row>
    <row r="10" spans="1:8" x14ac:dyDescent="0.25">
      <c r="A10" s="11" t="s">
        <v>115</v>
      </c>
      <c r="B10" s="12">
        <f>VLOOKUP(A10,EV_Pivot!$A$4:$E$21,2,0)</f>
        <v>69.878787878787875</v>
      </c>
      <c r="C10" s="12">
        <f>VLOOKUP(A10,ICE_Pivot!$A$4:$E$23,2,0)</f>
        <v>28.315789473684209</v>
      </c>
      <c r="D10" s="40">
        <f>VLOOKUP(A10,EV_Pivot!$A$4:$E$21,3,0)</f>
        <v>744.69696969696975</v>
      </c>
      <c r="E10" s="13">
        <f>VLOOKUP(A10,ICE_Pivot!$A$4:$E$23,3,0)</f>
        <v>1985.0877192982457</v>
      </c>
      <c r="F10" s="14">
        <f t="shared" si="0"/>
        <v>1240.390749601276</v>
      </c>
      <c r="G10" s="12">
        <f>VLOOKUP(A10,EV_Pivot!$A$4:$E$21,4,0)</f>
        <v>10</v>
      </c>
      <c r="H10" s="15">
        <f>VLOOKUP(A10,ICE_Pivot!$A$4:$E$23,4,0)</f>
        <v>5.5964912280701755</v>
      </c>
    </row>
    <row r="11" spans="1:8" x14ac:dyDescent="0.25">
      <c r="A11" s="11" t="s">
        <v>118</v>
      </c>
      <c r="B11" s="12">
        <f>VLOOKUP(A11,EV_Pivot!$A$4:$E$21,2,0)</f>
        <v>65.45</v>
      </c>
      <c r="C11" s="12">
        <f>VLOOKUP(A11,ICE_Pivot!$A$4:$E$23,2,0)</f>
        <v>25.3</v>
      </c>
      <c r="D11" s="40">
        <f>VLOOKUP(A11,EV_Pivot!$A$4:$E$21,3,0)</f>
        <v>860</v>
      </c>
      <c r="E11" s="13">
        <f>VLOOKUP(A11,ICE_Pivot!$A$4:$E$23,3,0)</f>
        <v>2335.8823529411766</v>
      </c>
      <c r="F11" s="14">
        <f t="shared" si="0"/>
        <v>1475.8823529411766</v>
      </c>
      <c r="G11" s="12">
        <f>VLOOKUP(A11,EV_Pivot!$A$4:$E$21,4,0)</f>
        <v>10</v>
      </c>
      <c r="H11" s="15">
        <f>VLOOKUP(A11,ICE_Pivot!$A$4:$E$23,4,0)</f>
        <v>5.0705882352941174</v>
      </c>
    </row>
    <row r="12" spans="1:8" x14ac:dyDescent="0.25">
      <c r="A12" s="11" t="s">
        <v>208</v>
      </c>
      <c r="B12" s="12">
        <f>VLOOKUP(A12,EV_Pivot!$A$4:$E$21,2,0)</f>
        <v>62.5</v>
      </c>
      <c r="C12" s="12">
        <f>VLOOKUP(A12,ICE_Pivot!$A$4:$E$23,2,0)</f>
        <v>28.5</v>
      </c>
      <c r="D12" s="40">
        <f>VLOOKUP(A12,EV_Pivot!$A$4:$E$21,3,0)</f>
        <v>950</v>
      </c>
      <c r="E12" s="13">
        <f>VLOOKUP(A12,ICE_Pivot!$A$4:$E$23,3,0)</f>
        <v>2250</v>
      </c>
      <c r="F12" s="14">
        <f t="shared" si="0"/>
        <v>1300</v>
      </c>
      <c r="G12" s="12">
        <f>VLOOKUP(A12,EV_Pivot!$A$4:$E$21,4,0)</f>
        <v>10</v>
      </c>
      <c r="H12" s="15">
        <f>VLOOKUP(A12,ICE_Pivot!$A$4:$E$23,4,0)</f>
        <v>6</v>
      </c>
    </row>
    <row r="13" spans="1:8" x14ac:dyDescent="0.25">
      <c r="A13" s="11" t="s">
        <v>992</v>
      </c>
      <c r="B13" s="12" t="s">
        <v>1274</v>
      </c>
      <c r="C13" s="12">
        <f>VLOOKUP(A13,ICE_Pivot!$A$4:$E$23,2,0)</f>
        <v>15.5</v>
      </c>
      <c r="D13" s="40" t="s">
        <v>1274</v>
      </c>
      <c r="E13" s="13">
        <f>VLOOKUP(A13,ICE_Pivot!$A$4:$E$23,3,0)</f>
        <v>3400</v>
      </c>
      <c r="F13" s="14" t="s">
        <v>1274</v>
      </c>
      <c r="G13" s="12" t="s">
        <v>1274</v>
      </c>
      <c r="H13" s="15">
        <f>VLOOKUP(A13,ICE_Pivot!$A$4:$E$23,4,0)</f>
        <v>2.5</v>
      </c>
    </row>
    <row r="14" spans="1:8" x14ac:dyDescent="0.25">
      <c r="A14" s="11" t="s">
        <v>503</v>
      </c>
      <c r="B14" s="12">
        <f>VLOOKUP(A14,EV_Pivot!$A$4:$E$21,2,0)</f>
        <v>62</v>
      </c>
      <c r="C14" s="12">
        <f>VLOOKUP(A14,ICE_Pivot!$A$4:$E$23,2,0)</f>
        <v>26</v>
      </c>
      <c r="D14" s="40">
        <f>VLOOKUP(A14,EV_Pivot!$A$4:$E$21,3,0)</f>
        <v>1000</v>
      </c>
      <c r="E14" s="13">
        <f>VLOOKUP(A14,ICE_Pivot!$A$4:$E$23,3,0)</f>
        <v>2125</v>
      </c>
      <c r="F14" s="14">
        <f t="shared" si="0"/>
        <v>1125</v>
      </c>
      <c r="G14" s="12">
        <f>VLOOKUP(A14,EV_Pivot!$A$4:$E$21,4,0)</f>
        <v>10</v>
      </c>
      <c r="H14" s="15">
        <f>VLOOKUP(A14,ICE_Pivot!$A$4:$E$23,4,0)</f>
        <v>5.333333333333333</v>
      </c>
    </row>
    <row r="15" spans="1:8" x14ac:dyDescent="0.25">
      <c r="A15" s="11" t="s">
        <v>505</v>
      </c>
      <c r="B15" s="12">
        <f>VLOOKUP(A15,EV_Pivot!$A$4:$E$21,2,0)</f>
        <v>61</v>
      </c>
      <c r="C15" s="12">
        <f>VLOOKUP(A15,ICE_Pivot!$A$4:$E$23,2,0)</f>
        <v>27.5</v>
      </c>
      <c r="D15" s="40">
        <f>VLOOKUP(A15,EV_Pivot!$A$4:$E$21,3,0)</f>
        <v>1000</v>
      </c>
      <c r="E15" s="13">
        <f>VLOOKUP(A15,ICE_Pivot!$A$4:$E$23,3,0)</f>
        <v>2050</v>
      </c>
      <c r="F15" s="14">
        <f t="shared" si="0"/>
        <v>1050</v>
      </c>
      <c r="G15" s="12">
        <f>VLOOKUP(A15,EV_Pivot!$A$4:$E$21,4,0)</f>
        <v>10</v>
      </c>
      <c r="H15" s="15">
        <f>VLOOKUP(A15,ICE_Pivot!$A$4:$E$23,4,0)</f>
        <v>5.5</v>
      </c>
    </row>
    <row r="16" spans="1:8" x14ac:dyDescent="0.25">
      <c r="A16" s="11" t="s">
        <v>463</v>
      </c>
      <c r="B16" s="12">
        <f>VLOOKUP(A16,EV_Pivot!$A$4:$E$21,2,0)</f>
        <v>61</v>
      </c>
      <c r="C16" s="12">
        <f>VLOOKUP(A16,ICE_Pivot!$A$4:$E$23,2,0)</f>
        <v>20.478260869565219</v>
      </c>
      <c r="D16" s="40">
        <f>VLOOKUP(A16,EV_Pivot!$A$4:$E$21,3,0)</f>
        <v>1025</v>
      </c>
      <c r="E16" s="13">
        <f>VLOOKUP(A16,ICE_Pivot!$A$4:$E$23,3,0)</f>
        <v>2615.217391304348</v>
      </c>
      <c r="F16" s="14">
        <f t="shared" si="0"/>
        <v>1590.217391304348</v>
      </c>
      <c r="G16" s="12">
        <f>VLOOKUP(A16,EV_Pivot!$A$4:$E$21,4,0)</f>
        <v>10</v>
      </c>
      <c r="H16" s="15">
        <f>VLOOKUP(A16,ICE_Pivot!$A$4:$E$23,4,0)</f>
        <v>4.2173913043478262</v>
      </c>
    </row>
    <row r="17" spans="1:8" x14ac:dyDescent="0.25">
      <c r="A17" s="11" t="s">
        <v>135</v>
      </c>
      <c r="B17" s="12">
        <f>VLOOKUP(A17,EV_Pivot!$A$4:$E$21,2,0)</f>
        <v>60.064102564102562</v>
      </c>
      <c r="C17" s="12">
        <f>VLOOKUP(A17,ICE_Pivot!$A$4:$E$23,2,0)</f>
        <v>18.171428571428571</v>
      </c>
      <c r="D17" s="40">
        <f>VLOOKUP(A17,EV_Pivot!$A$4:$E$21,3,0)</f>
        <v>1269.2307692307693</v>
      </c>
      <c r="E17" s="13">
        <f>VLOOKUP(A17,ICE_Pivot!$A$4:$E$23,3,0)</f>
        <v>3088.5714285714284</v>
      </c>
      <c r="F17" s="14">
        <f t="shared" si="0"/>
        <v>1819.3406593406592</v>
      </c>
      <c r="G17" s="12">
        <f>VLOOKUP(A17,EV_Pivot!$A$4:$E$21,4,0)</f>
        <v>9.8974358974358978</v>
      </c>
      <c r="H17" s="15">
        <f>VLOOKUP(A17,ICE_Pivot!$A$4:$E$23,4,0)</f>
        <v>3.4285714285714284</v>
      </c>
    </row>
    <row r="18" spans="1:8" x14ac:dyDescent="0.25">
      <c r="A18" s="11" t="s">
        <v>47</v>
      </c>
      <c r="B18" s="12">
        <f>VLOOKUP(A18,EV_Pivot!$A$4:$E$21,2,0)</f>
        <v>65.541666666666671</v>
      </c>
      <c r="C18" s="12">
        <f>VLOOKUP(A18,ICE_Pivot!$A$4:$E$23,2,0)</f>
        <v>20.973684210526315</v>
      </c>
      <c r="D18" s="40">
        <f>VLOOKUP(A18,EV_Pivot!$A$4:$E$21,3,0)</f>
        <v>852.08333333333337</v>
      </c>
      <c r="E18" s="13">
        <f>VLOOKUP(A18,ICE_Pivot!$A$4:$E$23,3,0)</f>
        <v>2785.5263157894738</v>
      </c>
      <c r="F18" s="14">
        <f t="shared" si="0"/>
        <v>1933.4429824561403</v>
      </c>
      <c r="G18" s="12">
        <f>VLOOKUP(A18,EV_Pivot!$A$4:$E$21,4,0)</f>
        <v>10</v>
      </c>
      <c r="H18" s="15">
        <f>VLOOKUP(A18,ICE_Pivot!$A$4:$E$23,4,0)</f>
        <v>4.1578947368421053</v>
      </c>
    </row>
    <row r="19" spans="1:8" x14ac:dyDescent="0.25">
      <c r="A19" s="11" t="s">
        <v>29</v>
      </c>
      <c r="B19" s="12">
        <f>VLOOKUP(A19,EV_Pivot!$A$4:$E$21,2,0)</f>
        <v>61.819354838709678</v>
      </c>
      <c r="C19" s="12">
        <f>VLOOKUP(A19,ICE_Pivot!$A$4:$E$23,2,0)</f>
        <v>19.5</v>
      </c>
      <c r="D19" s="40">
        <f>VLOOKUP(A19,EV_Pivot!$A$4:$E$21,3,0)</f>
        <v>1015.8064516129032</v>
      </c>
      <c r="E19" s="13">
        <f>VLOOKUP(A19,ICE_Pivot!$A$4:$E$23,3,0)</f>
        <v>3213.4328358208954</v>
      </c>
      <c r="F19" s="14">
        <f t="shared" si="0"/>
        <v>2197.6263842079925</v>
      </c>
      <c r="G19" s="12">
        <f>VLOOKUP(A19,EV_Pivot!$A$4:$E$21,4,0)</f>
        <v>10</v>
      </c>
      <c r="H19" s="15">
        <f>VLOOKUP(A19,ICE_Pivot!$A$4:$E$23,4,0)</f>
        <v>3.8134328358208953</v>
      </c>
    </row>
    <row r="20" spans="1:8" x14ac:dyDescent="0.25">
      <c r="A20" s="11" t="s">
        <v>36</v>
      </c>
      <c r="B20" s="12">
        <f>VLOOKUP(A20,EV_Pivot!$A$4:$E$21,2,0)</f>
        <v>62.5</v>
      </c>
      <c r="C20" s="12">
        <f>VLOOKUP(A20,ICE_Pivot!$A$4:$E$23,2,0)</f>
        <v>23.406779661016948</v>
      </c>
      <c r="D20" s="40">
        <f>VLOOKUP(A20,EV_Pivot!$A$4:$E$21,3,0)</f>
        <v>940</v>
      </c>
      <c r="E20" s="13">
        <f>VLOOKUP(A20,ICE_Pivot!$A$4:$E$23,3,0)</f>
        <v>2777.1186440677966</v>
      </c>
      <c r="F20" s="14">
        <f t="shared" si="0"/>
        <v>1837.1186440677966</v>
      </c>
      <c r="G20" s="12">
        <f>VLOOKUP(A20,EV_Pivot!$A$4:$E$21,4,0)</f>
        <v>10</v>
      </c>
      <c r="H20" s="15">
        <f>VLOOKUP(A20,ICE_Pivot!$A$4:$E$23,4,0)</f>
        <v>4.7627118644067794</v>
      </c>
    </row>
    <row r="21" spans="1:8" x14ac:dyDescent="0.25">
      <c r="A21" s="16" t="s">
        <v>108</v>
      </c>
      <c r="B21" s="17">
        <f>VLOOKUP(A21,EV_Pivot!$A$4:$E$21,2,0)</f>
        <v>58.25</v>
      </c>
      <c r="C21" s="17">
        <f>VLOOKUP(A21,ICE_Pivot!$A$4:$E$23,2,0)</f>
        <v>19.627906976744185</v>
      </c>
      <c r="D21" s="41">
        <f>VLOOKUP(A21,EV_Pivot!$A$4:$E$21,3,0)</f>
        <v>1550</v>
      </c>
      <c r="E21" s="18">
        <f>VLOOKUP(A21,ICE_Pivot!$A$4:$E$23,3,0)</f>
        <v>3418.6046511627906</v>
      </c>
      <c r="F21" s="19">
        <f t="shared" si="0"/>
        <v>1868.6046511627906</v>
      </c>
      <c r="G21" s="17">
        <f>VLOOKUP(A21,EV_Pivot!$A$4:$E$21,4,0)</f>
        <v>10</v>
      </c>
      <c r="H21" s="20">
        <f>VLOOKUP(A21,ICE_Pivot!$A$4:$E$23,4,0)</f>
        <v>3.86046511627907</v>
      </c>
    </row>
  </sheetData>
  <pageMargins left="0.7" right="0.7" top="0.75" bottom="0.75" header="0.3" footer="0.3"/>
  <ignoredErrors>
    <ignoredError sqref="B7:B8 B13 D7:D8 D13 F7:G17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F591-C185-4FD0-8779-3BD7A3817949}">
  <dimension ref="A1:D15"/>
  <sheetViews>
    <sheetView workbookViewId="0">
      <selection activeCell="A19" sqref="A19"/>
    </sheetView>
  </sheetViews>
  <sheetFormatPr defaultRowHeight="15" x14ac:dyDescent="0.25"/>
  <cols>
    <col min="1" max="1" width="38" customWidth="1"/>
    <col min="2" max="3" width="16" customWidth="1"/>
    <col min="4" max="4" width="40" customWidth="1"/>
  </cols>
  <sheetData>
    <row r="1" spans="1:4" ht="30" customHeight="1" x14ac:dyDescent="0.25">
      <c r="A1" s="33" t="s">
        <v>1289</v>
      </c>
      <c r="B1" s="22"/>
      <c r="C1" s="22"/>
      <c r="D1" s="22"/>
    </row>
    <row r="2" spans="1:4" ht="8.1" customHeight="1" x14ac:dyDescent="0.25"/>
    <row r="3" spans="1:4" ht="20.100000000000001" customHeight="1" x14ac:dyDescent="0.25">
      <c r="A3" s="31" t="s">
        <v>1280</v>
      </c>
      <c r="B3" s="22"/>
      <c r="C3" s="22"/>
      <c r="D3" s="22"/>
    </row>
    <row r="4" spans="1:4" x14ac:dyDescent="0.25">
      <c r="A4" s="30"/>
      <c r="B4" s="30" t="s">
        <v>1276</v>
      </c>
      <c r="C4" s="30" t="s">
        <v>1275</v>
      </c>
      <c r="D4" s="30" t="s">
        <v>1288</v>
      </c>
    </row>
    <row r="5" spans="1:4" x14ac:dyDescent="0.25">
      <c r="A5" s="32" t="s">
        <v>1279</v>
      </c>
      <c r="B5" s="34">
        <f>EV_Pivot!C22</f>
        <v>942.40601503759399</v>
      </c>
      <c r="C5" s="34">
        <f>ICE_Pivot!C24</f>
        <v>2641.647465437788</v>
      </c>
      <c r="D5" s="27" t="s">
        <v>1287</v>
      </c>
    </row>
    <row r="6" spans="1:4" x14ac:dyDescent="0.25">
      <c r="A6" s="26" t="s">
        <v>1278</v>
      </c>
      <c r="B6" s="38" t="s">
        <v>1286</v>
      </c>
      <c r="C6" s="38" t="s">
        <v>1286</v>
      </c>
      <c r="D6" s="24" t="s">
        <v>1290</v>
      </c>
    </row>
    <row r="7" spans="1:4" ht="8.1" customHeight="1" x14ac:dyDescent="0.25"/>
    <row r="8" spans="1:4" ht="20.100000000000001" customHeight="1" x14ac:dyDescent="0.25">
      <c r="A8" s="31" t="s">
        <v>1277</v>
      </c>
      <c r="B8" s="22"/>
      <c r="C8" s="22"/>
      <c r="D8" s="22"/>
    </row>
    <row r="9" spans="1:4" x14ac:dyDescent="0.25">
      <c r="A9" s="30"/>
      <c r="B9" s="30" t="s">
        <v>1276</v>
      </c>
      <c r="C9" s="30" t="s">
        <v>1275</v>
      </c>
      <c r="D9" s="30"/>
    </row>
    <row r="10" spans="1:4" x14ac:dyDescent="0.25">
      <c r="A10" s="26" t="s">
        <v>1285</v>
      </c>
      <c r="B10" s="35">
        <f>B5*B6</f>
        <v>4712.0300751879695</v>
      </c>
      <c r="C10" s="35">
        <f>C5*C6</f>
        <v>13208.237327188941</v>
      </c>
      <c r="D10" s="24"/>
    </row>
    <row r="11" spans="1:4" x14ac:dyDescent="0.25">
      <c r="A11" s="29" t="s">
        <v>1284</v>
      </c>
      <c r="B11" s="36">
        <f>C10-B10</f>
        <v>8496.2072520009715</v>
      </c>
      <c r="C11" s="28"/>
      <c r="D11" s="27"/>
    </row>
    <row r="12" spans="1:4" x14ac:dyDescent="0.25">
      <c r="A12" s="26" t="s">
        <v>1283</v>
      </c>
      <c r="B12" s="35">
        <f>EV_Pivot!F22</f>
        <v>4853.7593984962405</v>
      </c>
      <c r="C12" s="25"/>
      <c r="D12" s="24" t="s">
        <v>1282</v>
      </c>
    </row>
    <row r="13" spans="1:4" x14ac:dyDescent="0.25">
      <c r="A13" t="s">
        <v>1293</v>
      </c>
      <c r="C13" s="37">
        <f>ICE_Pivot!E24</f>
        <v>4873.5994397759105</v>
      </c>
      <c r="D13" s="21" t="s">
        <v>1294</v>
      </c>
    </row>
    <row r="14" spans="1:4" ht="8.1" customHeight="1" x14ac:dyDescent="0.25"/>
    <row r="15" spans="1:4" x14ac:dyDescent="0.25">
      <c r="A15" s="23" t="s">
        <v>1281</v>
      </c>
      <c r="B15" s="22"/>
      <c r="C15" s="22"/>
      <c r="D15" s="22"/>
    </row>
  </sheetData>
  <mergeCells count="4">
    <mergeCell ref="A1:D1"/>
    <mergeCell ref="A8:D8"/>
    <mergeCell ref="A3:D3"/>
    <mergeCell ref="A15:D15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468496-26D8-49E5-A9C2-E3612F669C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EV_Data</vt:lpstr>
      <vt:lpstr>EV_Pivot</vt:lpstr>
      <vt:lpstr>ICE_Data</vt:lpstr>
      <vt:lpstr>ICE_Pivot</vt:lpstr>
      <vt:lpstr>Comparison</vt:lpstr>
      <vt:lpstr>Cost_Model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Gueon</dc:creator>
  <cp:lastModifiedBy>Mathew Gueon</cp:lastModifiedBy>
  <dcterms:created xsi:type="dcterms:W3CDTF">2026-04-29T01:28:14Z</dcterms:created>
  <dcterms:modified xsi:type="dcterms:W3CDTF">2026-04-30T19:18:28Z</dcterms:modified>
</cp:coreProperties>
</file>